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Cost-effectiveness\0121 CE\"/>
    </mc:Choice>
  </mc:AlternateContent>
  <xr:revisionPtr revIDLastSave="0" documentId="13_ncr:1_{E805FC63-92C5-4F49-A97F-FEB8381B8F92}" xr6:coauthVersionLast="47" xr6:coauthVersionMax="47" xr10:uidLastSave="{00000000-0000-0000-0000-000000000000}"/>
  <bookViews>
    <workbookView xWindow="9510" yWindow="0" windowWidth="9780" windowHeight="10170" firstSheet="4" activeTab="4" xr2:uid="{4A296165-F920-47E2-9385-07A198147AFA}"/>
  </bookViews>
  <sheets>
    <sheet name="Baseline Analysis" sheetId="6" r:id="rId1"/>
    <sheet name="Cost Adjust Factors Index" sheetId="20" r:id="rId2"/>
    <sheet name="Decision Tree" sheetId="19" r:id="rId3"/>
    <sheet name="Markov Transition Matrix " sheetId="18" r:id="rId4"/>
    <sheet name="ICER &amp; DSA" sheetId="21" r:id="rId5"/>
    <sheet name="PSA" sheetId="14" r:id="rId6"/>
  </sheets>
  <functionGroups builtInGroupCount="19"/>
  <definedNames>
    <definedName name="Ad_0823">'Cost Adjust Factors Index'!$I$25</definedName>
    <definedName name="Ad_2123">'Cost Adjust Factors Index'!$I$24</definedName>
    <definedName name="adf_1523">'Cost Adjust Factors Index'!$E$25</definedName>
    <definedName name="adf_2123">'Cost Adjust Factors Index'!$E$24</definedName>
    <definedName name="Cst_amb">'Baseline Analysis'!$D$60</definedName>
    <definedName name="Cst_ann_lar16">'Baseline Analysis'!$D$71</definedName>
    <definedName name="Cst_ann_sma16">'Baseline Analysis'!$D$72</definedName>
    <definedName name="Cst_btw916_hosp">'Baseline Analysis'!$D$62</definedName>
    <definedName name="Cst_lar16_hosp">'Baseline Analysis'!$D$66</definedName>
    <definedName name="Cst_lar16_life">'Markov Transition Matrix '!$S$11</definedName>
    <definedName name="Cst_lar16_MTC">'Baseline Analysis'!$B$52</definedName>
    <definedName name="Cst_post_lar16_local">'Baseline Analysis'!$D$68</definedName>
    <definedName name="Cst_post_lar16_mtc">'Baseline Analysis'!$D$67</definedName>
    <definedName name="Cst_post_sma16_local">'Baseline Analysis'!$D$70</definedName>
    <definedName name="Cst_post_sma16_mtc">'Baseline Analysis'!$D$69</definedName>
    <definedName name="Cst_R1">'Baseline Analysis'!$B$54</definedName>
    <definedName name="Cst_R1_1Y">#REF!</definedName>
    <definedName name="Cst_R1_life" localSheetId="3">'Markov Transition Matrix '!$E$4</definedName>
    <definedName name="Cst_R1_life">#REF!</definedName>
    <definedName name="Cst_R1_Total">'Decision Tree'!$C$5</definedName>
    <definedName name="Cst_R2">'Baseline Analysis'!$B$55</definedName>
    <definedName name="Cst_R2_1Y">#REF!</definedName>
    <definedName name="Cst_R2_life" localSheetId="3">'Markov Transition Matrix '!$E$5</definedName>
    <definedName name="Cst_R2_life">#REF!</definedName>
    <definedName name="Cst_R2_Total">'Decision Tree'!$C$6</definedName>
    <definedName name="Cst_R3">'Baseline Analysis'!$B$56</definedName>
    <definedName name="Cst_R3_1Y">#REF!</definedName>
    <definedName name="Cst_R3_life" localSheetId="3">'Markov Transition Matrix '!$E$6</definedName>
    <definedName name="Cst_R3_life">#REF!</definedName>
    <definedName name="Cst_R3_Total">'Decision Tree'!$C$7</definedName>
    <definedName name="Cst_R4">'Baseline Analysis'!$B$57</definedName>
    <definedName name="Cst_R4_1Y">#REF!</definedName>
    <definedName name="Cst_R4_life" localSheetId="3">'Markov Transition Matrix '!$E$7</definedName>
    <definedName name="Cst_R4_life">#REF!</definedName>
    <definedName name="Cst_R4_Total">'Decision Tree'!$C$8</definedName>
    <definedName name="Cst_R5">'Baseline Analysis'!$B$58</definedName>
    <definedName name="Cst_R5_1Y">#REF!</definedName>
    <definedName name="Cst_R5_life" localSheetId="3">'Markov Transition Matrix '!$E$8</definedName>
    <definedName name="Cst_R5_life">#REF!</definedName>
    <definedName name="Cst_R5_Total">'Decision Tree'!$C$9</definedName>
    <definedName name="Cst_R6">'Baseline Analysis'!$B$59</definedName>
    <definedName name="Cst_R6_1Y">#REF!</definedName>
    <definedName name="Cst_R6_life" localSheetId="3">'Markov Transition Matrix '!#REF!</definedName>
    <definedName name="Cst_R6_life">#REF!</definedName>
    <definedName name="Cst_R6_Total">'Decision Tree'!$C$10</definedName>
    <definedName name="Cst_sma16_life">'Markov Transition Matrix '!$AH$11</definedName>
    <definedName name="Cst_sma16_MTC">'Baseline Analysis'!$B$53</definedName>
    <definedName name="Cst_sma9_hosp">'Baseline Analysis'!$D$61</definedName>
    <definedName name="DIS_R" localSheetId="3">'Markov Transition Matrix '!#REF!</definedName>
    <definedName name="DIS_R">#REF!</definedName>
    <definedName name="dis_rt">'Markov Transition Matrix '!$H$3</definedName>
    <definedName name="HR_lar16">'Baseline Analysis'!$D$48</definedName>
    <definedName name="HR_sma16">'Baseline Analysis'!$D$49</definedName>
    <definedName name="p">#REF!</definedName>
    <definedName name="PPP_08">'Cost Adjust Factors Index'!$E$29</definedName>
    <definedName name="Prob_ISS_btw916">'Baseline Analysis'!$D$8</definedName>
    <definedName name="Prob_ISS_lag16">'Baseline Analysis'!$D$7</definedName>
    <definedName name="Prob_ISS_sma9">'Baseline Analysis'!$D$9</definedName>
    <definedName name="Prob_Min1y_lar16_mtc">'Baseline Analysis'!$D$44</definedName>
    <definedName name="Prob_Min1y_sma16">'Baseline Analysis'!$D$45</definedName>
    <definedName name="Prob_Min30_lar16_mtc">'Baseline Analysis'!$D$41</definedName>
    <definedName name="Prob_Min30_sma16">'Baseline Analysis'!$D$42</definedName>
    <definedName name="Prob_R1_lar16_alive">#REF!</definedName>
    <definedName name="Prob_R1_sen">'Baseline Analysis'!$D$11</definedName>
    <definedName name="Prob_R1_sma16_alive">#REF!</definedName>
    <definedName name="Prob_R1_spe">'Baseline Analysis'!$D$14</definedName>
    <definedName name="Prob_R2_lar16_alive">#REF!</definedName>
    <definedName name="Prob_R2_sen">'Baseline Analysis'!$D$16</definedName>
    <definedName name="Prob_R2_sma16_alive">#REF!</definedName>
    <definedName name="Prob_R2_spe">'Baseline Analysis'!$D$19</definedName>
    <definedName name="Prob_R3_lar16_alive">#REF!</definedName>
    <definedName name="Prob_R3_sen">'Baseline Analysis'!$D$21</definedName>
    <definedName name="Prob_R3_sma16_alive">#REF!</definedName>
    <definedName name="Prob_R3_spe">'Baseline Analysis'!$D$24</definedName>
    <definedName name="Prob_R4_lar16_alive">#REF!</definedName>
    <definedName name="Prob_R4_sen">'Baseline Analysis'!$D$26</definedName>
    <definedName name="Prob_R4_sma16_alive">#REF!</definedName>
    <definedName name="Prob_R4_spe">'Baseline Analysis'!$D$29</definedName>
    <definedName name="Prob_R5_lar16_alive">#REF!</definedName>
    <definedName name="Prob_R5_sen">'Baseline Analysis'!$D$31</definedName>
    <definedName name="Prob_R5_sma16_alive">#REF!</definedName>
    <definedName name="Prob_R5_spe">'Baseline Analysis'!$D$34</definedName>
    <definedName name="Prob_R6_lar16_alive">#REF!</definedName>
    <definedName name="Prob_R6_sen">'Baseline Analysis'!$D$36</definedName>
    <definedName name="Prob_R6_sma16_alive">#REF!</definedName>
    <definedName name="Prob_R6_spe">'Baseline Analysis'!$D$39</definedName>
    <definedName name="PSA_DSA">PSA!$C$3</definedName>
    <definedName name="QALY_lar16_life">'Markov Transition Matrix '!$U$11</definedName>
    <definedName name="QALY_R1_1Y">#REF!</definedName>
    <definedName name="QALY_R1_life" localSheetId="3">'Markov Transition Matrix '!$F$4</definedName>
    <definedName name="QALY_R1_life">#REF!</definedName>
    <definedName name="QALY_R1_Total" localSheetId="3">'Decision Tree'!$D$5</definedName>
    <definedName name="QALY_R1_Total">'Decision Tree'!$D$5</definedName>
    <definedName name="QALY_R2_1Y">#REF!</definedName>
    <definedName name="QALY_R2_life" localSheetId="3">'Markov Transition Matrix '!$F$5</definedName>
    <definedName name="QALY_R2_life">#REF!</definedName>
    <definedName name="QALY_R2_Total">'Decision Tree'!$D$6</definedName>
    <definedName name="QALY_R3_1Y">#REF!</definedName>
    <definedName name="QALY_R3_life" localSheetId="3">'Markov Transition Matrix '!$F$6</definedName>
    <definedName name="QALY_R3_life">#REF!</definedName>
    <definedName name="QALY_R3_Total">'Decision Tree'!$D$7</definedName>
    <definedName name="QALY_R4_1Y">#REF!</definedName>
    <definedName name="QALY_R4_life" localSheetId="3">'Markov Transition Matrix '!$F$7</definedName>
    <definedName name="QALY_R4_life">#REF!</definedName>
    <definedName name="QALY_R4_Total">'Decision Tree'!$D$8</definedName>
    <definedName name="QALY_R5_1Y">#REF!</definedName>
    <definedName name="QALY_R5_life" localSheetId="3">'Markov Transition Matrix '!$F$8</definedName>
    <definedName name="QALY_R5_life">#REF!</definedName>
    <definedName name="QALY_R5_Total">'Decision Tree'!$D$9</definedName>
    <definedName name="QALY_R6_1Y">#REF!</definedName>
    <definedName name="QALY_R6_life" localSheetId="3">'Markov Transition Matrix '!#REF!</definedName>
    <definedName name="QALY_R6_life">#REF!</definedName>
    <definedName name="QALY_R6_Total">'Decision Tree'!$D$10</definedName>
    <definedName name="QALY_sma16_life">'Markov Transition Matrix '!$AJ$11</definedName>
    <definedName name="RR_Min1y_lar16_local">'Baseline Analysis'!$D$46</definedName>
    <definedName name="RR_Min30_lar16_local">'Baseline Analysis'!$D$43</definedName>
    <definedName name="Threshold">PSA!$Q$36</definedName>
    <definedName name="U_lar16">'Baseline Analysis'!$D$75</definedName>
    <definedName name="U_sma16">'Baseline Analysis'!$D$76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3" i="21" l="1"/>
  <c r="Q33" i="21" s="1"/>
  <c r="P33" i="21"/>
  <c r="O34" i="21"/>
  <c r="Q34" i="21" s="1"/>
  <c r="P34" i="21"/>
  <c r="O35" i="21"/>
  <c r="Q35" i="21" s="1"/>
  <c r="P35" i="21"/>
  <c r="O36" i="21"/>
  <c r="Q36" i="21" s="1"/>
  <c r="P36" i="21"/>
  <c r="AJ11" i="21"/>
  <c r="AJ26" i="21"/>
  <c r="AJ25" i="21"/>
  <c r="AJ24" i="21"/>
  <c r="AJ23" i="21"/>
  <c r="AJ21" i="21"/>
  <c r="AJ20" i="21"/>
  <c r="AJ19" i="21"/>
  <c r="AJ18" i="21"/>
  <c r="AJ17" i="21"/>
  <c r="AJ15" i="21"/>
  <c r="AJ14" i="21"/>
  <c r="AJ13" i="21"/>
  <c r="AJ12" i="21"/>
  <c r="AJ9" i="21"/>
  <c r="O26" i="21"/>
  <c r="O25" i="21"/>
  <c r="O24" i="21"/>
  <c r="O23" i="21"/>
  <c r="O21" i="21"/>
  <c r="O20" i="21"/>
  <c r="O19" i="21"/>
  <c r="O18" i="21"/>
  <c r="O17" i="21"/>
  <c r="O15" i="21"/>
  <c r="O14" i="21"/>
  <c r="O13" i="21"/>
  <c r="O12" i="21"/>
  <c r="O11" i="21"/>
  <c r="AC26" i="21"/>
  <c r="AC25" i="21"/>
  <c r="AC24" i="21"/>
  <c r="AC23" i="21"/>
  <c r="AC21" i="21"/>
  <c r="AC20" i="21"/>
  <c r="AC19" i="21"/>
  <c r="AC18" i="21"/>
  <c r="AC17" i="21"/>
  <c r="AC15" i="21"/>
  <c r="AC14" i="21"/>
  <c r="AC13" i="21"/>
  <c r="AC12" i="21"/>
  <c r="AC11" i="21"/>
  <c r="AC9" i="21"/>
  <c r="V15" i="21"/>
  <c r="V17" i="21"/>
  <c r="V18" i="21"/>
  <c r="V19" i="21"/>
  <c r="V20" i="21"/>
  <c r="V21" i="21"/>
  <c r="V23" i="21"/>
  <c r="V24" i="21"/>
  <c r="V25" i="21"/>
  <c r="V26" i="21"/>
  <c r="V9" i="21"/>
  <c r="V11" i="21"/>
  <c r="V12" i="21"/>
  <c r="V13" i="21"/>
  <c r="V14" i="21"/>
  <c r="G25" i="20"/>
  <c r="E24" i="20"/>
  <c r="I24" i="20" s="1"/>
  <c r="E25" i="20"/>
  <c r="AC544" i="14"/>
  <c r="AD544" i="14"/>
  <c r="AE544" i="14"/>
  <c r="AF544" i="14"/>
  <c r="AG544" i="14"/>
  <c r="AH544" i="14"/>
  <c r="AC545" i="14"/>
  <c r="AD545" i="14"/>
  <c r="AE545" i="14"/>
  <c r="AF545" i="14"/>
  <c r="AG545" i="14"/>
  <c r="AH545" i="14"/>
  <c r="AC546" i="14"/>
  <c r="AD546" i="14"/>
  <c r="AE546" i="14"/>
  <c r="AF546" i="14"/>
  <c r="AG546" i="14"/>
  <c r="AH546" i="14"/>
  <c r="AC547" i="14"/>
  <c r="AD547" i="14"/>
  <c r="AE547" i="14"/>
  <c r="AF547" i="14"/>
  <c r="AG547" i="14"/>
  <c r="AH547" i="14"/>
  <c r="AC548" i="14"/>
  <c r="AD548" i="14"/>
  <c r="AE548" i="14"/>
  <c r="AF548" i="14"/>
  <c r="AG548" i="14"/>
  <c r="AH548" i="14"/>
  <c r="AC549" i="14"/>
  <c r="AD549" i="14"/>
  <c r="AE549" i="14"/>
  <c r="AF549" i="14"/>
  <c r="AG549" i="14"/>
  <c r="AH549" i="14"/>
  <c r="AC550" i="14"/>
  <c r="AD550" i="14"/>
  <c r="AE550" i="14"/>
  <c r="AF550" i="14"/>
  <c r="AG550" i="14"/>
  <c r="AH550" i="14"/>
  <c r="AC551" i="14"/>
  <c r="AD551" i="14"/>
  <c r="AE551" i="14"/>
  <c r="AF551" i="14"/>
  <c r="AG551" i="14"/>
  <c r="AH551" i="14"/>
  <c r="AC552" i="14"/>
  <c r="AD552" i="14"/>
  <c r="AE552" i="14"/>
  <c r="AF552" i="14"/>
  <c r="AG552" i="14"/>
  <c r="AH552" i="14"/>
  <c r="AC553" i="14"/>
  <c r="AD553" i="14"/>
  <c r="AE553" i="14"/>
  <c r="AF553" i="14"/>
  <c r="AG553" i="14"/>
  <c r="AH553" i="14"/>
  <c r="AC554" i="14"/>
  <c r="AD554" i="14"/>
  <c r="AE554" i="14"/>
  <c r="AF554" i="14"/>
  <c r="AG554" i="14"/>
  <c r="AH554" i="14"/>
  <c r="AC555" i="14"/>
  <c r="AD555" i="14"/>
  <c r="AE555" i="14"/>
  <c r="AF555" i="14"/>
  <c r="AG555" i="14"/>
  <c r="AH555" i="14"/>
  <c r="AC556" i="14"/>
  <c r="AD556" i="14"/>
  <c r="AE556" i="14"/>
  <c r="AF556" i="14"/>
  <c r="AG556" i="14"/>
  <c r="AH556" i="14"/>
  <c r="AC557" i="14"/>
  <c r="AD557" i="14"/>
  <c r="AE557" i="14"/>
  <c r="AF557" i="14"/>
  <c r="AG557" i="14"/>
  <c r="AH557" i="14"/>
  <c r="AC558" i="14"/>
  <c r="AD558" i="14"/>
  <c r="AE558" i="14"/>
  <c r="AF558" i="14"/>
  <c r="AG558" i="14"/>
  <c r="AH558" i="14"/>
  <c r="AC559" i="14"/>
  <c r="AD559" i="14"/>
  <c r="AE559" i="14"/>
  <c r="AF559" i="14"/>
  <c r="AG559" i="14"/>
  <c r="AH559" i="14"/>
  <c r="AC560" i="14"/>
  <c r="AD560" i="14"/>
  <c r="AE560" i="14"/>
  <c r="AF560" i="14"/>
  <c r="AG560" i="14"/>
  <c r="AH560" i="14"/>
  <c r="AC561" i="14"/>
  <c r="AD561" i="14"/>
  <c r="AE561" i="14"/>
  <c r="AF561" i="14"/>
  <c r="AG561" i="14"/>
  <c r="AH561" i="14"/>
  <c r="AC562" i="14"/>
  <c r="AD562" i="14"/>
  <c r="AE562" i="14"/>
  <c r="AF562" i="14"/>
  <c r="AG562" i="14"/>
  <c r="AH562" i="14"/>
  <c r="AC563" i="14"/>
  <c r="AD563" i="14"/>
  <c r="AE563" i="14"/>
  <c r="AF563" i="14"/>
  <c r="AG563" i="14"/>
  <c r="AH563" i="14"/>
  <c r="AC564" i="14"/>
  <c r="AD564" i="14"/>
  <c r="AE564" i="14"/>
  <c r="AF564" i="14"/>
  <c r="AG564" i="14"/>
  <c r="AH564" i="14"/>
  <c r="AC565" i="14"/>
  <c r="AD565" i="14"/>
  <c r="AE565" i="14"/>
  <c r="AF565" i="14"/>
  <c r="AG565" i="14"/>
  <c r="AH565" i="14"/>
  <c r="AC566" i="14"/>
  <c r="AD566" i="14"/>
  <c r="AE566" i="14"/>
  <c r="AF566" i="14"/>
  <c r="AG566" i="14"/>
  <c r="AH566" i="14"/>
  <c r="AC567" i="14"/>
  <c r="AD567" i="14"/>
  <c r="AE567" i="14"/>
  <c r="AF567" i="14"/>
  <c r="AG567" i="14"/>
  <c r="AH567" i="14"/>
  <c r="AC568" i="14"/>
  <c r="AD568" i="14"/>
  <c r="AE568" i="14"/>
  <c r="AF568" i="14"/>
  <c r="AG568" i="14"/>
  <c r="AH568" i="14"/>
  <c r="AC569" i="14"/>
  <c r="AD569" i="14"/>
  <c r="AE569" i="14"/>
  <c r="AF569" i="14"/>
  <c r="AG569" i="14"/>
  <c r="AH569" i="14"/>
  <c r="AC570" i="14"/>
  <c r="AD570" i="14"/>
  <c r="AE570" i="14"/>
  <c r="AF570" i="14"/>
  <c r="AG570" i="14"/>
  <c r="AH570" i="14"/>
  <c r="AC571" i="14"/>
  <c r="AD571" i="14"/>
  <c r="AE571" i="14"/>
  <c r="AF571" i="14"/>
  <c r="AG571" i="14"/>
  <c r="AH571" i="14"/>
  <c r="AC572" i="14"/>
  <c r="AD572" i="14"/>
  <c r="AE572" i="14"/>
  <c r="AF572" i="14"/>
  <c r="AG572" i="14"/>
  <c r="AH572" i="14"/>
  <c r="AC573" i="14"/>
  <c r="AD573" i="14"/>
  <c r="AE573" i="14"/>
  <c r="AF573" i="14"/>
  <c r="AG573" i="14"/>
  <c r="AH573" i="14"/>
  <c r="AC574" i="14"/>
  <c r="AD574" i="14"/>
  <c r="AE574" i="14"/>
  <c r="AF574" i="14"/>
  <c r="AG574" i="14"/>
  <c r="AH574" i="14"/>
  <c r="AC575" i="14"/>
  <c r="AD575" i="14"/>
  <c r="AE575" i="14"/>
  <c r="AF575" i="14"/>
  <c r="AG575" i="14"/>
  <c r="AH575" i="14"/>
  <c r="AC576" i="14"/>
  <c r="AD576" i="14"/>
  <c r="AE576" i="14"/>
  <c r="AF576" i="14"/>
  <c r="AG576" i="14"/>
  <c r="AH576" i="14"/>
  <c r="AC577" i="14"/>
  <c r="AD577" i="14"/>
  <c r="AE577" i="14"/>
  <c r="AF577" i="14"/>
  <c r="AG577" i="14"/>
  <c r="AH577" i="14"/>
  <c r="AC578" i="14"/>
  <c r="AD578" i="14"/>
  <c r="AE578" i="14"/>
  <c r="AF578" i="14"/>
  <c r="AG578" i="14"/>
  <c r="AH578" i="14"/>
  <c r="AC579" i="14"/>
  <c r="AD579" i="14"/>
  <c r="AE579" i="14"/>
  <c r="AF579" i="14"/>
  <c r="AG579" i="14"/>
  <c r="AH579" i="14"/>
  <c r="AC580" i="14"/>
  <c r="AD580" i="14"/>
  <c r="AE580" i="14"/>
  <c r="AF580" i="14"/>
  <c r="AG580" i="14"/>
  <c r="AH580" i="14"/>
  <c r="AC581" i="14"/>
  <c r="AD581" i="14"/>
  <c r="AE581" i="14"/>
  <c r="AF581" i="14"/>
  <c r="AG581" i="14"/>
  <c r="AH581" i="14"/>
  <c r="AC582" i="14"/>
  <c r="AD582" i="14"/>
  <c r="AE582" i="14"/>
  <c r="AF582" i="14"/>
  <c r="AG582" i="14"/>
  <c r="AH582" i="14"/>
  <c r="AC583" i="14"/>
  <c r="AD583" i="14"/>
  <c r="AE583" i="14"/>
  <c r="AF583" i="14"/>
  <c r="AG583" i="14"/>
  <c r="AH583" i="14"/>
  <c r="AC584" i="14"/>
  <c r="AD584" i="14"/>
  <c r="AE584" i="14"/>
  <c r="AF584" i="14"/>
  <c r="AG584" i="14"/>
  <c r="AH584" i="14"/>
  <c r="AC585" i="14"/>
  <c r="AD585" i="14"/>
  <c r="AE585" i="14"/>
  <c r="AF585" i="14"/>
  <c r="AG585" i="14"/>
  <c r="AH585" i="14"/>
  <c r="AC586" i="14"/>
  <c r="AD586" i="14"/>
  <c r="AE586" i="14"/>
  <c r="AF586" i="14"/>
  <c r="AG586" i="14"/>
  <c r="AH586" i="14"/>
  <c r="AC587" i="14"/>
  <c r="AD587" i="14"/>
  <c r="AE587" i="14"/>
  <c r="AF587" i="14"/>
  <c r="AG587" i="14"/>
  <c r="AH587" i="14"/>
  <c r="AC588" i="14"/>
  <c r="AD588" i="14"/>
  <c r="AE588" i="14"/>
  <c r="AF588" i="14"/>
  <c r="AG588" i="14"/>
  <c r="AH588" i="14"/>
  <c r="AC589" i="14"/>
  <c r="AD589" i="14"/>
  <c r="AE589" i="14"/>
  <c r="AF589" i="14"/>
  <c r="AG589" i="14"/>
  <c r="AH589" i="14"/>
  <c r="AC590" i="14"/>
  <c r="AD590" i="14"/>
  <c r="AE590" i="14"/>
  <c r="AF590" i="14"/>
  <c r="AG590" i="14"/>
  <c r="AH590" i="14"/>
  <c r="AC591" i="14"/>
  <c r="AD591" i="14"/>
  <c r="AE591" i="14"/>
  <c r="AF591" i="14"/>
  <c r="AG591" i="14"/>
  <c r="AH591" i="14"/>
  <c r="AC592" i="14"/>
  <c r="AD592" i="14"/>
  <c r="AE592" i="14"/>
  <c r="AF592" i="14"/>
  <c r="AG592" i="14"/>
  <c r="AH592" i="14"/>
  <c r="AC593" i="14"/>
  <c r="AD593" i="14"/>
  <c r="AE593" i="14"/>
  <c r="AF593" i="14"/>
  <c r="AG593" i="14"/>
  <c r="AH593" i="14"/>
  <c r="AC594" i="14"/>
  <c r="AD594" i="14"/>
  <c r="AE594" i="14"/>
  <c r="AF594" i="14"/>
  <c r="AG594" i="14"/>
  <c r="AH594" i="14"/>
  <c r="AC595" i="14"/>
  <c r="AD595" i="14"/>
  <c r="AE595" i="14"/>
  <c r="AF595" i="14"/>
  <c r="AG595" i="14"/>
  <c r="AH595" i="14"/>
  <c r="AC596" i="14"/>
  <c r="AD596" i="14"/>
  <c r="AE596" i="14"/>
  <c r="AF596" i="14"/>
  <c r="AG596" i="14"/>
  <c r="AH596" i="14"/>
  <c r="AC597" i="14"/>
  <c r="AD597" i="14"/>
  <c r="AE597" i="14"/>
  <c r="AF597" i="14"/>
  <c r="AG597" i="14"/>
  <c r="AH597" i="14"/>
  <c r="AC598" i="14"/>
  <c r="AD598" i="14"/>
  <c r="AE598" i="14"/>
  <c r="AF598" i="14"/>
  <c r="AG598" i="14"/>
  <c r="AH598" i="14"/>
  <c r="AC599" i="14"/>
  <c r="AD599" i="14"/>
  <c r="AE599" i="14"/>
  <c r="AF599" i="14"/>
  <c r="AG599" i="14"/>
  <c r="AH599" i="14"/>
  <c r="AC600" i="14"/>
  <c r="AD600" i="14"/>
  <c r="AE600" i="14"/>
  <c r="AF600" i="14"/>
  <c r="AG600" i="14"/>
  <c r="AH600" i="14"/>
  <c r="AC601" i="14"/>
  <c r="AD601" i="14"/>
  <c r="AE601" i="14"/>
  <c r="AF601" i="14"/>
  <c r="AG601" i="14"/>
  <c r="AH601" i="14"/>
  <c r="AC602" i="14"/>
  <c r="AD602" i="14"/>
  <c r="AE602" i="14"/>
  <c r="AF602" i="14"/>
  <c r="AG602" i="14"/>
  <c r="AH602" i="14"/>
  <c r="AC603" i="14"/>
  <c r="AD603" i="14"/>
  <c r="AE603" i="14"/>
  <c r="AF603" i="14"/>
  <c r="AG603" i="14"/>
  <c r="AH603" i="14"/>
  <c r="AC604" i="14"/>
  <c r="AD604" i="14"/>
  <c r="AE604" i="14"/>
  <c r="AF604" i="14"/>
  <c r="AG604" i="14"/>
  <c r="AH604" i="14"/>
  <c r="AC605" i="14"/>
  <c r="AD605" i="14"/>
  <c r="AE605" i="14"/>
  <c r="AF605" i="14"/>
  <c r="AG605" i="14"/>
  <c r="AH605" i="14"/>
  <c r="AC606" i="14"/>
  <c r="AD606" i="14"/>
  <c r="AE606" i="14"/>
  <c r="AF606" i="14"/>
  <c r="AG606" i="14"/>
  <c r="AH606" i="14"/>
  <c r="AC607" i="14"/>
  <c r="AD607" i="14"/>
  <c r="AE607" i="14"/>
  <c r="AF607" i="14"/>
  <c r="AG607" i="14"/>
  <c r="AH607" i="14"/>
  <c r="AC608" i="14"/>
  <c r="AD608" i="14"/>
  <c r="AE608" i="14"/>
  <c r="AF608" i="14"/>
  <c r="AG608" i="14"/>
  <c r="AH608" i="14"/>
  <c r="AC609" i="14"/>
  <c r="AD609" i="14"/>
  <c r="AE609" i="14"/>
  <c r="AF609" i="14"/>
  <c r="AG609" i="14"/>
  <c r="AH609" i="14"/>
  <c r="AC610" i="14"/>
  <c r="AD610" i="14"/>
  <c r="AE610" i="14"/>
  <c r="AF610" i="14"/>
  <c r="AG610" i="14"/>
  <c r="AH610" i="14"/>
  <c r="AC611" i="14"/>
  <c r="AD611" i="14"/>
  <c r="AE611" i="14"/>
  <c r="AF611" i="14"/>
  <c r="AG611" i="14"/>
  <c r="AH611" i="14"/>
  <c r="AC612" i="14"/>
  <c r="AD612" i="14"/>
  <c r="AE612" i="14"/>
  <c r="AF612" i="14"/>
  <c r="AG612" i="14"/>
  <c r="AH612" i="14"/>
  <c r="AC613" i="14"/>
  <c r="AD613" i="14"/>
  <c r="AE613" i="14"/>
  <c r="AF613" i="14"/>
  <c r="AG613" i="14"/>
  <c r="AH613" i="14"/>
  <c r="AC614" i="14"/>
  <c r="AD614" i="14"/>
  <c r="AE614" i="14"/>
  <c r="AF614" i="14"/>
  <c r="AG614" i="14"/>
  <c r="AH614" i="14"/>
  <c r="AC615" i="14"/>
  <c r="AD615" i="14"/>
  <c r="AE615" i="14"/>
  <c r="AF615" i="14"/>
  <c r="AG615" i="14"/>
  <c r="AH615" i="14"/>
  <c r="AC616" i="14"/>
  <c r="AD616" i="14"/>
  <c r="AE616" i="14"/>
  <c r="AF616" i="14"/>
  <c r="AG616" i="14"/>
  <c r="AH616" i="14"/>
  <c r="AC617" i="14"/>
  <c r="AD617" i="14"/>
  <c r="AE617" i="14"/>
  <c r="AF617" i="14"/>
  <c r="AG617" i="14"/>
  <c r="AH617" i="14"/>
  <c r="AC618" i="14"/>
  <c r="AD618" i="14"/>
  <c r="AE618" i="14"/>
  <c r="AF618" i="14"/>
  <c r="AG618" i="14"/>
  <c r="AH618" i="14"/>
  <c r="AC619" i="14"/>
  <c r="AD619" i="14"/>
  <c r="AE619" i="14"/>
  <c r="AF619" i="14"/>
  <c r="AG619" i="14"/>
  <c r="AH619" i="14"/>
  <c r="AC620" i="14"/>
  <c r="AD620" i="14"/>
  <c r="AE620" i="14"/>
  <c r="AF620" i="14"/>
  <c r="AG620" i="14"/>
  <c r="AH620" i="14"/>
  <c r="AC621" i="14"/>
  <c r="AD621" i="14"/>
  <c r="AE621" i="14"/>
  <c r="AF621" i="14"/>
  <c r="AG621" i="14"/>
  <c r="AH621" i="14"/>
  <c r="AC622" i="14"/>
  <c r="AD622" i="14"/>
  <c r="AE622" i="14"/>
  <c r="AF622" i="14"/>
  <c r="AG622" i="14"/>
  <c r="AH622" i="14"/>
  <c r="AC623" i="14"/>
  <c r="AD623" i="14"/>
  <c r="AE623" i="14"/>
  <c r="AF623" i="14"/>
  <c r="AG623" i="14"/>
  <c r="AH623" i="14"/>
  <c r="AC624" i="14"/>
  <c r="AD624" i="14"/>
  <c r="AE624" i="14"/>
  <c r="AF624" i="14"/>
  <c r="AG624" i="14"/>
  <c r="AH624" i="14"/>
  <c r="AC625" i="14"/>
  <c r="AD625" i="14"/>
  <c r="AE625" i="14"/>
  <c r="AF625" i="14"/>
  <c r="AG625" i="14"/>
  <c r="AH625" i="14"/>
  <c r="AC626" i="14"/>
  <c r="AD626" i="14"/>
  <c r="AE626" i="14"/>
  <c r="AF626" i="14"/>
  <c r="AG626" i="14"/>
  <c r="AH626" i="14"/>
  <c r="AC627" i="14"/>
  <c r="AD627" i="14"/>
  <c r="AE627" i="14"/>
  <c r="AF627" i="14"/>
  <c r="AG627" i="14"/>
  <c r="AH627" i="14"/>
  <c r="AC628" i="14"/>
  <c r="AD628" i="14"/>
  <c r="AE628" i="14"/>
  <c r="AF628" i="14"/>
  <c r="AG628" i="14"/>
  <c r="AH628" i="14"/>
  <c r="AC629" i="14"/>
  <c r="AD629" i="14"/>
  <c r="AE629" i="14"/>
  <c r="AF629" i="14"/>
  <c r="AG629" i="14"/>
  <c r="AH629" i="14"/>
  <c r="AC630" i="14"/>
  <c r="AD630" i="14"/>
  <c r="AE630" i="14"/>
  <c r="AF630" i="14"/>
  <c r="AG630" i="14"/>
  <c r="AH630" i="14"/>
  <c r="AC631" i="14"/>
  <c r="AD631" i="14"/>
  <c r="AE631" i="14"/>
  <c r="AF631" i="14"/>
  <c r="AG631" i="14"/>
  <c r="AH631" i="14"/>
  <c r="AC632" i="14"/>
  <c r="AD632" i="14"/>
  <c r="AE632" i="14"/>
  <c r="AF632" i="14"/>
  <c r="AG632" i="14"/>
  <c r="AH632" i="14"/>
  <c r="AC633" i="14"/>
  <c r="AD633" i="14"/>
  <c r="AE633" i="14"/>
  <c r="AF633" i="14"/>
  <c r="AG633" i="14"/>
  <c r="AH633" i="14"/>
  <c r="AC634" i="14"/>
  <c r="AD634" i="14"/>
  <c r="AE634" i="14"/>
  <c r="AF634" i="14"/>
  <c r="AG634" i="14"/>
  <c r="AH634" i="14"/>
  <c r="AC635" i="14"/>
  <c r="AD635" i="14"/>
  <c r="AE635" i="14"/>
  <c r="AF635" i="14"/>
  <c r="AG635" i="14"/>
  <c r="AH635" i="14"/>
  <c r="AC636" i="14"/>
  <c r="AD636" i="14"/>
  <c r="AE636" i="14"/>
  <c r="AF636" i="14"/>
  <c r="AG636" i="14"/>
  <c r="AH636" i="14"/>
  <c r="AC637" i="14"/>
  <c r="AD637" i="14"/>
  <c r="AE637" i="14"/>
  <c r="AF637" i="14"/>
  <c r="AG637" i="14"/>
  <c r="AH637" i="14"/>
  <c r="AC638" i="14"/>
  <c r="AD638" i="14"/>
  <c r="AE638" i="14"/>
  <c r="AF638" i="14"/>
  <c r="AG638" i="14"/>
  <c r="AH638" i="14"/>
  <c r="AC639" i="14"/>
  <c r="AD639" i="14"/>
  <c r="AE639" i="14"/>
  <c r="AF639" i="14"/>
  <c r="AG639" i="14"/>
  <c r="AH639" i="14"/>
  <c r="AC640" i="14"/>
  <c r="AD640" i="14"/>
  <c r="AE640" i="14"/>
  <c r="AF640" i="14"/>
  <c r="AG640" i="14"/>
  <c r="AH640" i="14"/>
  <c r="AC641" i="14"/>
  <c r="AD641" i="14"/>
  <c r="AE641" i="14"/>
  <c r="AF641" i="14"/>
  <c r="AG641" i="14"/>
  <c r="AH641" i="14"/>
  <c r="AC642" i="14"/>
  <c r="AD642" i="14"/>
  <c r="AE642" i="14"/>
  <c r="AF642" i="14"/>
  <c r="AG642" i="14"/>
  <c r="AH642" i="14"/>
  <c r="AC643" i="14"/>
  <c r="AD643" i="14"/>
  <c r="AE643" i="14"/>
  <c r="AF643" i="14"/>
  <c r="AG643" i="14"/>
  <c r="AH643" i="14"/>
  <c r="AC644" i="14"/>
  <c r="AD644" i="14"/>
  <c r="AE644" i="14"/>
  <c r="AF644" i="14"/>
  <c r="AG644" i="14"/>
  <c r="AH644" i="14"/>
  <c r="AC645" i="14"/>
  <c r="AD645" i="14"/>
  <c r="AE645" i="14"/>
  <c r="AF645" i="14"/>
  <c r="AG645" i="14"/>
  <c r="AH645" i="14"/>
  <c r="AC646" i="14"/>
  <c r="AD646" i="14"/>
  <c r="AE646" i="14"/>
  <c r="AF646" i="14"/>
  <c r="AG646" i="14"/>
  <c r="AH646" i="14"/>
  <c r="AC647" i="14"/>
  <c r="AD647" i="14"/>
  <c r="AE647" i="14"/>
  <c r="AF647" i="14"/>
  <c r="AG647" i="14"/>
  <c r="AH647" i="14"/>
  <c r="AC648" i="14"/>
  <c r="AD648" i="14"/>
  <c r="AE648" i="14"/>
  <c r="AF648" i="14"/>
  <c r="AG648" i="14"/>
  <c r="AH648" i="14"/>
  <c r="AC649" i="14"/>
  <c r="AD649" i="14"/>
  <c r="AE649" i="14"/>
  <c r="AF649" i="14"/>
  <c r="AG649" i="14"/>
  <c r="AH649" i="14"/>
  <c r="AC650" i="14"/>
  <c r="AD650" i="14"/>
  <c r="AE650" i="14"/>
  <c r="AF650" i="14"/>
  <c r="AG650" i="14"/>
  <c r="AH650" i="14"/>
  <c r="AC651" i="14"/>
  <c r="AD651" i="14"/>
  <c r="AE651" i="14"/>
  <c r="AF651" i="14"/>
  <c r="AG651" i="14"/>
  <c r="AH651" i="14"/>
  <c r="AC652" i="14"/>
  <c r="AD652" i="14"/>
  <c r="AE652" i="14"/>
  <c r="AF652" i="14"/>
  <c r="AG652" i="14"/>
  <c r="AH652" i="14"/>
  <c r="AC653" i="14"/>
  <c r="AD653" i="14"/>
  <c r="AE653" i="14"/>
  <c r="AF653" i="14"/>
  <c r="AG653" i="14"/>
  <c r="AH653" i="14"/>
  <c r="AC654" i="14"/>
  <c r="AD654" i="14"/>
  <c r="AE654" i="14"/>
  <c r="AF654" i="14"/>
  <c r="AG654" i="14"/>
  <c r="AH654" i="14"/>
  <c r="AC655" i="14"/>
  <c r="AD655" i="14"/>
  <c r="AE655" i="14"/>
  <c r="AF655" i="14"/>
  <c r="AG655" i="14"/>
  <c r="AH655" i="14"/>
  <c r="AC656" i="14"/>
  <c r="AD656" i="14"/>
  <c r="AE656" i="14"/>
  <c r="AF656" i="14"/>
  <c r="AG656" i="14"/>
  <c r="AH656" i="14"/>
  <c r="AC657" i="14"/>
  <c r="AD657" i="14"/>
  <c r="AE657" i="14"/>
  <c r="AF657" i="14"/>
  <c r="AG657" i="14"/>
  <c r="AH657" i="14"/>
  <c r="AC658" i="14"/>
  <c r="AD658" i="14"/>
  <c r="AE658" i="14"/>
  <c r="AF658" i="14"/>
  <c r="AG658" i="14"/>
  <c r="AH658" i="14"/>
  <c r="AC659" i="14"/>
  <c r="AD659" i="14"/>
  <c r="AE659" i="14"/>
  <c r="AF659" i="14"/>
  <c r="AG659" i="14"/>
  <c r="AH659" i="14"/>
  <c r="AC660" i="14"/>
  <c r="AD660" i="14"/>
  <c r="AE660" i="14"/>
  <c r="AF660" i="14"/>
  <c r="AG660" i="14"/>
  <c r="AH660" i="14"/>
  <c r="AC661" i="14"/>
  <c r="AD661" i="14"/>
  <c r="AE661" i="14"/>
  <c r="AF661" i="14"/>
  <c r="AG661" i="14"/>
  <c r="AH661" i="14"/>
  <c r="AC662" i="14"/>
  <c r="AD662" i="14"/>
  <c r="AE662" i="14"/>
  <c r="AF662" i="14"/>
  <c r="AG662" i="14"/>
  <c r="AH662" i="14"/>
  <c r="AC663" i="14"/>
  <c r="AD663" i="14"/>
  <c r="AE663" i="14"/>
  <c r="AF663" i="14"/>
  <c r="AG663" i="14"/>
  <c r="AH663" i="14"/>
  <c r="AC664" i="14"/>
  <c r="AD664" i="14"/>
  <c r="AE664" i="14"/>
  <c r="AF664" i="14"/>
  <c r="AG664" i="14"/>
  <c r="AH664" i="14"/>
  <c r="AC665" i="14"/>
  <c r="AD665" i="14"/>
  <c r="AE665" i="14"/>
  <c r="AF665" i="14"/>
  <c r="AG665" i="14"/>
  <c r="AH665" i="14"/>
  <c r="AC666" i="14"/>
  <c r="AD666" i="14"/>
  <c r="AE666" i="14"/>
  <c r="AF666" i="14"/>
  <c r="AG666" i="14"/>
  <c r="AH666" i="14"/>
  <c r="AC667" i="14"/>
  <c r="AD667" i="14"/>
  <c r="AE667" i="14"/>
  <c r="AF667" i="14"/>
  <c r="AG667" i="14"/>
  <c r="AH667" i="14"/>
  <c r="AC668" i="14"/>
  <c r="AD668" i="14"/>
  <c r="AE668" i="14"/>
  <c r="AF668" i="14"/>
  <c r="AG668" i="14"/>
  <c r="AH668" i="14"/>
  <c r="AC669" i="14"/>
  <c r="AD669" i="14"/>
  <c r="AE669" i="14"/>
  <c r="AF669" i="14"/>
  <c r="AG669" i="14"/>
  <c r="AH669" i="14"/>
  <c r="AC670" i="14"/>
  <c r="AD670" i="14"/>
  <c r="AE670" i="14"/>
  <c r="AF670" i="14"/>
  <c r="AG670" i="14"/>
  <c r="AH670" i="14"/>
  <c r="AC671" i="14"/>
  <c r="AD671" i="14"/>
  <c r="AE671" i="14"/>
  <c r="AF671" i="14"/>
  <c r="AG671" i="14"/>
  <c r="AH671" i="14"/>
  <c r="AC672" i="14"/>
  <c r="AD672" i="14"/>
  <c r="AE672" i="14"/>
  <c r="AF672" i="14"/>
  <c r="AG672" i="14"/>
  <c r="AH672" i="14"/>
  <c r="AC673" i="14"/>
  <c r="AD673" i="14"/>
  <c r="AE673" i="14"/>
  <c r="AF673" i="14"/>
  <c r="AG673" i="14"/>
  <c r="AH673" i="14"/>
  <c r="AC674" i="14"/>
  <c r="AD674" i="14"/>
  <c r="AE674" i="14"/>
  <c r="AF674" i="14"/>
  <c r="AG674" i="14"/>
  <c r="AH674" i="14"/>
  <c r="AC675" i="14"/>
  <c r="AD675" i="14"/>
  <c r="AE675" i="14"/>
  <c r="AF675" i="14"/>
  <c r="AG675" i="14"/>
  <c r="AH675" i="14"/>
  <c r="AC676" i="14"/>
  <c r="AD676" i="14"/>
  <c r="AE676" i="14"/>
  <c r="AF676" i="14"/>
  <c r="AG676" i="14"/>
  <c r="AH676" i="14"/>
  <c r="AC677" i="14"/>
  <c r="AD677" i="14"/>
  <c r="AE677" i="14"/>
  <c r="AF677" i="14"/>
  <c r="AG677" i="14"/>
  <c r="AH677" i="14"/>
  <c r="AC678" i="14"/>
  <c r="AD678" i="14"/>
  <c r="AE678" i="14"/>
  <c r="AF678" i="14"/>
  <c r="AG678" i="14"/>
  <c r="AH678" i="14"/>
  <c r="AC679" i="14"/>
  <c r="AD679" i="14"/>
  <c r="AE679" i="14"/>
  <c r="AF679" i="14"/>
  <c r="AG679" i="14"/>
  <c r="AH679" i="14"/>
  <c r="AC680" i="14"/>
  <c r="AD680" i="14"/>
  <c r="AE680" i="14"/>
  <c r="AF680" i="14"/>
  <c r="AG680" i="14"/>
  <c r="AH680" i="14"/>
  <c r="AC681" i="14"/>
  <c r="AD681" i="14"/>
  <c r="AE681" i="14"/>
  <c r="AF681" i="14"/>
  <c r="AG681" i="14"/>
  <c r="AH681" i="14"/>
  <c r="AC682" i="14"/>
  <c r="AD682" i="14"/>
  <c r="AE682" i="14"/>
  <c r="AF682" i="14"/>
  <c r="AG682" i="14"/>
  <c r="AH682" i="14"/>
  <c r="AC683" i="14"/>
  <c r="AD683" i="14"/>
  <c r="AE683" i="14"/>
  <c r="AF683" i="14"/>
  <c r="AG683" i="14"/>
  <c r="AH683" i="14"/>
  <c r="AC684" i="14"/>
  <c r="AD684" i="14"/>
  <c r="AE684" i="14"/>
  <c r="AF684" i="14"/>
  <c r="AG684" i="14"/>
  <c r="AH684" i="14"/>
  <c r="AC685" i="14"/>
  <c r="AD685" i="14"/>
  <c r="AE685" i="14"/>
  <c r="AF685" i="14"/>
  <c r="AG685" i="14"/>
  <c r="AH685" i="14"/>
  <c r="AC686" i="14"/>
  <c r="AD686" i="14"/>
  <c r="AE686" i="14"/>
  <c r="AF686" i="14"/>
  <c r="AG686" i="14"/>
  <c r="AH686" i="14"/>
  <c r="AC687" i="14"/>
  <c r="AD687" i="14"/>
  <c r="AE687" i="14"/>
  <c r="AF687" i="14"/>
  <c r="AG687" i="14"/>
  <c r="AH687" i="14"/>
  <c r="AC688" i="14"/>
  <c r="AD688" i="14"/>
  <c r="AE688" i="14"/>
  <c r="AF688" i="14"/>
  <c r="AG688" i="14"/>
  <c r="AH688" i="14"/>
  <c r="AC689" i="14"/>
  <c r="AD689" i="14"/>
  <c r="AE689" i="14"/>
  <c r="AF689" i="14"/>
  <c r="AG689" i="14"/>
  <c r="AH689" i="14"/>
  <c r="AC690" i="14"/>
  <c r="AD690" i="14"/>
  <c r="AE690" i="14"/>
  <c r="AF690" i="14"/>
  <c r="AG690" i="14"/>
  <c r="AH690" i="14"/>
  <c r="AC691" i="14"/>
  <c r="AD691" i="14"/>
  <c r="AE691" i="14"/>
  <c r="AF691" i="14"/>
  <c r="AG691" i="14"/>
  <c r="AH691" i="14"/>
  <c r="AC692" i="14"/>
  <c r="AD692" i="14"/>
  <c r="AE692" i="14"/>
  <c r="AF692" i="14"/>
  <c r="AG692" i="14"/>
  <c r="AH692" i="14"/>
  <c r="AC693" i="14"/>
  <c r="AD693" i="14"/>
  <c r="AE693" i="14"/>
  <c r="AF693" i="14"/>
  <c r="AG693" i="14"/>
  <c r="AH693" i="14"/>
  <c r="AC694" i="14"/>
  <c r="AD694" i="14"/>
  <c r="AE694" i="14"/>
  <c r="AF694" i="14"/>
  <c r="AG694" i="14"/>
  <c r="AH694" i="14"/>
  <c r="AC695" i="14"/>
  <c r="AD695" i="14"/>
  <c r="AE695" i="14"/>
  <c r="AF695" i="14"/>
  <c r="AG695" i="14"/>
  <c r="AH695" i="14"/>
  <c r="AC696" i="14"/>
  <c r="AD696" i="14"/>
  <c r="AE696" i="14"/>
  <c r="AF696" i="14"/>
  <c r="AG696" i="14"/>
  <c r="AH696" i="14"/>
  <c r="AC697" i="14"/>
  <c r="AD697" i="14"/>
  <c r="AE697" i="14"/>
  <c r="AF697" i="14"/>
  <c r="AG697" i="14"/>
  <c r="AH697" i="14"/>
  <c r="AC698" i="14"/>
  <c r="AD698" i="14"/>
  <c r="AE698" i="14"/>
  <c r="AF698" i="14"/>
  <c r="AG698" i="14"/>
  <c r="AH698" i="14"/>
  <c r="AC699" i="14"/>
  <c r="AD699" i="14"/>
  <c r="AE699" i="14"/>
  <c r="AF699" i="14"/>
  <c r="AG699" i="14"/>
  <c r="AH699" i="14"/>
  <c r="AC700" i="14"/>
  <c r="AD700" i="14"/>
  <c r="AE700" i="14"/>
  <c r="AF700" i="14"/>
  <c r="AG700" i="14"/>
  <c r="AH700" i="14"/>
  <c r="AC701" i="14"/>
  <c r="AD701" i="14"/>
  <c r="AE701" i="14"/>
  <c r="AF701" i="14"/>
  <c r="AG701" i="14"/>
  <c r="AH701" i="14"/>
  <c r="AC702" i="14"/>
  <c r="AD702" i="14"/>
  <c r="AE702" i="14"/>
  <c r="AF702" i="14"/>
  <c r="AG702" i="14"/>
  <c r="AH702" i="14"/>
  <c r="AC703" i="14"/>
  <c r="AD703" i="14"/>
  <c r="AE703" i="14"/>
  <c r="AF703" i="14"/>
  <c r="AG703" i="14"/>
  <c r="AH703" i="14"/>
  <c r="AC704" i="14"/>
  <c r="AD704" i="14"/>
  <c r="AE704" i="14"/>
  <c r="AF704" i="14"/>
  <c r="AG704" i="14"/>
  <c r="AH704" i="14"/>
  <c r="AC705" i="14"/>
  <c r="AD705" i="14"/>
  <c r="AE705" i="14"/>
  <c r="AF705" i="14"/>
  <c r="AG705" i="14"/>
  <c r="AH705" i="14"/>
  <c r="AC706" i="14"/>
  <c r="AD706" i="14"/>
  <c r="AE706" i="14"/>
  <c r="AF706" i="14"/>
  <c r="AG706" i="14"/>
  <c r="AH706" i="14"/>
  <c r="AC707" i="14"/>
  <c r="AD707" i="14"/>
  <c r="AE707" i="14"/>
  <c r="AF707" i="14"/>
  <c r="AG707" i="14"/>
  <c r="AH707" i="14"/>
  <c r="AC708" i="14"/>
  <c r="AD708" i="14"/>
  <c r="AE708" i="14"/>
  <c r="AF708" i="14"/>
  <c r="AG708" i="14"/>
  <c r="AH708" i="14"/>
  <c r="AC709" i="14"/>
  <c r="AD709" i="14"/>
  <c r="AE709" i="14"/>
  <c r="AF709" i="14"/>
  <c r="AG709" i="14"/>
  <c r="AH709" i="14"/>
  <c r="AC710" i="14"/>
  <c r="AD710" i="14"/>
  <c r="AE710" i="14"/>
  <c r="AF710" i="14"/>
  <c r="AG710" i="14"/>
  <c r="AH710" i="14"/>
  <c r="AC711" i="14"/>
  <c r="AD711" i="14"/>
  <c r="AE711" i="14"/>
  <c r="AF711" i="14"/>
  <c r="AG711" i="14"/>
  <c r="AH711" i="14"/>
  <c r="AC712" i="14"/>
  <c r="AD712" i="14"/>
  <c r="AE712" i="14"/>
  <c r="AF712" i="14"/>
  <c r="AG712" i="14"/>
  <c r="AH712" i="14"/>
  <c r="AC713" i="14"/>
  <c r="AD713" i="14"/>
  <c r="AE713" i="14"/>
  <c r="AF713" i="14"/>
  <c r="AG713" i="14"/>
  <c r="AH713" i="14"/>
  <c r="AC714" i="14"/>
  <c r="AD714" i="14"/>
  <c r="AE714" i="14"/>
  <c r="AF714" i="14"/>
  <c r="AG714" i="14"/>
  <c r="AH714" i="14"/>
  <c r="AC715" i="14"/>
  <c r="AD715" i="14"/>
  <c r="AE715" i="14"/>
  <c r="AF715" i="14"/>
  <c r="AG715" i="14"/>
  <c r="AH715" i="14"/>
  <c r="AC716" i="14"/>
  <c r="AD716" i="14"/>
  <c r="AE716" i="14"/>
  <c r="AF716" i="14"/>
  <c r="AG716" i="14"/>
  <c r="AH716" i="14"/>
  <c r="AC717" i="14"/>
  <c r="AD717" i="14"/>
  <c r="AE717" i="14"/>
  <c r="AF717" i="14"/>
  <c r="AG717" i="14"/>
  <c r="AH717" i="14"/>
  <c r="AC718" i="14"/>
  <c r="AD718" i="14"/>
  <c r="AE718" i="14"/>
  <c r="AF718" i="14"/>
  <c r="AG718" i="14"/>
  <c r="AH718" i="14"/>
  <c r="AC719" i="14"/>
  <c r="AD719" i="14"/>
  <c r="AE719" i="14"/>
  <c r="AF719" i="14"/>
  <c r="AG719" i="14"/>
  <c r="AH719" i="14"/>
  <c r="AC720" i="14"/>
  <c r="AD720" i="14"/>
  <c r="AE720" i="14"/>
  <c r="AF720" i="14"/>
  <c r="AG720" i="14"/>
  <c r="AH720" i="14"/>
  <c r="AC721" i="14"/>
  <c r="AD721" i="14"/>
  <c r="AE721" i="14"/>
  <c r="AF721" i="14"/>
  <c r="AG721" i="14"/>
  <c r="AH721" i="14"/>
  <c r="AC722" i="14"/>
  <c r="AD722" i="14"/>
  <c r="AE722" i="14"/>
  <c r="AF722" i="14"/>
  <c r="AG722" i="14"/>
  <c r="AH722" i="14"/>
  <c r="AC723" i="14"/>
  <c r="AD723" i="14"/>
  <c r="AE723" i="14"/>
  <c r="AF723" i="14"/>
  <c r="AG723" i="14"/>
  <c r="AH723" i="14"/>
  <c r="AC724" i="14"/>
  <c r="AD724" i="14"/>
  <c r="AE724" i="14"/>
  <c r="AF724" i="14"/>
  <c r="AG724" i="14"/>
  <c r="AH724" i="14"/>
  <c r="AC725" i="14"/>
  <c r="AD725" i="14"/>
  <c r="AE725" i="14"/>
  <c r="AF725" i="14"/>
  <c r="AG725" i="14"/>
  <c r="AH725" i="14"/>
  <c r="AC726" i="14"/>
  <c r="AD726" i="14"/>
  <c r="AE726" i="14"/>
  <c r="AF726" i="14"/>
  <c r="AG726" i="14"/>
  <c r="AH726" i="14"/>
  <c r="AC727" i="14"/>
  <c r="AD727" i="14"/>
  <c r="AE727" i="14"/>
  <c r="AF727" i="14"/>
  <c r="AG727" i="14"/>
  <c r="AH727" i="14"/>
  <c r="AC728" i="14"/>
  <c r="AD728" i="14"/>
  <c r="AE728" i="14"/>
  <c r="AF728" i="14"/>
  <c r="AG728" i="14"/>
  <c r="AH728" i="14"/>
  <c r="AC729" i="14"/>
  <c r="AD729" i="14"/>
  <c r="AE729" i="14"/>
  <c r="AF729" i="14"/>
  <c r="AG729" i="14"/>
  <c r="AH729" i="14"/>
  <c r="AC730" i="14"/>
  <c r="AD730" i="14"/>
  <c r="AE730" i="14"/>
  <c r="AF730" i="14"/>
  <c r="AG730" i="14"/>
  <c r="AH730" i="14"/>
  <c r="AC731" i="14"/>
  <c r="AD731" i="14"/>
  <c r="AE731" i="14"/>
  <c r="AF731" i="14"/>
  <c r="AG731" i="14"/>
  <c r="AH731" i="14"/>
  <c r="AC732" i="14"/>
  <c r="AD732" i="14"/>
  <c r="AE732" i="14"/>
  <c r="AF732" i="14"/>
  <c r="AG732" i="14"/>
  <c r="AH732" i="14"/>
  <c r="AC733" i="14"/>
  <c r="AD733" i="14"/>
  <c r="AE733" i="14"/>
  <c r="AF733" i="14"/>
  <c r="AG733" i="14"/>
  <c r="AH733" i="14"/>
  <c r="AC734" i="14"/>
  <c r="AD734" i="14"/>
  <c r="AE734" i="14"/>
  <c r="AF734" i="14"/>
  <c r="AG734" i="14"/>
  <c r="AH734" i="14"/>
  <c r="AC735" i="14"/>
  <c r="AD735" i="14"/>
  <c r="AE735" i="14"/>
  <c r="AF735" i="14"/>
  <c r="AG735" i="14"/>
  <c r="AH735" i="14"/>
  <c r="AC736" i="14"/>
  <c r="AD736" i="14"/>
  <c r="AE736" i="14"/>
  <c r="AF736" i="14"/>
  <c r="AG736" i="14"/>
  <c r="AH736" i="14"/>
  <c r="AC737" i="14"/>
  <c r="AD737" i="14"/>
  <c r="AE737" i="14"/>
  <c r="AF737" i="14"/>
  <c r="AG737" i="14"/>
  <c r="AH737" i="14"/>
  <c r="AC738" i="14"/>
  <c r="AD738" i="14"/>
  <c r="AE738" i="14"/>
  <c r="AF738" i="14"/>
  <c r="AG738" i="14"/>
  <c r="AH738" i="14"/>
  <c r="AC739" i="14"/>
  <c r="AD739" i="14"/>
  <c r="AE739" i="14"/>
  <c r="AF739" i="14"/>
  <c r="AG739" i="14"/>
  <c r="AH739" i="14"/>
  <c r="AC740" i="14"/>
  <c r="AD740" i="14"/>
  <c r="AE740" i="14"/>
  <c r="AF740" i="14"/>
  <c r="AG740" i="14"/>
  <c r="AH740" i="14"/>
  <c r="AC741" i="14"/>
  <c r="AD741" i="14"/>
  <c r="AE741" i="14"/>
  <c r="AF741" i="14"/>
  <c r="AG741" i="14"/>
  <c r="AH741" i="14"/>
  <c r="AC742" i="14"/>
  <c r="AD742" i="14"/>
  <c r="AE742" i="14"/>
  <c r="AF742" i="14"/>
  <c r="AG742" i="14"/>
  <c r="AH742" i="14"/>
  <c r="AC743" i="14"/>
  <c r="AD743" i="14"/>
  <c r="AE743" i="14"/>
  <c r="AF743" i="14"/>
  <c r="AG743" i="14"/>
  <c r="AH743" i="14"/>
  <c r="AC744" i="14"/>
  <c r="AD744" i="14"/>
  <c r="AE744" i="14"/>
  <c r="AF744" i="14"/>
  <c r="AG744" i="14"/>
  <c r="AH744" i="14"/>
  <c r="AC745" i="14"/>
  <c r="AD745" i="14"/>
  <c r="AE745" i="14"/>
  <c r="AF745" i="14"/>
  <c r="AG745" i="14"/>
  <c r="AH745" i="14"/>
  <c r="AC746" i="14"/>
  <c r="AD746" i="14"/>
  <c r="AE746" i="14"/>
  <c r="AF746" i="14"/>
  <c r="AG746" i="14"/>
  <c r="AH746" i="14"/>
  <c r="AC747" i="14"/>
  <c r="AD747" i="14"/>
  <c r="AE747" i="14"/>
  <c r="AF747" i="14"/>
  <c r="AG747" i="14"/>
  <c r="AH747" i="14"/>
  <c r="AC748" i="14"/>
  <c r="AD748" i="14"/>
  <c r="AE748" i="14"/>
  <c r="AF748" i="14"/>
  <c r="AG748" i="14"/>
  <c r="AH748" i="14"/>
  <c r="AC749" i="14"/>
  <c r="AD749" i="14"/>
  <c r="AE749" i="14"/>
  <c r="AF749" i="14"/>
  <c r="AG749" i="14"/>
  <c r="AH749" i="14"/>
  <c r="AC750" i="14"/>
  <c r="AD750" i="14"/>
  <c r="AE750" i="14"/>
  <c r="AF750" i="14"/>
  <c r="AG750" i="14"/>
  <c r="AH750" i="14"/>
  <c r="AC751" i="14"/>
  <c r="AD751" i="14"/>
  <c r="AE751" i="14"/>
  <c r="AF751" i="14"/>
  <c r="AG751" i="14"/>
  <c r="AH751" i="14"/>
  <c r="AC752" i="14"/>
  <c r="AD752" i="14"/>
  <c r="AE752" i="14"/>
  <c r="AF752" i="14"/>
  <c r="AG752" i="14"/>
  <c r="AH752" i="14"/>
  <c r="AC753" i="14"/>
  <c r="AD753" i="14"/>
  <c r="AE753" i="14"/>
  <c r="AF753" i="14"/>
  <c r="AG753" i="14"/>
  <c r="AH753" i="14"/>
  <c r="AC754" i="14"/>
  <c r="AD754" i="14"/>
  <c r="AE754" i="14"/>
  <c r="AF754" i="14"/>
  <c r="AG754" i="14"/>
  <c r="AH754" i="14"/>
  <c r="AC755" i="14"/>
  <c r="AD755" i="14"/>
  <c r="AE755" i="14"/>
  <c r="AF755" i="14"/>
  <c r="AG755" i="14"/>
  <c r="AH755" i="14"/>
  <c r="AC756" i="14"/>
  <c r="AD756" i="14"/>
  <c r="AE756" i="14"/>
  <c r="AF756" i="14"/>
  <c r="AG756" i="14"/>
  <c r="AH756" i="14"/>
  <c r="AC757" i="14"/>
  <c r="AD757" i="14"/>
  <c r="AE757" i="14"/>
  <c r="AF757" i="14"/>
  <c r="AG757" i="14"/>
  <c r="AH757" i="14"/>
  <c r="AC758" i="14"/>
  <c r="AD758" i="14"/>
  <c r="AE758" i="14"/>
  <c r="AF758" i="14"/>
  <c r="AG758" i="14"/>
  <c r="AH758" i="14"/>
  <c r="AC759" i="14"/>
  <c r="AD759" i="14"/>
  <c r="AE759" i="14"/>
  <c r="AF759" i="14"/>
  <c r="AG759" i="14"/>
  <c r="AH759" i="14"/>
  <c r="AC760" i="14"/>
  <c r="AD760" i="14"/>
  <c r="AE760" i="14"/>
  <c r="AF760" i="14"/>
  <c r="AG760" i="14"/>
  <c r="AH760" i="14"/>
  <c r="AC761" i="14"/>
  <c r="AD761" i="14"/>
  <c r="AE761" i="14"/>
  <c r="AF761" i="14"/>
  <c r="AG761" i="14"/>
  <c r="AH761" i="14"/>
  <c r="AC762" i="14"/>
  <c r="AD762" i="14"/>
  <c r="AE762" i="14"/>
  <c r="AF762" i="14"/>
  <c r="AG762" i="14"/>
  <c r="AH762" i="14"/>
  <c r="AC763" i="14"/>
  <c r="AD763" i="14"/>
  <c r="AE763" i="14"/>
  <c r="AF763" i="14"/>
  <c r="AG763" i="14"/>
  <c r="AH763" i="14"/>
  <c r="AC764" i="14"/>
  <c r="AD764" i="14"/>
  <c r="AE764" i="14"/>
  <c r="AF764" i="14"/>
  <c r="AG764" i="14"/>
  <c r="AH764" i="14"/>
  <c r="AC765" i="14"/>
  <c r="AD765" i="14"/>
  <c r="AE765" i="14"/>
  <c r="AF765" i="14"/>
  <c r="AG765" i="14"/>
  <c r="AH765" i="14"/>
  <c r="AC766" i="14"/>
  <c r="AD766" i="14"/>
  <c r="AE766" i="14"/>
  <c r="AF766" i="14"/>
  <c r="AG766" i="14"/>
  <c r="AH766" i="14"/>
  <c r="AC767" i="14"/>
  <c r="AD767" i="14"/>
  <c r="AE767" i="14"/>
  <c r="AF767" i="14"/>
  <c r="AG767" i="14"/>
  <c r="AH767" i="14"/>
  <c r="AC768" i="14"/>
  <c r="AD768" i="14"/>
  <c r="AE768" i="14"/>
  <c r="AF768" i="14"/>
  <c r="AG768" i="14"/>
  <c r="AH768" i="14"/>
  <c r="AC769" i="14"/>
  <c r="AD769" i="14"/>
  <c r="AE769" i="14"/>
  <c r="AF769" i="14"/>
  <c r="AG769" i="14"/>
  <c r="AH769" i="14"/>
  <c r="AC770" i="14"/>
  <c r="AD770" i="14"/>
  <c r="AE770" i="14"/>
  <c r="AF770" i="14"/>
  <c r="AG770" i="14"/>
  <c r="AH770" i="14"/>
  <c r="AC771" i="14"/>
  <c r="AD771" i="14"/>
  <c r="AE771" i="14"/>
  <c r="AF771" i="14"/>
  <c r="AG771" i="14"/>
  <c r="AH771" i="14"/>
  <c r="AC772" i="14"/>
  <c r="AD772" i="14"/>
  <c r="AE772" i="14"/>
  <c r="AF772" i="14"/>
  <c r="AG772" i="14"/>
  <c r="AH772" i="14"/>
  <c r="AC773" i="14"/>
  <c r="AD773" i="14"/>
  <c r="AE773" i="14"/>
  <c r="AF773" i="14"/>
  <c r="AG773" i="14"/>
  <c r="AH773" i="14"/>
  <c r="AC774" i="14"/>
  <c r="AD774" i="14"/>
  <c r="AE774" i="14"/>
  <c r="AF774" i="14"/>
  <c r="AG774" i="14"/>
  <c r="AH774" i="14"/>
  <c r="AC775" i="14"/>
  <c r="AD775" i="14"/>
  <c r="AE775" i="14"/>
  <c r="AF775" i="14"/>
  <c r="AG775" i="14"/>
  <c r="AH775" i="14"/>
  <c r="AC776" i="14"/>
  <c r="AD776" i="14"/>
  <c r="AE776" i="14"/>
  <c r="AF776" i="14"/>
  <c r="AG776" i="14"/>
  <c r="AH776" i="14"/>
  <c r="AC777" i="14"/>
  <c r="AD777" i="14"/>
  <c r="AE777" i="14"/>
  <c r="AF777" i="14"/>
  <c r="AG777" i="14"/>
  <c r="AH777" i="14"/>
  <c r="AC778" i="14"/>
  <c r="AD778" i="14"/>
  <c r="AE778" i="14"/>
  <c r="AF778" i="14"/>
  <c r="AG778" i="14"/>
  <c r="AH778" i="14"/>
  <c r="AC779" i="14"/>
  <c r="AD779" i="14"/>
  <c r="AE779" i="14"/>
  <c r="AF779" i="14"/>
  <c r="AG779" i="14"/>
  <c r="AH779" i="14"/>
  <c r="AC780" i="14"/>
  <c r="AD780" i="14"/>
  <c r="AE780" i="14"/>
  <c r="AF780" i="14"/>
  <c r="AG780" i="14"/>
  <c r="AH780" i="14"/>
  <c r="AC781" i="14"/>
  <c r="AD781" i="14"/>
  <c r="AE781" i="14"/>
  <c r="AF781" i="14"/>
  <c r="AG781" i="14"/>
  <c r="AH781" i="14"/>
  <c r="AC782" i="14"/>
  <c r="AD782" i="14"/>
  <c r="AE782" i="14"/>
  <c r="AF782" i="14"/>
  <c r="AG782" i="14"/>
  <c r="AH782" i="14"/>
  <c r="AC783" i="14"/>
  <c r="AD783" i="14"/>
  <c r="AE783" i="14"/>
  <c r="AF783" i="14"/>
  <c r="AG783" i="14"/>
  <c r="AH783" i="14"/>
  <c r="AC784" i="14"/>
  <c r="AD784" i="14"/>
  <c r="AE784" i="14"/>
  <c r="AF784" i="14"/>
  <c r="AG784" i="14"/>
  <c r="AH784" i="14"/>
  <c r="AC785" i="14"/>
  <c r="AD785" i="14"/>
  <c r="AE785" i="14"/>
  <c r="AF785" i="14"/>
  <c r="AG785" i="14"/>
  <c r="AH785" i="14"/>
  <c r="AC786" i="14"/>
  <c r="AD786" i="14"/>
  <c r="AE786" i="14"/>
  <c r="AF786" i="14"/>
  <c r="AG786" i="14"/>
  <c r="AH786" i="14"/>
  <c r="AC787" i="14"/>
  <c r="AD787" i="14"/>
  <c r="AE787" i="14"/>
  <c r="AF787" i="14"/>
  <c r="AG787" i="14"/>
  <c r="AH787" i="14"/>
  <c r="AC788" i="14"/>
  <c r="AD788" i="14"/>
  <c r="AE788" i="14"/>
  <c r="AF788" i="14"/>
  <c r="AG788" i="14"/>
  <c r="AH788" i="14"/>
  <c r="AC789" i="14"/>
  <c r="AD789" i="14"/>
  <c r="AE789" i="14"/>
  <c r="AF789" i="14"/>
  <c r="AG789" i="14"/>
  <c r="AH789" i="14"/>
  <c r="AC790" i="14"/>
  <c r="AD790" i="14"/>
  <c r="AE790" i="14"/>
  <c r="AF790" i="14"/>
  <c r="AG790" i="14"/>
  <c r="AH790" i="14"/>
  <c r="AC791" i="14"/>
  <c r="AD791" i="14"/>
  <c r="AE791" i="14"/>
  <c r="AF791" i="14"/>
  <c r="AG791" i="14"/>
  <c r="AH791" i="14"/>
  <c r="AC792" i="14"/>
  <c r="AD792" i="14"/>
  <c r="AE792" i="14"/>
  <c r="AF792" i="14"/>
  <c r="AG792" i="14"/>
  <c r="AH792" i="14"/>
  <c r="AC793" i="14"/>
  <c r="AD793" i="14"/>
  <c r="AE793" i="14"/>
  <c r="AF793" i="14"/>
  <c r="AG793" i="14"/>
  <c r="AH793" i="14"/>
  <c r="AC794" i="14"/>
  <c r="AD794" i="14"/>
  <c r="AE794" i="14"/>
  <c r="AF794" i="14"/>
  <c r="AG794" i="14"/>
  <c r="AH794" i="14"/>
  <c r="AC795" i="14"/>
  <c r="AD795" i="14"/>
  <c r="AE795" i="14"/>
  <c r="AF795" i="14"/>
  <c r="AG795" i="14"/>
  <c r="AH795" i="14"/>
  <c r="AC796" i="14"/>
  <c r="AD796" i="14"/>
  <c r="AE796" i="14"/>
  <c r="AF796" i="14"/>
  <c r="AG796" i="14"/>
  <c r="AH796" i="14"/>
  <c r="AC797" i="14"/>
  <c r="AD797" i="14"/>
  <c r="AE797" i="14"/>
  <c r="AF797" i="14"/>
  <c r="AG797" i="14"/>
  <c r="AH797" i="14"/>
  <c r="AC798" i="14"/>
  <c r="AD798" i="14"/>
  <c r="AE798" i="14"/>
  <c r="AF798" i="14"/>
  <c r="AG798" i="14"/>
  <c r="AH798" i="14"/>
  <c r="AC799" i="14"/>
  <c r="AD799" i="14"/>
  <c r="AE799" i="14"/>
  <c r="AF799" i="14"/>
  <c r="AG799" i="14"/>
  <c r="AH799" i="14"/>
  <c r="AC800" i="14"/>
  <c r="AD800" i="14"/>
  <c r="AE800" i="14"/>
  <c r="AF800" i="14"/>
  <c r="AG800" i="14"/>
  <c r="AH800" i="14"/>
  <c r="AC801" i="14"/>
  <c r="AD801" i="14"/>
  <c r="AE801" i="14"/>
  <c r="AF801" i="14"/>
  <c r="AG801" i="14"/>
  <c r="AH801" i="14"/>
  <c r="AC802" i="14"/>
  <c r="AD802" i="14"/>
  <c r="AE802" i="14"/>
  <c r="AF802" i="14"/>
  <c r="AG802" i="14"/>
  <c r="AH802" i="14"/>
  <c r="AC803" i="14"/>
  <c r="AD803" i="14"/>
  <c r="AE803" i="14"/>
  <c r="AF803" i="14"/>
  <c r="AG803" i="14"/>
  <c r="AH803" i="14"/>
  <c r="AC804" i="14"/>
  <c r="AD804" i="14"/>
  <c r="AE804" i="14"/>
  <c r="AF804" i="14"/>
  <c r="AG804" i="14"/>
  <c r="AH804" i="14"/>
  <c r="AC805" i="14"/>
  <c r="AD805" i="14"/>
  <c r="AE805" i="14"/>
  <c r="AF805" i="14"/>
  <c r="AG805" i="14"/>
  <c r="AH805" i="14"/>
  <c r="AC806" i="14"/>
  <c r="AD806" i="14"/>
  <c r="AE806" i="14"/>
  <c r="AF806" i="14"/>
  <c r="AG806" i="14"/>
  <c r="AH806" i="14"/>
  <c r="AC807" i="14"/>
  <c r="AD807" i="14"/>
  <c r="AE807" i="14"/>
  <c r="AF807" i="14"/>
  <c r="AG807" i="14"/>
  <c r="AH807" i="14"/>
  <c r="AC808" i="14"/>
  <c r="AD808" i="14"/>
  <c r="AE808" i="14"/>
  <c r="AF808" i="14"/>
  <c r="AG808" i="14"/>
  <c r="AH808" i="14"/>
  <c r="AC809" i="14"/>
  <c r="AD809" i="14"/>
  <c r="AE809" i="14"/>
  <c r="AF809" i="14"/>
  <c r="AG809" i="14"/>
  <c r="AH809" i="14"/>
  <c r="AC810" i="14"/>
  <c r="AD810" i="14"/>
  <c r="AE810" i="14"/>
  <c r="AF810" i="14"/>
  <c r="AG810" i="14"/>
  <c r="AH810" i="14"/>
  <c r="AC811" i="14"/>
  <c r="AD811" i="14"/>
  <c r="AE811" i="14"/>
  <c r="AF811" i="14"/>
  <c r="AG811" i="14"/>
  <c r="AH811" i="14"/>
  <c r="AC812" i="14"/>
  <c r="AD812" i="14"/>
  <c r="AE812" i="14"/>
  <c r="AF812" i="14"/>
  <c r="AG812" i="14"/>
  <c r="AH812" i="14"/>
  <c r="AC813" i="14"/>
  <c r="AD813" i="14"/>
  <c r="AE813" i="14"/>
  <c r="AF813" i="14"/>
  <c r="AG813" i="14"/>
  <c r="AH813" i="14"/>
  <c r="AC814" i="14"/>
  <c r="AD814" i="14"/>
  <c r="AE814" i="14"/>
  <c r="AF814" i="14"/>
  <c r="AG814" i="14"/>
  <c r="AH814" i="14"/>
  <c r="AC815" i="14"/>
  <c r="AD815" i="14"/>
  <c r="AE815" i="14"/>
  <c r="AF815" i="14"/>
  <c r="AG815" i="14"/>
  <c r="AH815" i="14"/>
  <c r="AC816" i="14"/>
  <c r="AD816" i="14"/>
  <c r="AE816" i="14"/>
  <c r="AF816" i="14"/>
  <c r="AG816" i="14"/>
  <c r="AH816" i="14"/>
  <c r="AC817" i="14"/>
  <c r="AD817" i="14"/>
  <c r="AE817" i="14"/>
  <c r="AF817" i="14"/>
  <c r="AG817" i="14"/>
  <c r="AH817" i="14"/>
  <c r="AC818" i="14"/>
  <c r="AD818" i="14"/>
  <c r="AE818" i="14"/>
  <c r="AF818" i="14"/>
  <c r="AG818" i="14"/>
  <c r="AH818" i="14"/>
  <c r="AC819" i="14"/>
  <c r="AD819" i="14"/>
  <c r="AE819" i="14"/>
  <c r="AF819" i="14"/>
  <c r="AG819" i="14"/>
  <c r="AH819" i="14"/>
  <c r="AC820" i="14"/>
  <c r="AD820" i="14"/>
  <c r="AE820" i="14"/>
  <c r="AF820" i="14"/>
  <c r="AG820" i="14"/>
  <c r="AH820" i="14"/>
  <c r="AC821" i="14"/>
  <c r="AD821" i="14"/>
  <c r="AE821" i="14"/>
  <c r="AF821" i="14"/>
  <c r="AG821" i="14"/>
  <c r="AH821" i="14"/>
  <c r="AC822" i="14"/>
  <c r="AD822" i="14"/>
  <c r="AE822" i="14"/>
  <c r="AF822" i="14"/>
  <c r="AG822" i="14"/>
  <c r="AH822" i="14"/>
  <c r="AC823" i="14"/>
  <c r="AD823" i="14"/>
  <c r="AE823" i="14"/>
  <c r="AF823" i="14"/>
  <c r="AG823" i="14"/>
  <c r="AH823" i="14"/>
  <c r="AC824" i="14"/>
  <c r="AD824" i="14"/>
  <c r="AE824" i="14"/>
  <c r="AF824" i="14"/>
  <c r="AG824" i="14"/>
  <c r="AH824" i="14"/>
  <c r="AC825" i="14"/>
  <c r="AD825" i="14"/>
  <c r="AE825" i="14"/>
  <c r="AF825" i="14"/>
  <c r="AG825" i="14"/>
  <c r="AH825" i="14"/>
  <c r="AC826" i="14"/>
  <c r="AD826" i="14"/>
  <c r="AE826" i="14"/>
  <c r="AF826" i="14"/>
  <c r="AG826" i="14"/>
  <c r="AH826" i="14"/>
  <c r="AC827" i="14"/>
  <c r="AD827" i="14"/>
  <c r="AE827" i="14"/>
  <c r="AF827" i="14"/>
  <c r="AG827" i="14"/>
  <c r="AH827" i="14"/>
  <c r="AC828" i="14"/>
  <c r="AD828" i="14"/>
  <c r="AE828" i="14"/>
  <c r="AF828" i="14"/>
  <c r="AG828" i="14"/>
  <c r="AH828" i="14"/>
  <c r="AC829" i="14"/>
  <c r="AD829" i="14"/>
  <c r="AE829" i="14"/>
  <c r="AF829" i="14"/>
  <c r="AG829" i="14"/>
  <c r="AH829" i="14"/>
  <c r="AC830" i="14"/>
  <c r="AD830" i="14"/>
  <c r="AE830" i="14"/>
  <c r="AF830" i="14"/>
  <c r="AG830" i="14"/>
  <c r="AH830" i="14"/>
  <c r="AC831" i="14"/>
  <c r="AD831" i="14"/>
  <c r="AE831" i="14"/>
  <c r="AF831" i="14"/>
  <c r="AG831" i="14"/>
  <c r="AH831" i="14"/>
  <c r="AC832" i="14"/>
  <c r="AD832" i="14"/>
  <c r="AE832" i="14"/>
  <c r="AF832" i="14"/>
  <c r="AG832" i="14"/>
  <c r="AH832" i="14"/>
  <c r="AC833" i="14"/>
  <c r="AD833" i="14"/>
  <c r="AE833" i="14"/>
  <c r="AF833" i="14"/>
  <c r="AG833" i="14"/>
  <c r="AH833" i="14"/>
  <c r="AC834" i="14"/>
  <c r="AD834" i="14"/>
  <c r="AE834" i="14"/>
  <c r="AF834" i="14"/>
  <c r="AG834" i="14"/>
  <c r="AH834" i="14"/>
  <c r="AC835" i="14"/>
  <c r="AD835" i="14"/>
  <c r="AE835" i="14"/>
  <c r="AF835" i="14"/>
  <c r="AG835" i="14"/>
  <c r="AH835" i="14"/>
  <c r="AC836" i="14"/>
  <c r="AD836" i="14"/>
  <c r="AE836" i="14"/>
  <c r="AF836" i="14"/>
  <c r="AG836" i="14"/>
  <c r="AH836" i="14"/>
  <c r="AC837" i="14"/>
  <c r="AD837" i="14"/>
  <c r="AE837" i="14"/>
  <c r="AF837" i="14"/>
  <c r="AG837" i="14"/>
  <c r="AH837" i="14"/>
  <c r="AC838" i="14"/>
  <c r="AD838" i="14"/>
  <c r="AE838" i="14"/>
  <c r="AF838" i="14"/>
  <c r="AG838" i="14"/>
  <c r="AH838" i="14"/>
  <c r="AC839" i="14"/>
  <c r="AD839" i="14"/>
  <c r="AE839" i="14"/>
  <c r="AF839" i="14"/>
  <c r="AG839" i="14"/>
  <c r="AH839" i="14"/>
  <c r="AC840" i="14"/>
  <c r="AD840" i="14"/>
  <c r="AE840" i="14"/>
  <c r="AF840" i="14"/>
  <c r="AG840" i="14"/>
  <c r="AH840" i="14"/>
  <c r="AC841" i="14"/>
  <c r="AD841" i="14"/>
  <c r="AE841" i="14"/>
  <c r="AF841" i="14"/>
  <c r="AG841" i="14"/>
  <c r="AH841" i="14"/>
  <c r="AC842" i="14"/>
  <c r="AD842" i="14"/>
  <c r="AE842" i="14"/>
  <c r="AF842" i="14"/>
  <c r="AG842" i="14"/>
  <c r="AH842" i="14"/>
  <c r="AC843" i="14"/>
  <c r="AD843" i="14"/>
  <c r="AE843" i="14"/>
  <c r="AF843" i="14"/>
  <c r="AG843" i="14"/>
  <c r="AH843" i="14"/>
  <c r="AC844" i="14"/>
  <c r="AD844" i="14"/>
  <c r="AE844" i="14"/>
  <c r="AF844" i="14"/>
  <c r="AG844" i="14"/>
  <c r="AH844" i="14"/>
  <c r="AC845" i="14"/>
  <c r="AD845" i="14"/>
  <c r="AE845" i="14"/>
  <c r="AF845" i="14"/>
  <c r="AG845" i="14"/>
  <c r="AH845" i="14"/>
  <c r="AC846" i="14"/>
  <c r="AD846" i="14"/>
  <c r="AE846" i="14"/>
  <c r="AF846" i="14"/>
  <c r="AG846" i="14"/>
  <c r="AH846" i="14"/>
  <c r="AC847" i="14"/>
  <c r="AD847" i="14"/>
  <c r="AE847" i="14"/>
  <c r="AF847" i="14"/>
  <c r="AG847" i="14"/>
  <c r="AH847" i="14"/>
  <c r="AC848" i="14"/>
  <c r="AD848" i="14"/>
  <c r="AE848" i="14"/>
  <c r="AF848" i="14"/>
  <c r="AG848" i="14"/>
  <c r="AH848" i="14"/>
  <c r="AC849" i="14"/>
  <c r="AD849" i="14"/>
  <c r="AE849" i="14"/>
  <c r="AF849" i="14"/>
  <c r="AG849" i="14"/>
  <c r="AH849" i="14"/>
  <c r="AC850" i="14"/>
  <c r="AD850" i="14"/>
  <c r="AE850" i="14"/>
  <c r="AF850" i="14"/>
  <c r="AG850" i="14"/>
  <c r="AH850" i="14"/>
  <c r="AC851" i="14"/>
  <c r="AD851" i="14"/>
  <c r="AE851" i="14"/>
  <c r="AF851" i="14"/>
  <c r="AG851" i="14"/>
  <c r="AH851" i="14"/>
  <c r="AC852" i="14"/>
  <c r="AD852" i="14"/>
  <c r="AE852" i="14"/>
  <c r="AF852" i="14"/>
  <c r="AG852" i="14"/>
  <c r="AH852" i="14"/>
  <c r="AC853" i="14"/>
  <c r="AD853" i="14"/>
  <c r="AE853" i="14"/>
  <c r="AF853" i="14"/>
  <c r="AG853" i="14"/>
  <c r="AH853" i="14"/>
  <c r="AC854" i="14"/>
  <c r="AD854" i="14"/>
  <c r="AE854" i="14"/>
  <c r="AF854" i="14"/>
  <c r="AG854" i="14"/>
  <c r="AH854" i="14"/>
  <c r="AC855" i="14"/>
  <c r="AD855" i="14"/>
  <c r="AE855" i="14"/>
  <c r="AF855" i="14"/>
  <c r="AG855" i="14"/>
  <c r="AH855" i="14"/>
  <c r="AC856" i="14"/>
  <c r="AD856" i="14"/>
  <c r="AE856" i="14"/>
  <c r="AF856" i="14"/>
  <c r="AG856" i="14"/>
  <c r="AH856" i="14"/>
  <c r="AC857" i="14"/>
  <c r="AD857" i="14"/>
  <c r="AE857" i="14"/>
  <c r="AF857" i="14"/>
  <c r="AG857" i="14"/>
  <c r="AH857" i="14"/>
  <c r="AC858" i="14"/>
  <c r="AD858" i="14"/>
  <c r="AE858" i="14"/>
  <c r="AF858" i="14"/>
  <c r="AG858" i="14"/>
  <c r="AH858" i="14"/>
  <c r="AC859" i="14"/>
  <c r="AD859" i="14"/>
  <c r="AE859" i="14"/>
  <c r="AF859" i="14"/>
  <c r="AG859" i="14"/>
  <c r="AH859" i="14"/>
  <c r="AC860" i="14"/>
  <c r="AD860" i="14"/>
  <c r="AE860" i="14"/>
  <c r="AF860" i="14"/>
  <c r="AG860" i="14"/>
  <c r="AH860" i="14"/>
  <c r="AC861" i="14"/>
  <c r="AD861" i="14"/>
  <c r="AE861" i="14"/>
  <c r="AF861" i="14"/>
  <c r="AG861" i="14"/>
  <c r="AH861" i="14"/>
  <c r="AC862" i="14"/>
  <c r="AD862" i="14"/>
  <c r="AE862" i="14"/>
  <c r="AF862" i="14"/>
  <c r="AG862" i="14"/>
  <c r="AH862" i="14"/>
  <c r="AC863" i="14"/>
  <c r="AD863" i="14"/>
  <c r="AE863" i="14"/>
  <c r="AF863" i="14"/>
  <c r="AG863" i="14"/>
  <c r="AH863" i="14"/>
  <c r="AC864" i="14"/>
  <c r="AD864" i="14"/>
  <c r="AE864" i="14"/>
  <c r="AF864" i="14"/>
  <c r="AG864" i="14"/>
  <c r="AH864" i="14"/>
  <c r="AC865" i="14"/>
  <c r="AD865" i="14"/>
  <c r="AE865" i="14"/>
  <c r="AF865" i="14"/>
  <c r="AG865" i="14"/>
  <c r="AH865" i="14"/>
  <c r="AC866" i="14"/>
  <c r="AD866" i="14"/>
  <c r="AE866" i="14"/>
  <c r="AF866" i="14"/>
  <c r="AG866" i="14"/>
  <c r="AH866" i="14"/>
  <c r="AC867" i="14"/>
  <c r="AD867" i="14"/>
  <c r="AE867" i="14"/>
  <c r="AF867" i="14"/>
  <c r="AG867" i="14"/>
  <c r="AH867" i="14"/>
  <c r="AC868" i="14"/>
  <c r="AD868" i="14"/>
  <c r="AE868" i="14"/>
  <c r="AF868" i="14"/>
  <c r="AG868" i="14"/>
  <c r="AH868" i="14"/>
  <c r="AC869" i="14"/>
  <c r="AD869" i="14"/>
  <c r="AE869" i="14"/>
  <c r="AF869" i="14"/>
  <c r="AG869" i="14"/>
  <c r="AH869" i="14"/>
  <c r="AC870" i="14"/>
  <c r="AD870" i="14"/>
  <c r="AE870" i="14"/>
  <c r="AF870" i="14"/>
  <c r="AG870" i="14"/>
  <c r="AH870" i="14"/>
  <c r="AC871" i="14"/>
  <c r="AD871" i="14"/>
  <c r="AE871" i="14"/>
  <c r="AF871" i="14"/>
  <c r="AG871" i="14"/>
  <c r="AH871" i="14"/>
  <c r="AC872" i="14"/>
  <c r="AD872" i="14"/>
  <c r="AE872" i="14"/>
  <c r="AF872" i="14"/>
  <c r="AG872" i="14"/>
  <c r="AH872" i="14"/>
  <c r="AC873" i="14"/>
  <c r="AD873" i="14"/>
  <c r="AE873" i="14"/>
  <c r="AF873" i="14"/>
  <c r="AG873" i="14"/>
  <c r="AH873" i="14"/>
  <c r="AC874" i="14"/>
  <c r="AD874" i="14"/>
  <c r="AE874" i="14"/>
  <c r="AF874" i="14"/>
  <c r="AG874" i="14"/>
  <c r="AH874" i="14"/>
  <c r="AC875" i="14"/>
  <c r="AD875" i="14"/>
  <c r="AE875" i="14"/>
  <c r="AF875" i="14"/>
  <c r="AG875" i="14"/>
  <c r="AH875" i="14"/>
  <c r="AC876" i="14"/>
  <c r="AD876" i="14"/>
  <c r="AE876" i="14"/>
  <c r="AF876" i="14"/>
  <c r="AG876" i="14"/>
  <c r="AH876" i="14"/>
  <c r="AC877" i="14"/>
  <c r="AD877" i="14"/>
  <c r="AE877" i="14"/>
  <c r="AF877" i="14"/>
  <c r="AG877" i="14"/>
  <c r="AH877" i="14"/>
  <c r="AC878" i="14"/>
  <c r="AD878" i="14"/>
  <c r="AE878" i="14"/>
  <c r="AF878" i="14"/>
  <c r="AG878" i="14"/>
  <c r="AH878" i="14"/>
  <c r="AC879" i="14"/>
  <c r="AD879" i="14"/>
  <c r="AE879" i="14"/>
  <c r="AF879" i="14"/>
  <c r="AG879" i="14"/>
  <c r="AH879" i="14"/>
  <c r="AC880" i="14"/>
  <c r="AD880" i="14"/>
  <c r="AE880" i="14"/>
  <c r="AF880" i="14"/>
  <c r="AG880" i="14"/>
  <c r="AH880" i="14"/>
  <c r="AC881" i="14"/>
  <c r="AD881" i="14"/>
  <c r="AE881" i="14"/>
  <c r="AF881" i="14"/>
  <c r="AG881" i="14"/>
  <c r="AH881" i="14"/>
  <c r="AC882" i="14"/>
  <c r="AD882" i="14"/>
  <c r="AE882" i="14"/>
  <c r="AF882" i="14"/>
  <c r="AG882" i="14"/>
  <c r="AH882" i="14"/>
  <c r="AC883" i="14"/>
  <c r="AD883" i="14"/>
  <c r="AE883" i="14"/>
  <c r="AF883" i="14"/>
  <c r="AG883" i="14"/>
  <c r="AH883" i="14"/>
  <c r="AC884" i="14"/>
  <c r="AD884" i="14"/>
  <c r="AE884" i="14"/>
  <c r="AF884" i="14"/>
  <c r="AG884" i="14"/>
  <c r="AH884" i="14"/>
  <c r="AC885" i="14"/>
  <c r="AD885" i="14"/>
  <c r="AE885" i="14"/>
  <c r="AF885" i="14"/>
  <c r="AG885" i="14"/>
  <c r="AH885" i="14"/>
  <c r="AC886" i="14"/>
  <c r="AD886" i="14"/>
  <c r="AE886" i="14"/>
  <c r="AF886" i="14"/>
  <c r="AG886" i="14"/>
  <c r="AH886" i="14"/>
  <c r="AC887" i="14"/>
  <c r="AD887" i="14"/>
  <c r="AE887" i="14"/>
  <c r="AF887" i="14"/>
  <c r="AG887" i="14"/>
  <c r="AH887" i="14"/>
  <c r="AC888" i="14"/>
  <c r="AD888" i="14"/>
  <c r="AE888" i="14"/>
  <c r="AF888" i="14"/>
  <c r="AG888" i="14"/>
  <c r="AH888" i="14"/>
  <c r="AC889" i="14"/>
  <c r="AD889" i="14"/>
  <c r="AE889" i="14"/>
  <c r="AF889" i="14"/>
  <c r="AG889" i="14"/>
  <c r="AH889" i="14"/>
  <c r="AC890" i="14"/>
  <c r="AD890" i="14"/>
  <c r="AE890" i="14"/>
  <c r="AF890" i="14"/>
  <c r="AG890" i="14"/>
  <c r="AH890" i="14"/>
  <c r="AC891" i="14"/>
  <c r="AD891" i="14"/>
  <c r="AE891" i="14"/>
  <c r="AF891" i="14"/>
  <c r="AG891" i="14"/>
  <c r="AH891" i="14"/>
  <c r="AC892" i="14"/>
  <c r="AD892" i="14"/>
  <c r="AE892" i="14"/>
  <c r="AF892" i="14"/>
  <c r="AG892" i="14"/>
  <c r="AH892" i="14"/>
  <c r="AC893" i="14"/>
  <c r="AD893" i="14"/>
  <c r="AE893" i="14"/>
  <c r="AF893" i="14"/>
  <c r="AG893" i="14"/>
  <c r="AH893" i="14"/>
  <c r="AC894" i="14"/>
  <c r="AD894" i="14"/>
  <c r="AE894" i="14"/>
  <c r="AF894" i="14"/>
  <c r="AG894" i="14"/>
  <c r="AH894" i="14"/>
  <c r="AC895" i="14"/>
  <c r="AD895" i="14"/>
  <c r="AE895" i="14"/>
  <c r="AF895" i="14"/>
  <c r="AG895" i="14"/>
  <c r="AH895" i="14"/>
  <c r="AC896" i="14"/>
  <c r="AD896" i="14"/>
  <c r="AE896" i="14"/>
  <c r="AF896" i="14"/>
  <c r="AG896" i="14"/>
  <c r="AH896" i="14"/>
  <c r="AC897" i="14"/>
  <c r="AD897" i="14"/>
  <c r="AE897" i="14"/>
  <c r="AF897" i="14"/>
  <c r="AG897" i="14"/>
  <c r="AH897" i="14"/>
  <c r="AC898" i="14"/>
  <c r="AD898" i="14"/>
  <c r="AE898" i="14"/>
  <c r="AF898" i="14"/>
  <c r="AG898" i="14"/>
  <c r="AH898" i="14"/>
  <c r="AC899" i="14"/>
  <c r="AD899" i="14"/>
  <c r="AE899" i="14"/>
  <c r="AF899" i="14"/>
  <c r="AG899" i="14"/>
  <c r="AH899" i="14"/>
  <c r="AC900" i="14"/>
  <c r="AD900" i="14"/>
  <c r="AE900" i="14"/>
  <c r="AF900" i="14"/>
  <c r="AG900" i="14"/>
  <c r="AH900" i="14"/>
  <c r="AC901" i="14"/>
  <c r="AD901" i="14"/>
  <c r="AE901" i="14"/>
  <c r="AF901" i="14"/>
  <c r="AG901" i="14"/>
  <c r="AH901" i="14"/>
  <c r="AC902" i="14"/>
  <c r="AD902" i="14"/>
  <c r="AE902" i="14"/>
  <c r="AF902" i="14"/>
  <c r="AG902" i="14"/>
  <c r="AH902" i="14"/>
  <c r="AC903" i="14"/>
  <c r="AD903" i="14"/>
  <c r="AE903" i="14"/>
  <c r="AF903" i="14"/>
  <c r="AG903" i="14"/>
  <c r="AH903" i="14"/>
  <c r="AC904" i="14"/>
  <c r="AD904" i="14"/>
  <c r="AE904" i="14"/>
  <c r="AF904" i="14"/>
  <c r="AG904" i="14"/>
  <c r="AH904" i="14"/>
  <c r="AC905" i="14"/>
  <c r="AD905" i="14"/>
  <c r="AE905" i="14"/>
  <c r="AF905" i="14"/>
  <c r="AG905" i="14"/>
  <c r="AH905" i="14"/>
  <c r="AC906" i="14"/>
  <c r="AD906" i="14"/>
  <c r="AE906" i="14"/>
  <c r="AF906" i="14"/>
  <c r="AG906" i="14"/>
  <c r="AH906" i="14"/>
  <c r="AC907" i="14"/>
  <c r="AD907" i="14"/>
  <c r="AE907" i="14"/>
  <c r="AF907" i="14"/>
  <c r="AG907" i="14"/>
  <c r="AH907" i="14"/>
  <c r="AC908" i="14"/>
  <c r="AD908" i="14"/>
  <c r="AE908" i="14"/>
  <c r="AF908" i="14"/>
  <c r="AG908" i="14"/>
  <c r="AH908" i="14"/>
  <c r="AC909" i="14"/>
  <c r="AD909" i="14"/>
  <c r="AE909" i="14"/>
  <c r="AF909" i="14"/>
  <c r="AG909" i="14"/>
  <c r="AH909" i="14"/>
  <c r="AC910" i="14"/>
  <c r="AD910" i="14"/>
  <c r="AE910" i="14"/>
  <c r="AF910" i="14"/>
  <c r="AG910" i="14"/>
  <c r="AH910" i="14"/>
  <c r="AC911" i="14"/>
  <c r="AD911" i="14"/>
  <c r="AE911" i="14"/>
  <c r="AF911" i="14"/>
  <c r="AG911" i="14"/>
  <c r="AH911" i="14"/>
  <c r="AC912" i="14"/>
  <c r="AD912" i="14"/>
  <c r="AE912" i="14"/>
  <c r="AF912" i="14"/>
  <c r="AG912" i="14"/>
  <c r="AH912" i="14"/>
  <c r="AC913" i="14"/>
  <c r="AD913" i="14"/>
  <c r="AE913" i="14"/>
  <c r="AF913" i="14"/>
  <c r="AG913" i="14"/>
  <c r="AH913" i="14"/>
  <c r="AC914" i="14"/>
  <c r="AD914" i="14"/>
  <c r="AE914" i="14"/>
  <c r="AF914" i="14"/>
  <c r="AG914" i="14"/>
  <c r="AH914" i="14"/>
  <c r="AC915" i="14"/>
  <c r="AD915" i="14"/>
  <c r="AE915" i="14"/>
  <c r="AF915" i="14"/>
  <c r="AG915" i="14"/>
  <c r="AH915" i="14"/>
  <c r="AC916" i="14"/>
  <c r="AD916" i="14"/>
  <c r="AE916" i="14"/>
  <c r="AF916" i="14"/>
  <c r="AG916" i="14"/>
  <c r="AH916" i="14"/>
  <c r="AC917" i="14"/>
  <c r="AD917" i="14"/>
  <c r="AE917" i="14"/>
  <c r="AF917" i="14"/>
  <c r="AG917" i="14"/>
  <c r="AH917" i="14"/>
  <c r="AC918" i="14"/>
  <c r="AD918" i="14"/>
  <c r="AE918" i="14"/>
  <c r="AF918" i="14"/>
  <c r="AG918" i="14"/>
  <c r="AH918" i="14"/>
  <c r="AC919" i="14"/>
  <c r="AD919" i="14"/>
  <c r="AE919" i="14"/>
  <c r="AF919" i="14"/>
  <c r="AG919" i="14"/>
  <c r="AH919" i="14"/>
  <c r="AC920" i="14"/>
  <c r="AD920" i="14"/>
  <c r="AE920" i="14"/>
  <c r="AF920" i="14"/>
  <c r="AG920" i="14"/>
  <c r="AH920" i="14"/>
  <c r="AC921" i="14"/>
  <c r="AD921" i="14"/>
  <c r="AE921" i="14"/>
  <c r="AF921" i="14"/>
  <c r="AG921" i="14"/>
  <c r="AH921" i="14"/>
  <c r="AC922" i="14"/>
  <c r="AD922" i="14"/>
  <c r="AE922" i="14"/>
  <c r="AF922" i="14"/>
  <c r="AG922" i="14"/>
  <c r="AH922" i="14"/>
  <c r="AC923" i="14"/>
  <c r="AD923" i="14"/>
  <c r="AE923" i="14"/>
  <c r="AF923" i="14"/>
  <c r="AG923" i="14"/>
  <c r="AH923" i="14"/>
  <c r="AC924" i="14"/>
  <c r="AD924" i="14"/>
  <c r="AE924" i="14"/>
  <c r="AF924" i="14"/>
  <c r="AG924" i="14"/>
  <c r="AH924" i="14"/>
  <c r="AC925" i="14"/>
  <c r="AD925" i="14"/>
  <c r="AE925" i="14"/>
  <c r="AF925" i="14"/>
  <c r="AG925" i="14"/>
  <c r="AH925" i="14"/>
  <c r="AC926" i="14"/>
  <c r="AD926" i="14"/>
  <c r="AE926" i="14"/>
  <c r="AF926" i="14"/>
  <c r="AG926" i="14"/>
  <c r="AH926" i="14"/>
  <c r="AC927" i="14"/>
  <c r="AD927" i="14"/>
  <c r="AE927" i="14"/>
  <c r="AF927" i="14"/>
  <c r="AG927" i="14"/>
  <c r="AH927" i="14"/>
  <c r="AC928" i="14"/>
  <c r="AD928" i="14"/>
  <c r="AE928" i="14"/>
  <c r="AF928" i="14"/>
  <c r="AG928" i="14"/>
  <c r="AH928" i="14"/>
  <c r="AC929" i="14"/>
  <c r="AD929" i="14"/>
  <c r="AE929" i="14"/>
  <c r="AF929" i="14"/>
  <c r="AG929" i="14"/>
  <c r="AH929" i="14"/>
  <c r="AC930" i="14"/>
  <c r="AD930" i="14"/>
  <c r="AE930" i="14"/>
  <c r="AF930" i="14"/>
  <c r="AG930" i="14"/>
  <c r="AH930" i="14"/>
  <c r="AC931" i="14"/>
  <c r="AD931" i="14"/>
  <c r="AE931" i="14"/>
  <c r="AF931" i="14"/>
  <c r="AG931" i="14"/>
  <c r="AH931" i="14"/>
  <c r="AC932" i="14"/>
  <c r="AD932" i="14"/>
  <c r="AE932" i="14"/>
  <c r="AF932" i="14"/>
  <c r="AG932" i="14"/>
  <c r="AH932" i="14"/>
  <c r="AC933" i="14"/>
  <c r="AD933" i="14"/>
  <c r="AE933" i="14"/>
  <c r="AF933" i="14"/>
  <c r="AG933" i="14"/>
  <c r="AH933" i="14"/>
  <c r="AC934" i="14"/>
  <c r="AD934" i="14"/>
  <c r="AE934" i="14"/>
  <c r="AF934" i="14"/>
  <c r="AG934" i="14"/>
  <c r="AH934" i="14"/>
  <c r="AC935" i="14"/>
  <c r="AD935" i="14"/>
  <c r="AE935" i="14"/>
  <c r="AF935" i="14"/>
  <c r="AG935" i="14"/>
  <c r="AH935" i="14"/>
  <c r="AC936" i="14"/>
  <c r="AD936" i="14"/>
  <c r="AE936" i="14"/>
  <c r="AF936" i="14"/>
  <c r="AG936" i="14"/>
  <c r="AH936" i="14"/>
  <c r="AC937" i="14"/>
  <c r="AD937" i="14"/>
  <c r="AE937" i="14"/>
  <c r="AF937" i="14"/>
  <c r="AG937" i="14"/>
  <c r="AH937" i="14"/>
  <c r="AC938" i="14"/>
  <c r="AD938" i="14"/>
  <c r="AE938" i="14"/>
  <c r="AF938" i="14"/>
  <c r="AG938" i="14"/>
  <c r="AH938" i="14"/>
  <c r="AC939" i="14"/>
  <c r="AD939" i="14"/>
  <c r="AE939" i="14"/>
  <c r="AF939" i="14"/>
  <c r="AG939" i="14"/>
  <c r="AH939" i="14"/>
  <c r="AC940" i="14"/>
  <c r="AD940" i="14"/>
  <c r="AE940" i="14"/>
  <c r="AF940" i="14"/>
  <c r="AG940" i="14"/>
  <c r="AH940" i="14"/>
  <c r="AC941" i="14"/>
  <c r="AD941" i="14"/>
  <c r="AE941" i="14"/>
  <c r="AF941" i="14"/>
  <c r="AG941" i="14"/>
  <c r="AH941" i="14"/>
  <c r="AC942" i="14"/>
  <c r="AD942" i="14"/>
  <c r="AE942" i="14"/>
  <c r="AF942" i="14"/>
  <c r="AG942" i="14"/>
  <c r="AH942" i="14"/>
  <c r="AC943" i="14"/>
  <c r="AD943" i="14"/>
  <c r="AE943" i="14"/>
  <c r="AF943" i="14"/>
  <c r="AG943" i="14"/>
  <c r="AH943" i="14"/>
  <c r="AC944" i="14"/>
  <c r="AD944" i="14"/>
  <c r="AE944" i="14"/>
  <c r="AF944" i="14"/>
  <c r="AG944" i="14"/>
  <c r="AH944" i="14"/>
  <c r="AC945" i="14"/>
  <c r="AD945" i="14"/>
  <c r="AE945" i="14"/>
  <c r="AF945" i="14"/>
  <c r="AG945" i="14"/>
  <c r="AH945" i="14"/>
  <c r="AC946" i="14"/>
  <c r="AD946" i="14"/>
  <c r="AE946" i="14"/>
  <c r="AF946" i="14"/>
  <c r="AG946" i="14"/>
  <c r="AH946" i="14"/>
  <c r="AC947" i="14"/>
  <c r="AD947" i="14"/>
  <c r="AE947" i="14"/>
  <c r="AF947" i="14"/>
  <c r="AG947" i="14"/>
  <c r="AH947" i="14"/>
  <c r="AC948" i="14"/>
  <c r="AD948" i="14"/>
  <c r="AE948" i="14"/>
  <c r="AF948" i="14"/>
  <c r="AG948" i="14"/>
  <c r="AH948" i="14"/>
  <c r="AC949" i="14"/>
  <c r="AD949" i="14"/>
  <c r="AE949" i="14"/>
  <c r="AF949" i="14"/>
  <c r="AG949" i="14"/>
  <c r="AH949" i="14"/>
  <c r="AC950" i="14"/>
  <c r="AD950" i="14"/>
  <c r="AE950" i="14"/>
  <c r="AF950" i="14"/>
  <c r="AG950" i="14"/>
  <c r="AH950" i="14"/>
  <c r="AC951" i="14"/>
  <c r="AD951" i="14"/>
  <c r="AE951" i="14"/>
  <c r="AF951" i="14"/>
  <c r="AG951" i="14"/>
  <c r="AH951" i="14"/>
  <c r="AC952" i="14"/>
  <c r="AD952" i="14"/>
  <c r="AE952" i="14"/>
  <c r="AF952" i="14"/>
  <c r="AG952" i="14"/>
  <c r="AH952" i="14"/>
  <c r="AC953" i="14"/>
  <c r="AD953" i="14"/>
  <c r="AE953" i="14"/>
  <c r="AF953" i="14"/>
  <c r="AG953" i="14"/>
  <c r="AH953" i="14"/>
  <c r="AC954" i="14"/>
  <c r="AD954" i="14"/>
  <c r="AE954" i="14"/>
  <c r="AF954" i="14"/>
  <c r="AG954" i="14"/>
  <c r="AH954" i="14"/>
  <c r="AC955" i="14"/>
  <c r="AD955" i="14"/>
  <c r="AE955" i="14"/>
  <c r="AF955" i="14"/>
  <c r="AG955" i="14"/>
  <c r="AH955" i="14"/>
  <c r="AC956" i="14"/>
  <c r="AD956" i="14"/>
  <c r="AE956" i="14"/>
  <c r="AF956" i="14"/>
  <c r="AG956" i="14"/>
  <c r="AH956" i="14"/>
  <c r="AC957" i="14"/>
  <c r="AD957" i="14"/>
  <c r="AE957" i="14"/>
  <c r="AF957" i="14"/>
  <c r="AG957" i="14"/>
  <c r="AH957" i="14"/>
  <c r="AC958" i="14"/>
  <c r="AD958" i="14"/>
  <c r="AE958" i="14"/>
  <c r="AF958" i="14"/>
  <c r="AG958" i="14"/>
  <c r="AH958" i="14"/>
  <c r="AC959" i="14"/>
  <c r="AD959" i="14"/>
  <c r="AE959" i="14"/>
  <c r="AF959" i="14"/>
  <c r="AG959" i="14"/>
  <c r="AH959" i="14"/>
  <c r="AC960" i="14"/>
  <c r="AD960" i="14"/>
  <c r="AE960" i="14"/>
  <c r="AF960" i="14"/>
  <c r="AG960" i="14"/>
  <c r="AH960" i="14"/>
  <c r="AC961" i="14"/>
  <c r="AD961" i="14"/>
  <c r="AE961" i="14"/>
  <c r="AF961" i="14"/>
  <c r="AG961" i="14"/>
  <c r="AH961" i="14"/>
  <c r="AC962" i="14"/>
  <c r="AD962" i="14"/>
  <c r="AE962" i="14"/>
  <c r="AF962" i="14"/>
  <c r="AG962" i="14"/>
  <c r="AH962" i="14"/>
  <c r="AC963" i="14"/>
  <c r="AD963" i="14"/>
  <c r="AE963" i="14"/>
  <c r="AF963" i="14"/>
  <c r="AG963" i="14"/>
  <c r="AH963" i="14"/>
  <c r="AC964" i="14"/>
  <c r="AD964" i="14"/>
  <c r="AE964" i="14"/>
  <c r="AF964" i="14"/>
  <c r="AG964" i="14"/>
  <c r="AH964" i="14"/>
  <c r="AC965" i="14"/>
  <c r="AD965" i="14"/>
  <c r="AE965" i="14"/>
  <c r="AF965" i="14"/>
  <c r="AG965" i="14"/>
  <c r="AH965" i="14"/>
  <c r="AC966" i="14"/>
  <c r="AD966" i="14"/>
  <c r="AE966" i="14"/>
  <c r="AF966" i="14"/>
  <c r="AG966" i="14"/>
  <c r="AH966" i="14"/>
  <c r="AC967" i="14"/>
  <c r="AD967" i="14"/>
  <c r="AE967" i="14"/>
  <c r="AF967" i="14"/>
  <c r="AG967" i="14"/>
  <c r="AH967" i="14"/>
  <c r="AC968" i="14"/>
  <c r="AD968" i="14"/>
  <c r="AE968" i="14"/>
  <c r="AF968" i="14"/>
  <c r="AG968" i="14"/>
  <c r="AH968" i="14"/>
  <c r="AC969" i="14"/>
  <c r="AD969" i="14"/>
  <c r="AE969" i="14"/>
  <c r="AF969" i="14"/>
  <c r="AG969" i="14"/>
  <c r="AH969" i="14"/>
  <c r="AC970" i="14"/>
  <c r="AD970" i="14"/>
  <c r="AE970" i="14"/>
  <c r="AF970" i="14"/>
  <c r="AG970" i="14"/>
  <c r="AH970" i="14"/>
  <c r="AC971" i="14"/>
  <c r="AD971" i="14"/>
  <c r="AE971" i="14"/>
  <c r="AF971" i="14"/>
  <c r="AG971" i="14"/>
  <c r="AH971" i="14"/>
  <c r="AC972" i="14"/>
  <c r="AD972" i="14"/>
  <c r="AE972" i="14"/>
  <c r="AF972" i="14"/>
  <c r="AG972" i="14"/>
  <c r="AH972" i="14"/>
  <c r="AC973" i="14"/>
  <c r="AD973" i="14"/>
  <c r="AE973" i="14"/>
  <c r="AF973" i="14"/>
  <c r="AG973" i="14"/>
  <c r="AH973" i="14"/>
  <c r="AC974" i="14"/>
  <c r="AD974" i="14"/>
  <c r="AE974" i="14"/>
  <c r="AF974" i="14"/>
  <c r="AG974" i="14"/>
  <c r="AH974" i="14"/>
  <c r="AC975" i="14"/>
  <c r="AD975" i="14"/>
  <c r="AE975" i="14"/>
  <c r="AF975" i="14"/>
  <c r="AG975" i="14"/>
  <c r="AH975" i="14"/>
  <c r="AC976" i="14"/>
  <c r="AD976" i="14"/>
  <c r="AE976" i="14"/>
  <c r="AF976" i="14"/>
  <c r="AG976" i="14"/>
  <c r="AH976" i="14"/>
  <c r="AC977" i="14"/>
  <c r="AD977" i="14"/>
  <c r="AE977" i="14"/>
  <c r="AF977" i="14"/>
  <c r="AG977" i="14"/>
  <c r="AH977" i="14"/>
  <c r="AC978" i="14"/>
  <c r="AD978" i="14"/>
  <c r="AE978" i="14"/>
  <c r="AF978" i="14"/>
  <c r="AG978" i="14"/>
  <c r="AH978" i="14"/>
  <c r="AC979" i="14"/>
  <c r="AD979" i="14"/>
  <c r="AE979" i="14"/>
  <c r="AF979" i="14"/>
  <c r="AG979" i="14"/>
  <c r="AH979" i="14"/>
  <c r="AC980" i="14"/>
  <c r="AD980" i="14"/>
  <c r="AE980" i="14"/>
  <c r="AF980" i="14"/>
  <c r="AG980" i="14"/>
  <c r="AH980" i="14"/>
  <c r="AC981" i="14"/>
  <c r="AD981" i="14"/>
  <c r="AE981" i="14"/>
  <c r="AF981" i="14"/>
  <c r="AG981" i="14"/>
  <c r="AH981" i="14"/>
  <c r="AC982" i="14"/>
  <c r="AD982" i="14"/>
  <c r="AE982" i="14"/>
  <c r="AF982" i="14"/>
  <c r="AG982" i="14"/>
  <c r="AH982" i="14"/>
  <c r="AC983" i="14"/>
  <c r="AD983" i="14"/>
  <c r="AE983" i="14"/>
  <c r="AF983" i="14"/>
  <c r="AG983" i="14"/>
  <c r="AH983" i="14"/>
  <c r="AC984" i="14"/>
  <c r="AD984" i="14"/>
  <c r="AE984" i="14"/>
  <c r="AF984" i="14"/>
  <c r="AG984" i="14"/>
  <c r="AH984" i="14"/>
  <c r="AC985" i="14"/>
  <c r="AD985" i="14"/>
  <c r="AE985" i="14"/>
  <c r="AF985" i="14"/>
  <c r="AG985" i="14"/>
  <c r="AH985" i="14"/>
  <c r="AC986" i="14"/>
  <c r="AD986" i="14"/>
  <c r="AE986" i="14"/>
  <c r="AF986" i="14"/>
  <c r="AG986" i="14"/>
  <c r="AH986" i="14"/>
  <c r="AC987" i="14"/>
  <c r="AD987" i="14"/>
  <c r="AE987" i="14"/>
  <c r="AF987" i="14"/>
  <c r="AG987" i="14"/>
  <c r="AH987" i="14"/>
  <c r="AC988" i="14"/>
  <c r="AD988" i="14"/>
  <c r="AE988" i="14"/>
  <c r="AF988" i="14"/>
  <c r="AG988" i="14"/>
  <c r="AH988" i="14"/>
  <c r="AC989" i="14"/>
  <c r="AD989" i="14"/>
  <c r="AE989" i="14"/>
  <c r="AF989" i="14"/>
  <c r="AG989" i="14"/>
  <c r="AH989" i="14"/>
  <c r="AC990" i="14"/>
  <c r="AD990" i="14"/>
  <c r="AE990" i="14"/>
  <c r="AF990" i="14"/>
  <c r="AG990" i="14"/>
  <c r="AH990" i="14"/>
  <c r="AC991" i="14"/>
  <c r="AD991" i="14"/>
  <c r="AE991" i="14"/>
  <c r="AF991" i="14"/>
  <c r="AG991" i="14"/>
  <c r="AH991" i="14"/>
  <c r="AC992" i="14"/>
  <c r="AD992" i="14"/>
  <c r="AE992" i="14"/>
  <c r="AF992" i="14"/>
  <c r="AG992" i="14"/>
  <c r="AH992" i="14"/>
  <c r="AC993" i="14"/>
  <c r="AD993" i="14"/>
  <c r="AE993" i="14"/>
  <c r="AF993" i="14"/>
  <c r="AG993" i="14"/>
  <c r="AH993" i="14"/>
  <c r="AC994" i="14"/>
  <c r="AD994" i="14"/>
  <c r="AE994" i="14"/>
  <c r="AF994" i="14"/>
  <c r="AG994" i="14"/>
  <c r="AH994" i="14"/>
  <c r="AC995" i="14"/>
  <c r="AD995" i="14"/>
  <c r="AE995" i="14"/>
  <c r="AF995" i="14"/>
  <c r="AG995" i="14"/>
  <c r="AH995" i="14"/>
  <c r="AC996" i="14"/>
  <c r="AD996" i="14"/>
  <c r="AE996" i="14"/>
  <c r="AF996" i="14"/>
  <c r="AG996" i="14"/>
  <c r="AH996" i="14"/>
  <c r="AC997" i="14"/>
  <c r="AD997" i="14"/>
  <c r="AE997" i="14"/>
  <c r="AF997" i="14"/>
  <c r="AG997" i="14"/>
  <c r="AH997" i="14"/>
  <c r="AC998" i="14"/>
  <c r="AD998" i="14"/>
  <c r="AE998" i="14"/>
  <c r="AF998" i="14"/>
  <c r="AG998" i="14"/>
  <c r="AH998" i="14"/>
  <c r="AC999" i="14"/>
  <c r="AD999" i="14"/>
  <c r="AE999" i="14"/>
  <c r="AF999" i="14"/>
  <c r="AG999" i="14"/>
  <c r="AH999" i="14"/>
  <c r="AC1000" i="14"/>
  <c r="AD1000" i="14"/>
  <c r="AE1000" i="14"/>
  <c r="AF1000" i="14"/>
  <c r="AG1000" i="14"/>
  <c r="AH1000" i="14"/>
  <c r="AC1001" i="14"/>
  <c r="AD1001" i="14"/>
  <c r="AE1001" i="14"/>
  <c r="AF1001" i="14"/>
  <c r="AG1001" i="14"/>
  <c r="AH1001" i="14"/>
  <c r="AC1002" i="14"/>
  <c r="AD1002" i="14"/>
  <c r="AE1002" i="14"/>
  <c r="AF1002" i="14"/>
  <c r="AG1002" i="14"/>
  <c r="AH1002" i="14"/>
  <c r="AC1003" i="14"/>
  <c r="AD1003" i="14"/>
  <c r="AE1003" i="14"/>
  <c r="AF1003" i="14"/>
  <c r="AG1003" i="14"/>
  <c r="AH1003" i="14"/>
  <c r="AC1004" i="14"/>
  <c r="AD1004" i="14"/>
  <c r="AE1004" i="14"/>
  <c r="AF1004" i="14"/>
  <c r="AG1004" i="14"/>
  <c r="AH1004" i="14"/>
  <c r="AC1005" i="14"/>
  <c r="AD1005" i="14"/>
  <c r="AE1005" i="14"/>
  <c r="AF1005" i="14"/>
  <c r="AG1005" i="14"/>
  <c r="AH1005" i="14"/>
  <c r="AC1006" i="14"/>
  <c r="AD1006" i="14"/>
  <c r="AE1006" i="14"/>
  <c r="AF1006" i="14"/>
  <c r="AG1006" i="14"/>
  <c r="AH1006" i="14"/>
  <c r="AC1007" i="14"/>
  <c r="AD1007" i="14"/>
  <c r="AE1007" i="14"/>
  <c r="AF1007" i="14"/>
  <c r="AG1007" i="14"/>
  <c r="AH1007" i="14"/>
  <c r="AC1008" i="14"/>
  <c r="AD1008" i="14"/>
  <c r="AE1008" i="14"/>
  <c r="AF1008" i="14"/>
  <c r="AG1008" i="14"/>
  <c r="AH1008" i="14"/>
  <c r="AC1009" i="14"/>
  <c r="AD1009" i="14"/>
  <c r="AE1009" i="14"/>
  <c r="AF1009" i="14"/>
  <c r="AG1009" i="14"/>
  <c r="AH1009" i="14"/>
  <c r="AC1010" i="14"/>
  <c r="AD1010" i="14"/>
  <c r="AE1010" i="14"/>
  <c r="AF1010" i="14"/>
  <c r="AG1010" i="14"/>
  <c r="AH1010" i="14"/>
  <c r="AC1011" i="14"/>
  <c r="AD1011" i="14"/>
  <c r="AE1011" i="14"/>
  <c r="AF1011" i="14"/>
  <c r="AG1011" i="14"/>
  <c r="AH1011" i="14"/>
  <c r="AC1012" i="14"/>
  <c r="AD1012" i="14"/>
  <c r="AE1012" i="14"/>
  <c r="AF1012" i="14"/>
  <c r="AG1012" i="14"/>
  <c r="AH1012" i="14"/>
  <c r="AC1013" i="14"/>
  <c r="AD1013" i="14"/>
  <c r="AE1013" i="14"/>
  <c r="AF1013" i="14"/>
  <c r="AG1013" i="14"/>
  <c r="AH1013" i="14"/>
  <c r="AC1014" i="14"/>
  <c r="AD1014" i="14"/>
  <c r="AE1014" i="14"/>
  <c r="AF1014" i="14"/>
  <c r="AG1014" i="14"/>
  <c r="AH1014" i="14"/>
  <c r="AC1015" i="14"/>
  <c r="AD1015" i="14"/>
  <c r="AE1015" i="14"/>
  <c r="AF1015" i="14"/>
  <c r="AG1015" i="14"/>
  <c r="AH1015" i="14"/>
  <c r="AC1016" i="14"/>
  <c r="AD1016" i="14"/>
  <c r="AE1016" i="14"/>
  <c r="AF1016" i="14"/>
  <c r="AG1016" i="14"/>
  <c r="AH1016" i="14"/>
  <c r="AC1017" i="14"/>
  <c r="AD1017" i="14"/>
  <c r="AE1017" i="14"/>
  <c r="AF1017" i="14"/>
  <c r="AG1017" i="14"/>
  <c r="AH1017" i="14"/>
  <c r="AC1018" i="14"/>
  <c r="AD1018" i="14"/>
  <c r="AE1018" i="14"/>
  <c r="AF1018" i="14"/>
  <c r="AG1018" i="14"/>
  <c r="AH1018" i="14"/>
  <c r="AC1019" i="14"/>
  <c r="AD1019" i="14"/>
  <c r="AE1019" i="14"/>
  <c r="AF1019" i="14"/>
  <c r="AG1019" i="14"/>
  <c r="AH1019" i="14"/>
  <c r="AC1020" i="14"/>
  <c r="AD1020" i="14"/>
  <c r="AE1020" i="14"/>
  <c r="AF1020" i="14"/>
  <c r="AG1020" i="14"/>
  <c r="AH1020" i="14"/>
  <c r="AC1021" i="14"/>
  <c r="AD1021" i="14"/>
  <c r="AE1021" i="14"/>
  <c r="AF1021" i="14"/>
  <c r="AG1021" i="14"/>
  <c r="AH1021" i="14"/>
  <c r="AC1022" i="14"/>
  <c r="AD1022" i="14"/>
  <c r="AE1022" i="14"/>
  <c r="AF1022" i="14"/>
  <c r="AG1022" i="14"/>
  <c r="AH1022" i="14"/>
  <c r="AC1023" i="14"/>
  <c r="AD1023" i="14"/>
  <c r="AE1023" i="14"/>
  <c r="AF1023" i="14"/>
  <c r="AG1023" i="14"/>
  <c r="AH1023" i="14"/>
  <c r="AC1024" i="14"/>
  <c r="AD1024" i="14"/>
  <c r="AE1024" i="14"/>
  <c r="AF1024" i="14"/>
  <c r="AG1024" i="14"/>
  <c r="AH1024" i="14"/>
  <c r="AC1025" i="14"/>
  <c r="AD1025" i="14"/>
  <c r="AE1025" i="14"/>
  <c r="AF1025" i="14"/>
  <c r="AG1025" i="14"/>
  <c r="AH1025" i="14"/>
  <c r="AC1026" i="14"/>
  <c r="AD1026" i="14"/>
  <c r="AE1026" i="14"/>
  <c r="AF1026" i="14"/>
  <c r="AG1026" i="14"/>
  <c r="AH1026" i="14"/>
  <c r="AC1027" i="14"/>
  <c r="AD1027" i="14"/>
  <c r="AE1027" i="14"/>
  <c r="AF1027" i="14"/>
  <c r="AG1027" i="14"/>
  <c r="AH1027" i="14"/>
  <c r="AC1028" i="14"/>
  <c r="AD1028" i="14"/>
  <c r="AE1028" i="14"/>
  <c r="AF1028" i="14"/>
  <c r="AG1028" i="14"/>
  <c r="AH1028" i="14"/>
  <c r="AC1029" i="14"/>
  <c r="AD1029" i="14"/>
  <c r="AE1029" i="14"/>
  <c r="AF1029" i="14"/>
  <c r="AG1029" i="14"/>
  <c r="AH1029" i="14"/>
  <c r="AC1030" i="14"/>
  <c r="AD1030" i="14"/>
  <c r="AE1030" i="14"/>
  <c r="AF1030" i="14"/>
  <c r="AG1030" i="14"/>
  <c r="AH1030" i="14"/>
  <c r="AC1031" i="14"/>
  <c r="AD1031" i="14"/>
  <c r="AE1031" i="14"/>
  <c r="AF1031" i="14"/>
  <c r="AG1031" i="14"/>
  <c r="AH1031" i="14"/>
  <c r="AC1032" i="14"/>
  <c r="AD1032" i="14"/>
  <c r="AE1032" i="14"/>
  <c r="AF1032" i="14"/>
  <c r="AG1032" i="14"/>
  <c r="AH1032" i="14"/>
  <c r="AC1033" i="14"/>
  <c r="AD1033" i="14"/>
  <c r="AE1033" i="14"/>
  <c r="AF1033" i="14"/>
  <c r="AG1033" i="14"/>
  <c r="AH1033" i="14"/>
  <c r="AC1034" i="14"/>
  <c r="AD1034" i="14"/>
  <c r="AE1034" i="14"/>
  <c r="AF1034" i="14"/>
  <c r="AG1034" i="14"/>
  <c r="AH1034" i="14"/>
  <c r="AC1035" i="14"/>
  <c r="AD1035" i="14"/>
  <c r="AE1035" i="14"/>
  <c r="AF1035" i="14"/>
  <c r="AG1035" i="14"/>
  <c r="AH1035" i="14"/>
  <c r="AC1036" i="14"/>
  <c r="AD1036" i="14"/>
  <c r="AE1036" i="14"/>
  <c r="AF1036" i="14"/>
  <c r="AG1036" i="14"/>
  <c r="AH1036" i="14"/>
  <c r="AC1037" i="14"/>
  <c r="AD1037" i="14"/>
  <c r="AE1037" i="14"/>
  <c r="AF1037" i="14"/>
  <c r="AG1037" i="14"/>
  <c r="AH1037" i="14"/>
  <c r="AC1038" i="14"/>
  <c r="AD1038" i="14"/>
  <c r="AE1038" i="14"/>
  <c r="AF1038" i="14"/>
  <c r="AG1038" i="14"/>
  <c r="AH1038" i="14"/>
  <c r="AC1039" i="14"/>
  <c r="AD1039" i="14"/>
  <c r="AE1039" i="14"/>
  <c r="AF1039" i="14"/>
  <c r="AG1039" i="14"/>
  <c r="AH1039" i="14"/>
  <c r="AC1040" i="14"/>
  <c r="AD1040" i="14"/>
  <c r="AE1040" i="14"/>
  <c r="AF1040" i="14"/>
  <c r="AG1040" i="14"/>
  <c r="AH1040" i="14"/>
  <c r="AC1041" i="14"/>
  <c r="AD1041" i="14"/>
  <c r="AE1041" i="14"/>
  <c r="AF1041" i="14"/>
  <c r="AG1041" i="14"/>
  <c r="AH1041" i="14"/>
  <c r="AC1042" i="14"/>
  <c r="AD1042" i="14"/>
  <c r="AE1042" i="14"/>
  <c r="AF1042" i="14"/>
  <c r="AG1042" i="14"/>
  <c r="AH1042" i="14"/>
  <c r="AC1043" i="14"/>
  <c r="AD1043" i="14"/>
  <c r="AE1043" i="14"/>
  <c r="AF1043" i="14"/>
  <c r="AG1043" i="14"/>
  <c r="AH1043" i="14"/>
  <c r="P513" i="14"/>
  <c r="Q513" i="14"/>
  <c r="R513" i="14"/>
  <c r="S513" i="14"/>
  <c r="T513" i="14"/>
  <c r="U513" i="14"/>
  <c r="P514" i="14"/>
  <c r="Q514" i="14"/>
  <c r="R514" i="14"/>
  <c r="S514" i="14"/>
  <c r="T514" i="14"/>
  <c r="U514" i="14"/>
  <c r="P515" i="14"/>
  <c r="Q515" i="14"/>
  <c r="R515" i="14"/>
  <c r="S515" i="14"/>
  <c r="T515" i="14"/>
  <c r="U515" i="14"/>
  <c r="P516" i="14"/>
  <c r="Q516" i="14"/>
  <c r="R516" i="14"/>
  <c r="S516" i="14"/>
  <c r="T516" i="14"/>
  <c r="U516" i="14"/>
  <c r="P517" i="14"/>
  <c r="Q517" i="14"/>
  <c r="R517" i="14"/>
  <c r="S517" i="14"/>
  <c r="T517" i="14"/>
  <c r="U517" i="14"/>
  <c r="P518" i="14"/>
  <c r="Q518" i="14"/>
  <c r="R518" i="14"/>
  <c r="S518" i="14"/>
  <c r="T518" i="14"/>
  <c r="U518" i="14"/>
  <c r="P519" i="14"/>
  <c r="Q519" i="14"/>
  <c r="R519" i="14"/>
  <c r="S519" i="14"/>
  <c r="T519" i="14"/>
  <c r="U519" i="14"/>
  <c r="P520" i="14"/>
  <c r="Q520" i="14"/>
  <c r="R520" i="14"/>
  <c r="S520" i="14"/>
  <c r="T520" i="14"/>
  <c r="U520" i="14"/>
  <c r="P521" i="14"/>
  <c r="Q521" i="14"/>
  <c r="R521" i="14"/>
  <c r="S521" i="14"/>
  <c r="T521" i="14"/>
  <c r="U521" i="14"/>
  <c r="P522" i="14"/>
  <c r="Q522" i="14"/>
  <c r="R522" i="14"/>
  <c r="S522" i="14"/>
  <c r="T522" i="14"/>
  <c r="U522" i="14"/>
  <c r="P523" i="14"/>
  <c r="Q523" i="14"/>
  <c r="R523" i="14"/>
  <c r="S523" i="14"/>
  <c r="T523" i="14"/>
  <c r="U523" i="14"/>
  <c r="P524" i="14"/>
  <c r="Q524" i="14"/>
  <c r="R524" i="14"/>
  <c r="S524" i="14"/>
  <c r="T524" i="14"/>
  <c r="U524" i="14"/>
  <c r="P525" i="14"/>
  <c r="Q525" i="14"/>
  <c r="R525" i="14"/>
  <c r="S525" i="14"/>
  <c r="T525" i="14"/>
  <c r="U525" i="14"/>
  <c r="P526" i="14"/>
  <c r="Q526" i="14"/>
  <c r="R526" i="14"/>
  <c r="S526" i="14"/>
  <c r="T526" i="14"/>
  <c r="U526" i="14"/>
  <c r="P527" i="14"/>
  <c r="Q527" i="14"/>
  <c r="R527" i="14"/>
  <c r="S527" i="14"/>
  <c r="T527" i="14"/>
  <c r="U527" i="14"/>
  <c r="P528" i="14"/>
  <c r="Q528" i="14"/>
  <c r="R528" i="14"/>
  <c r="S528" i="14"/>
  <c r="T528" i="14"/>
  <c r="U528" i="14"/>
  <c r="P529" i="14"/>
  <c r="Q529" i="14"/>
  <c r="R529" i="14"/>
  <c r="S529" i="14"/>
  <c r="T529" i="14"/>
  <c r="U529" i="14"/>
  <c r="P530" i="14"/>
  <c r="Q530" i="14"/>
  <c r="R530" i="14"/>
  <c r="S530" i="14"/>
  <c r="T530" i="14"/>
  <c r="U530" i="14"/>
  <c r="P531" i="14"/>
  <c r="Q531" i="14"/>
  <c r="R531" i="14"/>
  <c r="S531" i="14"/>
  <c r="T531" i="14"/>
  <c r="U531" i="14"/>
  <c r="P532" i="14"/>
  <c r="Q532" i="14"/>
  <c r="R532" i="14"/>
  <c r="S532" i="14"/>
  <c r="T532" i="14"/>
  <c r="U532" i="14"/>
  <c r="P533" i="14"/>
  <c r="Q533" i="14"/>
  <c r="R533" i="14"/>
  <c r="S533" i="14"/>
  <c r="T533" i="14"/>
  <c r="U533" i="14"/>
  <c r="P534" i="14"/>
  <c r="Q534" i="14"/>
  <c r="R534" i="14"/>
  <c r="S534" i="14"/>
  <c r="T534" i="14"/>
  <c r="U534" i="14"/>
  <c r="P535" i="14"/>
  <c r="Q535" i="14"/>
  <c r="R535" i="14"/>
  <c r="S535" i="14"/>
  <c r="T535" i="14"/>
  <c r="U535" i="14"/>
  <c r="P536" i="14"/>
  <c r="Q536" i="14"/>
  <c r="R536" i="14"/>
  <c r="S536" i="14"/>
  <c r="T536" i="14"/>
  <c r="U536" i="14"/>
  <c r="P537" i="14"/>
  <c r="Q537" i="14"/>
  <c r="R537" i="14"/>
  <c r="S537" i="14"/>
  <c r="T537" i="14"/>
  <c r="U537" i="14"/>
  <c r="P538" i="14"/>
  <c r="Q538" i="14"/>
  <c r="R538" i="14"/>
  <c r="S538" i="14"/>
  <c r="T538" i="14"/>
  <c r="U538" i="14"/>
  <c r="P539" i="14"/>
  <c r="Q539" i="14"/>
  <c r="R539" i="14"/>
  <c r="S539" i="14"/>
  <c r="T539" i="14"/>
  <c r="U539" i="14"/>
  <c r="P540" i="14"/>
  <c r="Q540" i="14"/>
  <c r="R540" i="14"/>
  <c r="S540" i="14"/>
  <c r="T540" i="14"/>
  <c r="U540" i="14"/>
  <c r="P541" i="14"/>
  <c r="Q541" i="14"/>
  <c r="R541" i="14"/>
  <c r="S541" i="14"/>
  <c r="T541" i="14"/>
  <c r="U541" i="14"/>
  <c r="P542" i="14"/>
  <c r="Q542" i="14"/>
  <c r="R542" i="14"/>
  <c r="S542" i="14"/>
  <c r="T542" i="14"/>
  <c r="U542" i="14"/>
  <c r="P543" i="14"/>
  <c r="Q543" i="14"/>
  <c r="R543" i="14"/>
  <c r="S543" i="14"/>
  <c r="T543" i="14"/>
  <c r="U543" i="14"/>
  <c r="P544" i="14"/>
  <c r="Q544" i="14"/>
  <c r="R544" i="14"/>
  <c r="S544" i="14"/>
  <c r="T544" i="14"/>
  <c r="U544" i="14"/>
  <c r="P545" i="14"/>
  <c r="Q545" i="14"/>
  <c r="R545" i="14"/>
  <c r="S545" i="14"/>
  <c r="T545" i="14"/>
  <c r="U545" i="14"/>
  <c r="P546" i="14"/>
  <c r="Q546" i="14"/>
  <c r="R546" i="14"/>
  <c r="S546" i="14"/>
  <c r="T546" i="14"/>
  <c r="U546" i="14"/>
  <c r="P547" i="14"/>
  <c r="Q547" i="14"/>
  <c r="R547" i="14"/>
  <c r="S547" i="14"/>
  <c r="T547" i="14"/>
  <c r="U547" i="14"/>
  <c r="P548" i="14"/>
  <c r="Q548" i="14"/>
  <c r="R548" i="14"/>
  <c r="S548" i="14"/>
  <c r="T548" i="14"/>
  <c r="U548" i="14"/>
  <c r="P549" i="14"/>
  <c r="Q549" i="14"/>
  <c r="R549" i="14"/>
  <c r="S549" i="14"/>
  <c r="T549" i="14"/>
  <c r="U549" i="14"/>
  <c r="P550" i="14"/>
  <c r="Q550" i="14"/>
  <c r="R550" i="14"/>
  <c r="S550" i="14"/>
  <c r="T550" i="14"/>
  <c r="U550" i="14"/>
  <c r="P551" i="14"/>
  <c r="Q551" i="14"/>
  <c r="R551" i="14"/>
  <c r="S551" i="14"/>
  <c r="T551" i="14"/>
  <c r="U551" i="14"/>
  <c r="P552" i="14"/>
  <c r="Q552" i="14"/>
  <c r="R552" i="14"/>
  <c r="S552" i="14"/>
  <c r="T552" i="14"/>
  <c r="U552" i="14"/>
  <c r="P553" i="14"/>
  <c r="Q553" i="14"/>
  <c r="R553" i="14"/>
  <c r="S553" i="14"/>
  <c r="T553" i="14"/>
  <c r="U553" i="14"/>
  <c r="P554" i="14"/>
  <c r="Q554" i="14"/>
  <c r="R554" i="14"/>
  <c r="S554" i="14"/>
  <c r="T554" i="14"/>
  <c r="U554" i="14"/>
  <c r="P555" i="14"/>
  <c r="Q555" i="14"/>
  <c r="R555" i="14"/>
  <c r="S555" i="14"/>
  <c r="T555" i="14"/>
  <c r="U555" i="14"/>
  <c r="P556" i="14"/>
  <c r="Q556" i="14"/>
  <c r="R556" i="14"/>
  <c r="S556" i="14"/>
  <c r="T556" i="14"/>
  <c r="U556" i="14"/>
  <c r="P557" i="14"/>
  <c r="Q557" i="14"/>
  <c r="R557" i="14"/>
  <c r="S557" i="14"/>
  <c r="T557" i="14"/>
  <c r="U557" i="14"/>
  <c r="P558" i="14"/>
  <c r="Q558" i="14"/>
  <c r="R558" i="14"/>
  <c r="S558" i="14"/>
  <c r="T558" i="14"/>
  <c r="U558" i="14"/>
  <c r="P559" i="14"/>
  <c r="Q559" i="14"/>
  <c r="R559" i="14"/>
  <c r="S559" i="14"/>
  <c r="T559" i="14"/>
  <c r="U559" i="14"/>
  <c r="P560" i="14"/>
  <c r="Q560" i="14"/>
  <c r="R560" i="14"/>
  <c r="S560" i="14"/>
  <c r="T560" i="14"/>
  <c r="U560" i="14"/>
  <c r="P561" i="14"/>
  <c r="Q561" i="14"/>
  <c r="R561" i="14"/>
  <c r="S561" i="14"/>
  <c r="T561" i="14"/>
  <c r="U561" i="14"/>
  <c r="P562" i="14"/>
  <c r="Q562" i="14"/>
  <c r="R562" i="14"/>
  <c r="S562" i="14"/>
  <c r="T562" i="14"/>
  <c r="U562" i="14"/>
  <c r="P563" i="14"/>
  <c r="Q563" i="14"/>
  <c r="R563" i="14"/>
  <c r="S563" i="14"/>
  <c r="T563" i="14"/>
  <c r="U563" i="14"/>
  <c r="P564" i="14"/>
  <c r="Q564" i="14"/>
  <c r="R564" i="14"/>
  <c r="S564" i="14"/>
  <c r="T564" i="14"/>
  <c r="U564" i="14"/>
  <c r="P565" i="14"/>
  <c r="Q565" i="14"/>
  <c r="R565" i="14"/>
  <c r="S565" i="14"/>
  <c r="T565" i="14"/>
  <c r="U565" i="14"/>
  <c r="P566" i="14"/>
  <c r="Q566" i="14"/>
  <c r="R566" i="14"/>
  <c r="S566" i="14"/>
  <c r="T566" i="14"/>
  <c r="U566" i="14"/>
  <c r="P567" i="14"/>
  <c r="Q567" i="14"/>
  <c r="R567" i="14"/>
  <c r="S567" i="14"/>
  <c r="T567" i="14"/>
  <c r="U567" i="14"/>
  <c r="P568" i="14"/>
  <c r="Q568" i="14"/>
  <c r="R568" i="14"/>
  <c r="S568" i="14"/>
  <c r="T568" i="14"/>
  <c r="U568" i="14"/>
  <c r="P569" i="14"/>
  <c r="Q569" i="14"/>
  <c r="R569" i="14"/>
  <c r="S569" i="14"/>
  <c r="T569" i="14"/>
  <c r="U569" i="14"/>
  <c r="P570" i="14"/>
  <c r="Q570" i="14"/>
  <c r="R570" i="14"/>
  <c r="S570" i="14"/>
  <c r="T570" i="14"/>
  <c r="U570" i="14"/>
  <c r="P571" i="14"/>
  <c r="Q571" i="14"/>
  <c r="R571" i="14"/>
  <c r="S571" i="14"/>
  <c r="T571" i="14"/>
  <c r="U571" i="14"/>
  <c r="P572" i="14"/>
  <c r="Q572" i="14"/>
  <c r="R572" i="14"/>
  <c r="S572" i="14"/>
  <c r="T572" i="14"/>
  <c r="U572" i="14"/>
  <c r="P573" i="14"/>
  <c r="Q573" i="14"/>
  <c r="R573" i="14"/>
  <c r="S573" i="14"/>
  <c r="T573" i="14"/>
  <c r="U573" i="14"/>
  <c r="P574" i="14"/>
  <c r="Q574" i="14"/>
  <c r="R574" i="14"/>
  <c r="S574" i="14"/>
  <c r="T574" i="14"/>
  <c r="U574" i="14"/>
  <c r="P575" i="14"/>
  <c r="Q575" i="14"/>
  <c r="R575" i="14"/>
  <c r="S575" i="14"/>
  <c r="T575" i="14"/>
  <c r="U575" i="14"/>
  <c r="P576" i="14"/>
  <c r="Q576" i="14"/>
  <c r="R576" i="14"/>
  <c r="S576" i="14"/>
  <c r="T576" i="14"/>
  <c r="U576" i="14"/>
  <c r="P577" i="14"/>
  <c r="Q577" i="14"/>
  <c r="R577" i="14"/>
  <c r="S577" i="14"/>
  <c r="T577" i="14"/>
  <c r="U577" i="14"/>
  <c r="P578" i="14"/>
  <c r="Q578" i="14"/>
  <c r="R578" i="14"/>
  <c r="S578" i="14"/>
  <c r="T578" i="14"/>
  <c r="U578" i="14"/>
  <c r="P579" i="14"/>
  <c r="Q579" i="14"/>
  <c r="R579" i="14"/>
  <c r="S579" i="14"/>
  <c r="T579" i="14"/>
  <c r="U579" i="14"/>
  <c r="P580" i="14"/>
  <c r="Q580" i="14"/>
  <c r="R580" i="14"/>
  <c r="S580" i="14"/>
  <c r="T580" i="14"/>
  <c r="U580" i="14"/>
  <c r="P581" i="14"/>
  <c r="Q581" i="14"/>
  <c r="R581" i="14"/>
  <c r="S581" i="14"/>
  <c r="T581" i="14"/>
  <c r="U581" i="14"/>
  <c r="P582" i="14"/>
  <c r="Q582" i="14"/>
  <c r="R582" i="14"/>
  <c r="S582" i="14"/>
  <c r="T582" i="14"/>
  <c r="U582" i="14"/>
  <c r="P583" i="14"/>
  <c r="Q583" i="14"/>
  <c r="R583" i="14"/>
  <c r="S583" i="14"/>
  <c r="T583" i="14"/>
  <c r="U583" i="14"/>
  <c r="P584" i="14"/>
  <c r="Q584" i="14"/>
  <c r="R584" i="14"/>
  <c r="S584" i="14"/>
  <c r="T584" i="14"/>
  <c r="U584" i="14"/>
  <c r="P585" i="14"/>
  <c r="Q585" i="14"/>
  <c r="R585" i="14"/>
  <c r="S585" i="14"/>
  <c r="T585" i="14"/>
  <c r="U585" i="14"/>
  <c r="P586" i="14"/>
  <c r="Q586" i="14"/>
  <c r="R586" i="14"/>
  <c r="S586" i="14"/>
  <c r="T586" i="14"/>
  <c r="U586" i="14"/>
  <c r="P587" i="14"/>
  <c r="Q587" i="14"/>
  <c r="R587" i="14"/>
  <c r="S587" i="14"/>
  <c r="T587" i="14"/>
  <c r="U587" i="14"/>
  <c r="P588" i="14"/>
  <c r="Q588" i="14"/>
  <c r="R588" i="14"/>
  <c r="S588" i="14"/>
  <c r="T588" i="14"/>
  <c r="U588" i="14"/>
  <c r="P589" i="14"/>
  <c r="Q589" i="14"/>
  <c r="R589" i="14"/>
  <c r="S589" i="14"/>
  <c r="T589" i="14"/>
  <c r="U589" i="14"/>
  <c r="P590" i="14"/>
  <c r="Q590" i="14"/>
  <c r="R590" i="14"/>
  <c r="S590" i="14"/>
  <c r="T590" i="14"/>
  <c r="U590" i="14"/>
  <c r="P591" i="14"/>
  <c r="Q591" i="14"/>
  <c r="R591" i="14"/>
  <c r="S591" i="14"/>
  <c r="T591" i="14"/>
  <c r="U591" i="14"/>
  <c r="P592" i="14"/>
  <c r="Q592" i="14"/>
  <c r="R592" i="14"/>
  <c r="S592" i="14"/>
  <c r="T592" i="14"/>
  <c r="U592" i="14"/>
  <c r="P593" i="14"/>
  <c r="Q593" i="14"/>
  <c r="R593" i="14"/>
  <c r="S593" i="14"/>
  <c r="T593" i="14"/>
  <c r="U593" i="14"/>
  <c r="P594" i="14"/>
  <c r="Q594" i="14"/>
  <c r="R594" i="14"/>
  <c r="S594" i="14"/>
  <c r="T594" i="14"/>
  <c r="U594" i="14"/>
  <c r="P595" i="14"/>
  <c r="Q595" i="14"/>
  <c r="R595" i="14"/>
  <c r="S595" i="14"/>
  <c r="T595" i="14"/>
  <c r="U595" i="14"/>
  <c r="P596" i="14"/>
  <c r="Q596" i="14"/>
  <c r="R596" i="14"/>
  <c r="S596" i="14"/>
  <c r="T596" i="14"/>
  <c r="U596" i="14"/>
  <c r="P597" i="14"/>
  <c r="Q597" i="14"/>
  <c r="R597" i="14"/>
  <c r="S597" i="14"/>
  <c r="T597" i="14"/>
  <c r="U597" i="14"/>
  <c r="P598" i="14"/>
  <c r="Q598" i="14"/>
  <c r="R598" i="14"/>
  <c r="S598" i="14"/>
  <c r="T598" i="14"/>
  <c r="U598" i="14"/>
  <c r="P599" i="14"/>
  <c r="Q599" i="14"/>
  <c r="R599" i="14"/>
  <c r="S599" i="14"/>
  <c r="T599" i="14"/>
  <c r="U599" i="14"/>
  <c r="P600" i="14"/>
  <c r="Q600" i="14"/>
  <c r="R600" i="14"/>
  <c r="S600" i="14"/>
  <c r="T600" i="14"/>
  <c r="U600" i="14"/>
  <c r="P601" i="14"/>
  <c r="Q601" i="14"/>
  <c r="R601" i="14"/>
  <c r="S601" i="14"/>
  <c r="T601" i="14"/>
  <c r="U601" i="14"/>
  <c r="P602" i="14"/>
  <c r="Q602" i="14"/>
  <c r="R602" i="14"/>
  <c r="S602" i="14"/>
  <c r="T602" i="14"/>
  <c r="U602" i="14"/>
  <c r="P603" i="14"/>
  <c r="Q603" i="14"/>
  <c r="R603" i="14"/>
  <c r="S603" i="14"/>
  <c r="T603" i="14"/>
  <c r="U603" i="14"/>
  <c r="P604" i="14"/>
  <c r="Q604" i="14"/>
  <c r="R604" i="14"/>
  <c r="S604" i="14"/>
  <c r="T604" i="14"/>
  <c r="U604" i="14"/>
  <c r="P605" i="14"/>
  <c r="Q605" i="14"/>
  <c r="R605" i="14"/>
  <c r="S605" i="14"/>
  <c r="T605" i="14"/>
  <c r="U605" i="14"/>
  <c r="P606" i="14"/>
  <c r="Q606" i="14"/>
  <c r="R606" i="14"/>
  <c r="S606" i="14"/>
  <c r="T606" i="14"/>
  <c r="U606" i="14"/>
  <c r="P607" i="14"/>
  <c r="Q607" i="14"/>
  <c r="R607" i="14"/>
  <c r="S607" i="14"/>
  <c r="T607" i="14"/>
  <c r="U607" i="14"/>
  <c r="P608" i="14"/>
  <c r="Q608" i="14"/>
  <c r="R608" i="14"/>
  <c r="S608" i="14"/>
  <c r="T608" i="14"/>
  <c r="U608" i="14"/>
  <c r="P609" i="14"/>
  <c r="Q609" i="14"/>
  <c r="R609" i="14"/>
  <c r="S609" i="14"/>
  <c r="T609" i="14"/>
  <c r="U609" i="14"/>
  <c r="P610" i="14"/>
  <c r="Q610" i="14"/>
  <c r="R610" i="14"/>
  <c r="S610" i="14"/>
  <c r="T610" i="14"/>
  <c r="U610" i="14"/>
  <c r="P611" i="14"/>
  <c r="Q611" i="14"/>
  <c r="R611" i="14"/>
  <c r="S611" i="14"/>
  <c r="T611" i="14"/>
  <c r="U611" i="14"/>
  <c r="P612" i="14"/>
  <c r="Q612" i="14"/>
  <c r="R612" i="14"/>
  <c r="S612" i="14"/>
  <c r="T612" i="14"/>
  <c r="U612" i="14"/>
  <c r="P613" i="14"/>
  <c r="Q613" i="14"/>
  <c r="R613" i="14"/>
  <c r="S613" i="14"/>
  <c r="T613" i="14"/>
  <c r="U613" i="14"/>
  <c r="P614" i="14"/>
  <c r="Q614" i="14"/>
  <c r="R614" i="14"/>
  <c r="S614" i="14"/>
  <c r="T614" i="14"/>
  <c r="U614" i="14"/>
  <c r="P615" i="14"/>
  <c r="Q615" i="14"/>
  <c r="R615" i="14"/>
  <c r="S615" i="14"/>
  <c r="T615" i="14"/>
  <c r="U615" i="14"/>
  <c r="P616" i="14"/>
  <c r="Q616" i="14"/>
  <c r="R616" i="14"/>
  <c r="S616" i="14"/>
  <c r="T616" i="14"/>
  <c r="U616" i="14"/>
  <c r="P617" i="14"/>
  <c r="Q617" i="14"/>
  <c r="R617" i="14"/>
  <c r="S617" i="14"/>
  <c r="T617" i="14"/>
  <c r="U617" i="14"/>
  <c r="P618" i="14"/>
  <c r="Q618" i="14"/>
  <c r="R618" i="14"/>
  <c r="S618" i="14"/>
  <c r="T618" i="14"/>
  <c r="U618" i="14"/>
  <c r="P619" i="14"/>
  <c r="Q619" i="14"/>
  <c r="R619" i="14"/>
  <c r="S619" i="14"/>
  <c r="T619" i="14"/>
  <c r="U619" i="14"/>
  <c r="P620" i="14"/>
  <c r="Q620" i="14"/>
  <c r="R620" i="14"/>
  <c r="S620" i="14"/>
  <c r="T620" i="14"/>
  <c r="U620" i="14"/>
  <c r="P621" i="14"/>
  <c r="Q621" i="14"/>
  <c r="R621" i="14"/>
  <c r="S621" i="14"/>
  <c r="T621" i="14"/>
  <c r="U621" i="14"/>
  <c r="P622" i="14"/>
  <c r="Q622" i="14"/>
  <c r="R622" i="14"/>
  <c r="S622" i="14"/>
  <c r="T622" i="14"/>
  <c r="U622" i="14"/>
  <c r="P623" i="14"/>
  <c r="Q623" i="14"/>
  <c r="R623" i="14"/>
  <c r="S623" i="14"/>
  <c r="T623" i="14"/>
  <c r="U623" i="14"/>
  <c r="P624" i="14"/>
  <c r="Q624" i="14"/>
  <c r="R624" i="14"/>
  <c r="S624" i="14"/>
  <c r="T624" i="14"/>
  <c r="U624" i="14"/>
  <c r="P625" i="14"/>
  <c r="Q625" i="14"/>
  <c r="R625" i="14"/>
  <c r="S625" i="14"/>
  <c r="T625" i="14"/>
  <c r="U625" i="14"/>
  <c r="P626" i="14"/>
  <c r="Q626" i="14"/>
  <c r="R626" i="14"/>
  <c r="S626" i="14"/>
  <c r="T626" i="14"/>
  <c r="U626" i="14"/>
  <c r="P627" i="14"/>
  <c r="Q627" i="14"/>
  <c r="R627" i="14"/>
  <c r="S627" i="14"/>
  <c r="T627" i="14"/>
  <c r="U627" i="14"/>
  <c r="P628" i="14"/>
  <c r="Q628" i="14"/>
  <c r="R628" i="14"/>
  <c r="S628" i="14"/>
  <c r="T628" i="14"/>
  <c r="U628" i="14"/>
  <c r="P629" i="14"/>
  <c r="Q629" i="14"/>
  <c r="R629" i="14"/>
  <c r="S629" i="14"/>
  <c r="T629" i="14"/>
  <c r="U629" i="14"/>
  <c r="P630" i="14"/>
  <c r="Q630" i="14"/>
  <c r="R630" i="14"/>
  <c r="S630" i="14"/>
  <c r="T630" i="14"/>
  <c r="U630" i="14"/>
  <c r="P631" i="14"/>
  <c r="Q631" i="14"/>
  <c r="R631" i="14"/>
  <c r="S631" i="14"/>
  <c r="T631" i="14"/>
  <c r="U631" i="14"/>
  <c r="P632" i="14"/>
  <c r="Q632" i="14"/>
  <c r="R632" i="14"/>
  <c r="S632" i="14"/>
  <c r="T632" i="14"/>
  <c r="U632" i="14"/>
  <c r="P633" i="14"/>
  <c r="Q633" i="14"/>
  <c r="R633" i="14"/>
  <c r="S633" i="14"/>
  <c r="T633" i="14"/>
  <c r="U633" i="14"/>
  <c r="P634" i="14"/>
  <c r="Q634" i="14"/>
  <c r="R634" i="14"/>
  <c r="S634" i="14"/>
  <c r="T634" i="14"/>
  <c r="U634" i="14"/>
  <c r="P635" i="14"/>
  <c r="Q635" i="14"/>
  <c r="R635" i="14"/>
  <c r="S635" i="14"/>
  <c r="T635" i="14"/>
  <c r="U635" i="14"/>
  <c r="P636" i="14"/>
  <c r="Q636" i="14"/>
  <c r="R636" i="14"/>
  <c r="S636" i="14"/>
  <c r="T636" i="14"/>
  <c r="U636" i="14"/>
  <c r="P637" i="14"/>
  <c r="Q637" i="14"/>
  <c r="R637" i="14"/>
  <c r="S637" i="14"/>
  <c r="T637" i="14"/>
  <c r="U637" i="14"/>
  <c r="P638" i="14"/>
  <c r="Q638" i="14"/>
  <c r="R638" i="14"/>
  <c r="S638" i="14"/>
  <c r="T638" i="14"/>
  <c r="U638" i="14"/>
  <c r="P639" i="14"/>
  <c r="Q639" i="14"/>
  <c r="R639" i="14"/>
  <c r="S639" i="14"/>
  <c r="T639" i="14"/>
  <c r="U639" i="14"/>
  <c r="P640" i="14"/>
  <c r="Q640" i="14"/>
  <c r="R640" i="14"/>
  <c r="S640" i="14"/>
  <c r="T640" i="14"/>
  <c r="U640" i="14"/>
  <c r="P641" i="14"/>
  <c r="Q641" i="14"/>
  <c r="R641" i="14"/>
  <c r="S641" i="14"/>
  <c r="T641" i="14"/>
  <c r="U641" i="14"/>
  <c r="P642" i="14"/>
  <c r="Q642" i="14"/>
  <c r="R642" i="14"/>
  <c r="S642" i="14"/>
  <c r="T642" i="14"/>
  <c r="U642" i="14"/>
  <c r="P643" i="14"/>
  <c r="Q643" i="14"/>
  <c r="R643" i="14"/>
  <c r="S643" i="14"/>
  <c r="T643" i="14"/>
  <c r="U643" i="14"/>
  <c r="P644" i="14"/>
  <c r="Q644" i="14"/>
  <c r="R644" i="14"/>
  <c r="S644" i="14"/>
  <c r="T644" i="14"/>
  <c r="U644" i="14"/>
  <c r="P645" i="14"/>
  <c r="Q645" i="14"/>
  <c r="R645" i="14"/>
  <c r="S645" i="14"/>
  <c r="T645" i="14"/>
  <c r="U645" i="14"/>
  <c r="P646" i="14"/>
  <c r="Q646" i="14"/>
  <c r="R646" i="14"/>
  <c r="S646" i="14"/>
  <c r="T646" i="14"/>
  <c r="U646" i="14"/>
  <c r="P647" i="14"/>
  <c r="Q647" i="14"/>
  <c r="R647" i="14"/>
  <c r="S647" i="14"/>
  <c r="T647" i="14"/>
  <c r="U647" i="14"/>
  <c r="P648" i="14"/>
  <c r="Q648" i="14"/>
  <c r="R648" i="14"/>
  <c r="S648" i="14"/>
  <c r="T648" i="14"/>
  <c r="U648" i="14"/>
  <c r="P649" i="14"/>
  <c r="Q649" i="14"/>
  <c r="R649" i="14"/>
  <c r="S649" i="14"/>
  <c r="T649" i="14"/>
  <c r="U649" i="14"/>
  <c r="P650" i="14"/>
  <c r="Q650" i="14"/>
  <c r="R650" i="14"/>
  <c r="S650" i="14"/>
  <c r="T650" i="14"/>
  <c r="U650" i="14"/>
  <c r="P651" i="14"/>
  <c r="Q651" i="14"/>
  <c r="R651" i="14"/>
  <c r="S651" i="14"/>
  <c r="T651" i="14"/>
  <c r="U651" i="14"/>
  <c r="P652" i="14"/>
  <c r="Q652" i="14"/>
  <c r="R652" i="14"/>
  <c r="S652" i="14"/>
  <c r="T652" i="14"/>
  <c r="U652" i="14"/>
  <c r="P653" i="14"/>
  <c r="Q653" i="14"/>
  <c r="R653" i="14"/>
  <c r="S653" i="14"/>
  <c r="T653" i="14"/>
  <c r="U653" i="14"/>
  <c r="P654" i="14"/>
  <c r="Q654" i="14"/>
  <c r="R654" i="14"/>
  <c r="S654" i="14"/>
  <c r="T654" i="14"/>
  <c r="U654" i="14"/>
  <c r="P655" i="14"/>
  <c r="Q655" i="14"/>
  <c r="R655" i="14"/>
  <c r="S655" i="14"/>
  <c r="T655" i="14"/>
  <c r="U655" i="14"/>
  <c r="P656" i="14"/>
  <c r="Q656" i="14"/>
  <c r="R656" i="14"/>
  <c r="S656" i="14"/>
  <c r="T656" i="14"/>
  <c r="U656" i="14"/>
  <c r="P657" i="14"/>
  <c r="Q657" i="14"/>
  <c r="R657" i="14"/>
  <c r="S657" i="14"/>
  <c r="T657" i="14"/>
  <c r="U657" i="14"/>
  <c r="P658" i="14"/>
  <c r="Q658" i="14"/>
  <c r="R658" i="14"/>
  <c r="S658" i="14"/>
  <c r="T658" i="14"/>
  <c r="U658" i="14"/>
  <c r="P659" i="14"/>
  <c r="Q659" i="14"/>
  <c r="R659" i="14"/>
  <c r="S659" i="14"/>
  <c r="T659" i="14"/>
  <c r="U659" i="14"/>
  <c r="P660" i="14"/>
  <c r="Q660" i="14"/>
  <c r="R660" i="14"/>
  <c r="S660" i="14"/>
  <c r="T660" i="14"/>
  <c r="U660" i="14"/>
  <c r="P661" i="14"/>
  <c r="Q661" i="14"/>
  <c r="R661" i="14"/>
  <c r="S661" i="14"/>
  <c r="T661" i="14"/>
  <c r="U661" i="14"/>
  <c r="P662" i="14"/>
  <c r="Q662" i="14"/>
  <c r="R662" i="14"/>
  <c r="S662" i="14"/>
  <c r="T662" i="14"/>
  <c r="U662" i="14"/>
  <c r="P663" i="14"/>
  <c r="Q663" i="14"/>
  <c r="R663" i="14"/>
  <c r="S663" i="14"/>
  <c r="T663" i="14"/>
  <c r="U663" i="14"/>
  <c r="P664" i="14"/>
  <c r="Q664" i="14"/>
  <c r="R664" i="14"/>
  <c r="S664" i="14"/>
  <c r="T664" i="14"/>
  <c r="U664" i="14"/>
  <c r="P665" i="14"/>
  <c r="Q665" i="14"/>
  <c r="R665" i="14"/>
  <c r="S665" i="14"/>
  <c r="T665" i="14"/>
  <c r="U665" i="14"/>
  <c r="P666" i="14"/>
  <c r="Q666" i="14"/>
  <c r="R666" i="14"/>
  <c r="S666" i="14"/>
  <c r="T666" i="14"/>
  <c r="U666" i="14"/>
  <c r="P667" i="14"/>
  <c r="Q667" i="14"/>
  <c r="R667" i="14"/>
  <c r="S667" i="14"/>
  <c r="T667" i="14"/>
  <c r="U667" i="14"/>
  <c r="P668" i="14"/>
  <c r="Q668" i="14"/>
  <c r="R668" i="14"/>
  <c r="S668" i="14"/>
  <c r="T668" i="14"/>
  <c r="U668" i="14"/>
  <c r="P669" i="14"/>
  <c r="Q669" i="14"/>
  <c r="R669" i="14"/>
  <c r="S669" i="14"/>
  <c r="T669" i="14"/>
  <c r="U669" i="14"/>
  <c r="P670" i="14"/>
  <c r="Q670" i="14"/>
  <c r="R670" i="14"/>
  <c r="S670" i="14"/>
  <c r="T670" i="14"/>
  <c r="U670" i="14"/>
  <c r="P671" i="14"/>
  <c r="Q671" i="14"/>
  <c r="R671" i="14"/>
  <c r="S671" i="14"/>
  <c r="T671" i="14"/>
  <c r="U671" i="14"/>
  <c r="P672" i="14"/>
  <c r="Q672" i="14"/>
  <c r="R672" i="14"/>
  <c r="S672" i="14"/>
  <c r="T672" i="14"/>
  <c r="U672" i="14"/>
  <c r="P673" i="14"/>
  <c r="Q673" i="14"/>
  <c r="R673" i="14"/>
  <c r="S673" i="14"/>
  <c r="T673" i="14"/>
  <c r="U673" i="14"/>
  <c r="P674" i="14"/>
  <c r="Q674" i="14"/>
  <c r="R674" i="14"/>
  <c r="S674" i="14"/>
  <c r="T674" i="14"/>
  <c r="U674" i="14"/>
  <c r="P675" i="14"/>
  <c r="Q675" i="14"/>
  <c r="R675" i="14"/>
  <c r="S675" i="14"/>
  <c r="T675" i="14"/>
  <c r="U675" i="14"/>
  <c r="P676" i="14"/>
  <c r="Q676" i="14"/>
  <c r="R676" i="14"/>
  <c r="S676" i="14"/>
  <c r="T676" i="14"/>
  <c r="U676" i="14"/>
  <c r="P677" i="14"/>
  <c r="Q677" i="14"/>
  <c r="R677" i="14"/>
  <c r="S677" i="14"/>
  <c r="T677" i="14"/>
  <c r="U677" i="14"/>
  <c r="P678" i="14"/>
  <c r="Q678" i="14"/>
  <c r="R678" i="14"/>
  <c r="S678" i="14"/>
  <c r="T678" i="14"/>
  <c r="U678" i="14"/>
  <c r="P679" i="14"/>
  <c r="Q679" i="14"/>
  <c r="R679" i="14"/>
  <c r="S679" i="14"/>
  <c r="T679" i="14"/>
  <c r="U679" i="14"/>
  <c r="P680" i="14"/>
  <c r="Q680" i="14"/>
  <c r="R680" i="14"/>
  <c r="S680" i="14"/>
  <c r="T680" i="14"/>
  <c r="U680" i="14"/>
  <c r="P681" i="14"/>
  <c r="Q681" i="14"/>
  <c r="R681" i="14"/>
  <c r="S681" i="14"/>
  <c r="T681" i="14"/>
  <c r="U681" i="14"/>
  <c r="P682" i="14"/>
  <c r="Q682" i="14"/>
  <c r="R682" i="14"/>
  <c r="S682" i="14"/>
  <c r="T682" i="14"/>
  <c r="U682" i="14"/>
  <c r="P683" i="14"/>
  <c r="Q683" i="14"/>
  <c r="R683" i="14"/>
  <c r="S683" i="14"/>
  <c r="T683" i="14"/>
  <c r="U683" i="14"/>
  <c r="P684" i="14"/>
  <c r="Q684" i="14"/>
  <c r="R684" i="14"/>
  <c r="S684" i="14"/>
  <c r="T684" i="14"/>
  <c r="U684" i="14"/>
  <c r="P685" i="14"/>
  <c r="Q685" i="14"/>
  <c r="R685" i="14"/>
  <c r="S685" i="14"/>
  <c r="T685" i="14"/>
  <c r="U685" i="14"/>
  <c r="P686" i="14"/>
  <c r="Q686" i="14"/>
  <c r="R686" i="14"/>
  <c r="S686" i="14"/>
  <c r="T686" i="14"/>
  <c r="U686" i="14"/>
  <c r="P687" i="14"/>
  <c r="Q687" i="14"/>
  <c r="R687" i="14"/>
  <c r="S687" i="14"/>
  <c r="T687" i="14"/>
  <c r="U687" i="14"/>
  <c r="P688" i="14"/>
  <c r="Q688" i="14"/>
  <c r="R688" i="14"/>
  <c r="S688" i="14"/>
  <c r="T688" i="14"/>
  <c r="U688" i="14"/>
  <c r="P689" i="14"/>
  <c r="Q689" i="14"/>
  <c r="R689" i="14"/>
  <c r="S689" i="14"/>
  <c r="T689" i="14"/>
  <c r="U689" i="14"/>
  <c r="P690" i="14"/>
  <c r="Q690" i="14"/>
  <c r="R690" i="14"/>
  <c r="S690" i="14"/>
  <c r="T690" i="14"/>
  <c r="U690" i="14"/>
  <c r="P691" i="14"/>
  <c r="Q691" i="14"/>
  <c r="R691" i="14"/>
  <c r="S691" i="14"/>
  <c r="T691" i="14"/>
  <c r="U691" i="14"/>
  <c r="P692" i="14"/>
  <c r="Q692" i="14"/>
  <c r="R692" i="14"/>
  <c r="S692" i="14"/>
  <c r="T692" i="14"/>
  <c r="U692" i="14"/>
  <c r="P693" i="14"/>
  <c r="Q693" i="14"/>
  <c r="R693" i="14"/>
  <c r="S693" i="14"/>
  <c r="T693" i="14"/>
  <c r="U693" i="14"/>
  <c r="P694" i="14"/>
  <c r="Q694" i="14"/>
  <c r="R694" i="14"/>
  <c r="S694" i="14"/>
  <c r="T694" i="14"/>
  <c r="U694" i="14"/>
  <c r="P695" i="14"/>
  <c r="Q695" i="14"/>
  <c r="R695" i="14"/>
  <c r="S695" i="14"/>
  <c r="T695" i="14"/>
  <c r="U695" i="14"/>
  <c r="P696" i="14"/>
  <c r="Q696" i="14"/>
  <c r="R696" i="14"/>
  <c r="S696" i="14"/>
  <c r="T696" i="14"/>
  <c r="U696" i="14"/>
  <c r="P697" i="14"/>
  <c r="Q697" i="14"/>
  <c r="R697" i="14"/>
  <c r="S697" i="14"/>
  <c r="T697" i="14"/>
  <c r="U697" i="14"/>
  <c r="P698" i="14"/>
  <c r="Q698" i="14"/>
  <c r="R698" i="14"/>
  <c r="S698" i="14"/>
  <c r="T698" i="14"/>
  <c r="U698" i="14"/>
  <c r="P699" i="14"/>
  <c r="Q699" i="14"/>
  <c r="R699" i="14"/>
  <c r="S699" i="14"/>
  <c r="T699" i="14"/>
  <c r="U699" i="14"/>
  <c r="P700" i="14"/>
  <c r="Q700" i="14"/>
  <c r="R700" i="14"/>
  <c r="S700" i="14"/>
  <c r="T700" i="14"/>
  <c r="U700" i="14"/>
  <c r="P701" i="14"/>
  <c r="Q701" i="14"/>
  <c r="R701" i="14"/>
  <c r="S701" i="14"/>
  <c r="T701" i="14"/>
  <c r="U701" i="14"/>
  <c r="P702" i="14"/>
  <c r="Q702" i="14"/>
  <c r="R702" i="14"/>
  <c r="S702" i="14"/>
  <c r="T702" i="14"/>
  <c r="U702" i="14"/>
  <c r="P703" i="14"/>
  <c r="Q703" i="14"/>
  <c r="R703" i="14"/>
  <c r="S703" i="14"/>
  <c r="T703" i="14"/>
  <c r="U703" i="14"/>
  <c r="P704" i="14"/>
  <c r="Q704" i="14"/>
  <c r="R704" i="14"/>
  <c r="S704" i="14"/>
  <c r="T704" i="14"/>
  <c r="U704" i="14"/>
  <c r="P705" i="14"/>
  <c r="Q705" i="14"/>
  <c r="R705" i="14"/>
  <c r="S705" i="14"/>
  <c r="T705" i="14"/>
  <c r="U705" i="14"/>
  <c r="P706" i="14"/>
  <c r="Q706" i="14"/>
  <c r="R706" i="14"/>
  <c r="S706" i="14"/>
  <c r="T706" i="14"/>
  <c r="U706" i="14"/>
  <c r="P707" i="14"/>
  <c r="Q707" i="14"/>
  <c r="R707" i="14"/>
  <c r="S707" i="14"/>
  <c r="T707" i="14"/>
  <c r="U707" i="14"/>
  <c r="P708" i="14"/>
  <c r="Q708" i="14"/>
  <c r="R708" i="14"/>
  <c r="S708" i="14"/>
  <c r="T708" i="14"/>
  <c r="U708" i="14"/>
  <c r="P709" i="14"/>
  <c r="Q709" i="14"/>
  <c r="R709" i="14"/>
  <c r="S709" i="14"/>
  <c r="T709" i="14"/>
  <c r="U709" i="14"/>
  <c r="P710" i="14"/>
  <c r="Q710" i="14"/>
  <c r="R710" i="14"/>
  <c r="S710" i="14"/>
  <c r="T710" i="14"/>
  <c r="U710" i="14"/>
  <c r="P711" i="14"/>
  <c r="Q711" i="14"/>
  <c r="R711" i="14"/>
  <c r="S711" i="14"/>
  <c r="T711" i="14"/>
  <c r="U711" i="14"/>
  <c r="P712" i="14"/>
  <c r="Q712" i="14"/>
  <c r="R712" i="14"/>
  <c r="S712" i="14"/>
  <c r="T712" i="14"/>
  <c r="U712" i="14"/>
  <c r="P713" i="14"/>
  <c r="Q713" i="14"/>
  <c r="R713" i="14"/>
  <c r="S713" i="14"/>
  <c r="T713" i="14"/>
  <c r="U713" i="14"/>
  <c r="P714" i="14"/>
  <c r="Q714" i="14"/>
  <c r="R714" i="14"/>
  <c r="S714" i="14"/>
  <c r="T714" i="14"/>
  <c r="U714" i="14"/>
  <c r="P715" i="14"/>
  <c r="Q715" i="14"/>
  <c r="R715" i="14"/>
  <c r="S715" i="14"/>
  <c r="T715" i="14"/>
  <c r="U715" i="14"/>
  <c r="P716" i="14"/>
  <c r="Q716" i="14"/>
  <c r="R716" i="14"/>
  <c r="S716" i="14"/>
  <c r="T716" i="14"/>
  <c r="U716" i="14"/>
  <c r="P717" i="14"/>
  <c r="Q717" i="14"/>
  <c r="R717" i="14"/>
  <c r="S717" i="14"/>
  <c r="T717" i="14"/>
  <c r="U717" i="14"/>
  <c r="P718" i="14"/>
  <c r="Q718" i="14"/>
  <c r="R718" i="14"/>
  <c r="S718" i="14"/>
  <c r="T718" i="14"/>
  <c r="U718" i="14"/>
  <c r="P719" i="14"/>
  <c r="Q719" i="14"/>
  <c r="R719" i="14"/>
  <c r="S719" i="14"/>
  <c r="T719" i="14"/>
  <c r="U719" i="14"/>
  <c r="P720" i="14"/>
  <c r="Q720" i="14"/>
  <c r="R720" i="14"/>
  <c r="S720" i="14"/>
  <c r="T720" i="14"/>
  <c r="U720" i="14"/>
  <c r="P721" i="14"/>
  <c r="Q721" i="14"/>
  <c r="R721" i="14"/>
  <c r="S721" i="14"/>
  <c r="T721" i="14"/>
  <c r="U721" i="14"/>
  <c r="P722" i="14"/>
  <c r="Q722" i="14"/>
  <c r="R722" i="14"/>
  <c r="S722" i="14"/>
  <c r="T722" i="14"/>
  <c r="U722" i="14"/>
  <c r="P723" i="14"/>
  <c r="Q723" i="14"/>
  <c r="R723" i="14"/>
  <c r="S723" i="14"/>
  <c r="T723" i="14"/>
  <c r="U723" i="14"/>
  <c r="P724" i="14"/>
  <c r="Q724" i="14"/>
  <c r="R724" i="14"/>
  <c r="S724" i="14"/>
  <c r="T724" i="14"/>
  <c r="U724" i="14"/>
  <c r="P725" i="14"/>
  <c r="Q725" i="14"/>
  <c r="R725" i="14"/>
  <c r="S725" i="14"/>
  <c r="T725" i="14"/>
  <c r="U725" i="14"/>
  <c r="P726" i="14"/>
  <c r="Q726" i="14"/>
  <c r="R726" i="14"/>
  <c r="S726" i="14"/>
  <c r="T726" i="14"/>
  <c r="U726" i="14"/>
  <c r="P727" i="14"/>
  <c r="Q727" i="14"/>
  <c r="R727" i="14"/>
  <c r="S727" i="14"/>
  <c r="T727" i="14"/>
  <c r="U727" i="14"/>
  <c r="P728" i="14"/>
  <c r="Q728" i="14"/>
  <c r="R728" i="14"/>
  <c r="S728" i="14"/>
  <c r="T728" i="14"/>
  <c r="U728" i="14"/>
  <c r="P729" i="14"/>
  <c r="Q729" i="14"/>
  <c r="R729" i="14"/>
  <c r="S729" i="14"/>
  <c r="T729" i="14"/>
  <c r="U729" i="14"/>
  <c r="P730" i="14"/>
  <c r="Q730" i="14"/>
  <c r="R730" i="14"/>
  <c r="S730" i="14"/>
  <c r="T730" i="14"/>
  <c r="U730" i="14"/>
  <c r="P731" i="14"/>
  <c r="Q731" i="14"/>
  <c r="R731" i="14"/>
  <c r="S731" i="14"/>
  <c r="T731" i="14"/>
  <c r="U731" i="14"/>
  <c r="P732" i="14"/>
  <c r="Q732" i="14"/>
  <c r="R732" i="14"/>
  <c r="S732" i="14"/>
  <c r="T732" i="14"/>
  <c r="U732" i="14"/>
  <c r="P733" i="14"/>
  <c r="Q733" i="14"/>
  <c r="R733" i="14"/>
  <c r="S733" i="14"/>
  <c r="T733" i="14"/>
  <c r="U733" i="14"/>
  <c r="P734" i="14"/>
  <c r="Q734" i="14"/>
  <c r="R734" i="14"/>
  <c r="S734" i="14"/>
  <c r="T734" i="14"/>
  <c r="U734" i="14"/>
  <c r="P735" i="14"/>
  <c r="Q735" i="14"/>
  <c r="R735" i="14"/>
  <c r="S735" i="14"/>
  <c r="T735" i="14"/>
  <c r="U735" i="14"/>
  <c r="P736" i="14"/>
  <c r="Q736" i="14"/>
  <c r="R736" i="14"/>
  <c r="S736" i="14"/>
  <c r="T736" i="14"/>
  <c r="U736" i="14"/>
  <c r="P737" i="14"/>
  <c r="Q737" i="14"/>
  <c r="R737" i="14"/>
  <c r="S737" i="14"/>
  <c r="T737" i="14"/>
  <c r="U737" i="14"/>
  <c r="P738" i="14"/>
  <c r="Q738" i="14"/>
  <c r="R738" i="14"/>
  <c r="S738" i="14"/>
  <c r="T738" i="14"/>
  <c r="U738" i="14"/>
  <c r="P739" i="14"/>
  <c r="Q739" i="14"/>
  <c r="R739" i="14"/>
  <c r="S739" i="14"/>
  <c r="T739" i="14"/>
  <c r="U739" i="14"/>
  <c r="P740" i="14"/>
  <c r="Q740" i="14"/>
  <c r="R740" i="14"/>
  <c r="S740" i="14"/>
  <c r="T740" i="14"/>
  <c r="U740" i="14"/>
  <c r="P741" i="14"/>
  <c r="Q741" i="14"/>
  <c r="R741" i="14"/>
  <c r="S741" i="14"/>
  <c r="T741" i="14"/>
  <c r="U741" i="14"/>
  <c r="P742" i="14"/>
  <c r="Q742" i="14"/>
  <c r="R742" i="14"/>
  <c r="S742" i="14"/>
  <c r="T742" i="14"/>
  <c r="U742" i="14"/>
  <c r="P743" i="14"/>
  <c r="Q743" i="14"/>
  <c r="R743" i="14"/>
  <c r="S743" i="14"/>
  <c r="T743" i="14"/>
  <c r="U743" i="14"/>
  <c r="P744" i="14"/>
  <c r="Q744" i="14"/>
  <c r="R744" i="14"/>
  <c r="S744" i="14"/>
  <c r="T744" i="14"/>
  <c r="U744" i="14"/>
  <c r="P745" i="14"/>
  <c r="Q745" i="14"/>
  <c r="R745" i="14"/>
  <c r="S745" i="14"/>
  <c r="T745" i="14"/>
  <c r="U745" i="14"/>
  <c r="P746" i="14"/>
  <c r="Q746" i="14"/>
  <c r="R746" i="14"/>
  <c r="S746" i="14"/>
  <c r="T746" i="14"/>
  <c r="U746" i="14"/>
  <c r="P747" i="14"/>
  <c r="Q747" i="14"/>
  <c r="R747" i="14"/>
  <c r="S747" i="14"/>
  <c r="T747" i="14"/>
  <c r="U747" i="14"/>
  <c r="P748" i="14"/>
  <c r="Q748" i="14"/>
  <c r="R748" i="14"/>
  <c r="S748" i="14"/>
  <c r="T748" i="14"/>
  <c r="U748" i="14"/>
  <c r="P749" i="14"/>
  <c r="Q749" i="14"/>
  <c r="R749" i="14"/>
  <c r="S749" i="14"/>
  <c r="T749" i="14"/>
  <c r="U749" i="14"/>
  <c r="P750" i="14"/>
  <c r="Q750" i="14"/>
  <c r="R750" i="14"/>
  <c r="S750" i="14"/>
  <c r="T750" i="14"/>
  <c r="U750" i="14"/>
  <c r="P751" i="14"/>
  <c r="Q751" i="14"/>
  <c r="R751" i="14"/>
  <c r="S751" i="14"/>
  <c r="T751" i="14"/>
  <c r="U751" i="14"/>
  <c r="P752" i="14"/>
  <c r="Q752" i="14"/>
  <c r="R752" i="14"/>
  <c r="S752" i="14"/>
  <c r="T752" i="14"/>
  <c r="U752" i="14"/>
  <c r="P753" i="14"/>
  <c r="Q753" i="14"/>
  <c r="R753" i="14"/>
  <c r="S753" i="14"/>
  <c r="T753" i="14"/>
  <c r="U753" i="14"/>
  <c r="P754" i="14"/>
  <c r="Q754" i="14"/>
  <c r="R754" i="14"/>
  <c r="S754" i="14"/>
  <c r="T754" i="14"/>
  <c r="U754" i="14"/>
  <c r="P755" i="14"/>
  <c r="Q755" i="14"/>
  <c r="R755" i="14"/>
  <c r="S755" i="14"/>
  <c r="T755" i="14"/>
  <c r="U755" i="14"/>
  <c r="P756" i="14"/>
  <c r="Q756" i="14"/>
  <c r="R756" i="14"/>
  <c r="S756" i="14"/>
  <c r="T756" i="14"/>
  <c r="U756" i="14"/>
  <c r="P757" i="14"/>
  <c r="Q757" i="14"/>
  <c r="R757" i="14"/>
  <c r="S757" i="14"/>
  <c r="T757" i="14"/>
  <c r="U757" i="14"/>
  <c r="P758" i="14"/>
  <c r="Q758" i="14"/>
  <c r="R758" i="14"/>
  <c r="S758" i="14"/>
  <c r="T758" i="14"/>
  <c r="U758" i="14"/>
  <c r="P759" i="14"/>
  <c r="Q759" i="14"/>
  <c r="R759" i="14"/>
  <c r="S759" i="14"/>
  <c r="T759" i="14"/>
  <c r="U759" i="14"/>
  <c r="P760" i="14"/>
  <c r="Q760" i="14"/>
  <c r="R760" i="14"/>
  <c r="S760" i="14"/>
  <c r="T760" i="14"/>
  <c r="U760" i="14"/>
  <c r="P761" i="14"/>
  <c r="Q761" i="14"/>
  <c r="R761" i="14"/>
  <c r="S761" i="14"/>
  <c r="T761" i="14"/>
  <c r="U761" i="14"/>
  <c r="P762" i="14"/>
  <c r="Q762" i="14"/>
  <c r="R762" i="14"/>
  <c r="S762" i="14"/>
  <c r="T762" i="14"/>
  <c r="U762" i="14"/>
  <c r="P763" i="14"/>
  <c r="Q763" i="14"/>
  <c r="R763" i="14"/>
  <c r="S763" i="14"/>
  <c r="T763" i="14"/>
  <c r="U763" i="14"/>
  <c r="P764" i="14"/>
  <c r="Q764" i="14"/>
  <c r="R764" i="14"/>
  <c r="S764" i="14"/>
  <c r="T764" i="14"/>
  <c r="U764" i="14"/>
  <c r="P765" i="14"/>
  <c r="Q765" i="14"/>
  <c r="R765" i="14"/>
  <c r="S765" i="14"/>
  <c r="T765" i="14"/>
  <c r="U765" i="14"/>
  <c r="P766" i="14"/>
  <c r="Q766" i="14"/>
  <c r="R766" i="14"/>
  <c r="S766" i="14"/>
  <c r="T766" i="14"/>
  <c r="U766" i="14"/>
  <c r="P767" i="14"/>
  <c r="Q767" i="14"/>
  <c r="R767" i="14"/>
  <c r="S767" i="14"/>
  <c r="T767" i="14"/>
  <c r="U767" i="14"/>
  <c r="P768" i="14"/>
  <c r="Q768" i="14"/>
  <c r="R768" i="14"/>
  <c r="S768" i="14"/>
  <c r="T768" i="14"/>
  <c r="U768" i="14"/>
  <c r="P769" i="14"/>
  <c r="Q769" i="14"/>
  <c r="R769" i="14"/>
  <c r="S769" i="14"/>
  <c r="T769" i="14"/>
  <c r="U769" i="14"/>
  <c r="P770" i="14"/>
  <c r="Q770" i="14"/>
  <c r="R770" i="14"/>
  <c r="S770" i="14"/>
  <c r="T770" i="14"/>
  <c r="U770" i="14"/>
  <c r="P771" i="14"/>
  <c r="Q771" i="14"/>
  <c r="R771" i="14"/>
  <c r="S771" i="14"/>
  <c r="T771" i="14"/>
  <c r="U771" i="14"/>
  <c r="P772" i="14"/>
  <c r="Q772" i="14"/>
  <c r="R772" i="14"/>
  <c r="S772" i="14"/>
  <c r="T772" i="14"/>
  <c r="U772" i="14"/>
  <c r="P773" i="14"/>
  <c r="Q773" i="14"/>
  <c r="R773" i="14"/>
  <c r="S773" i="14"/>
  <c r="T773" i="14"/>
  <c r="U773" i="14"/>
  <c r="P774" i="14"/>
  <c r="Q774" i="14"/>
  <c r="R774" i="14"/>
  <c r="S774" i="14"/>
  <c r="T774" i="14"/>
  <c r="U774" i="14"/>
  <c r="P775" i="14"/>
  <c r="Q775" i="14"/>
  <c r="R775" i="14"/>
  <c r="S775" i="14"/>
  <c r="T775" i="14"/>
  <c r="U775" i="14"/>
  <c r="P776" i="14"/>
  <c r="Q776" i="14"/>
  <c r="R776" i="14"/>
  <c r="S776" i="14"/>
  <c r="T776" i="14"/>
  <c r="U776" i="14"/>
  <c r="P777" i="14"/>
  <c r="Q777" i="14"/>
  <c r="R777" i="14"/>
  <c r="S777" i="14"/>
  <c r="T777" i="14"/>
  <c r="U777" i="14"/>
  <c r="P778" i="14"/>
  <c r="Q778" i="14"/>
  <c r="R778" i="14"/>
  <c r="S778" i="14"/>
  <c r="T778" i="14"/>
  <c r="U778" i="14"/>
  <c r="P779" i="14"/>
  <c r="Q779" i="14"/>
  <c r="R779" i="14"/>
  <c r="S779" i="14"/>
  <c r="T779" i="14"/>
  <c r="U779" i="14"/>
  <c r="P780" i="14"/>
  <c r="Q780" i="14"/>
  <c r="R780" i="14"/>
  <c r="S780" i="14"/>
  <c r="T780" i="14"/>
  <c r="U780" i="14"/>
  <c r="P781" i="14"/>
  <c r="Q781" i="14"/>
  <c r="R781" i="14"/>
  <c r="S781" i="14"/>
  <c r="T781" i="14"/>
  <c r="U781" i="14"/>
  <c r="P782" i="14"/>
  <c r="Q782" i="14"/>
  <c r="R782" i="14"/>
  <c r="S782" i="14"/>
  <c r="T782" i="14"/>
  <c r="U782" i="14"/>
  <c r="P783" i="14"/>
  <c r="Q783" i="14"/>
  <c r="R783" i="14"/>
  <c r="S783" i="14"/>
  <c r="T783" i="14"/>
  <c r="U783" i="14"/>
  <c r="P784" i="14"/>
  <c r="Q784" i="14"/>
  <c r="R784" i="14"/>
  <c r="S784" i="14"/>
  <c r="T784" i="14"/>
  <c r="U784" i="14"/>
  <c r="P785" i="14"/>
  <c r="Q785" i="14"/>
  <c r="R785" i="14"/>
  <c r="S785" i="14"/>
  <c r="T785" i="14"/>
  <c r="U785" i="14"/>
  <c r="P786" i="14"/>
  <c r="Q786" i="14"/>
  <c r="R786" i="14"/>
  <c r="S786" i="14"/>
  <c r="T786" i="14"/>
  <c r="U786" i="14"/>
  <c r="P787" i="14"/>
  <c r="Q787" i="14"/>
  <c r="R787" i="14"/>
  <c r="S787" i="14"/>
  <c r="T787" i="14"/>
  <c r="U787" i="14"/>
  <c r="P788" i="14"/>
  <c r="Q788" i="14"/>
  <c r="R788" i="14"/>
  <c r="S788" i="14"/>
  <c r="T788" i="14"/>
  <c r="U788" i="14"/>
  <c r="P789" i="14"/>
  <c r="Q789" i="14"/>
  <c r="R789" i="14"/>
  <c r="S789" i="14"/>
  <c r="T789" i="14"/>
  <c r="U789" i="14"/>
  <c r="P790" i="14"/>
  <c r="Q790" i="14"/>
  <c r="R790" i="14"/>
  <c r="S790" i="14"/>
  <c r="T790" i="14"/>
  <c r="U790" i="14"/>
  <c r="P791" i="14"/>
  <c r="Q791" i="14"/>
  <c r="R791" i="14"/>
  <c r="S791" i="14"/>
  <c r="T791" i="14"/>
  <c r="U791" i="14"/>
  <c r="P792" i="14"/>
  <c r="Q792" i="14"/>
  <c r="R792" i="14"/>
  <c r="S792" i="14"/>
  <c r="T792" i="14"/>
  <c r="U792" i="14"/>
  <c r="P793" i="14"/>
  <c r="Q793" i="14"/>
  <c r="R793" i="14"/>
  <c r="S793" i="14"/>
  <c r="T793" i="14"/>
  <c r="U793" i="14"/>
  <c r="P794" i="14"/>
  <c r="Q794" i="14"/>
  <c r="R794" i="14"/>
  <c r="S794" i="14"/>
  <c r="T794" i="14"/>
  <c r="U794" i="14"/>
  <c r="P795" i="14"/>
  <c r="Q795" i="14"/>
  <c r="R795" i="14"/>
  <c r="S795" i="14"/>
  <c r="T795" i="14"/>
  <c r="U795" i="14"/>
  <c r="P796" i="14"/>
  <c r="Q796" i="14"/>
  <c r="R796" i="14"/>
  <c r="S796" i="14"/>
  <c r="T796" i="14"/>
  <c r="U796" i="14"/>
  <c r="P797" i="14"/>
  <c r="Q797" i="14"/>
  <c r="R797" i="14"/>
  <c r="S797" i="14"/>
  <c r="T797" i="14"/>
  <c r="U797" i="14"/>
  <c r="P798" i="14"/>
  <c r="Q798" i="14"/>
  <c r="R798" i="14"/>
  <c r="S798" i="14"/>
  <c r="T798" i="14"/>
  <c r="U798" i="14"/>
  <c r="P799" i="14"/>
  <c r="Q799" i="14"/>
  <c r="R799" i="14"/>
  <c r="S799" i="14"/>
  <c r="T799" i="14"/>
  <c r="U799" i="14"/>
  <c r="P800" i="14"/>
  <c r="Q800" i="14"/>
  <c r="R800" i="14"/>
  <c r="S800" i="14"/>
  <c r="T800" i="14"/>
  <c r="U800" i="14"/>
  <c r="P801" i="14"/>
  <c r="Q801" i="14"/>
  <c r="R801" i="14"/>
  <c r="S801" i="14"/>
  <c r="T801" i="14"/>
  <c r="U801" i="14"/>
  <c r="P802" i="14"/>
  <c r="Q802" i="14"/>
  <c r="R802" i="14"/>
  <c r="S802" i="14"/>
  <c r="T802" i="14"/>
  <c r="U802" i="14"/>
  <c r="P803" i="14"/>
  <c r="Q803" i="14"/>
  <c r="R803" i="14"/>
  <c r="S803" i="14"/>
  <c r="T803" i="14"/>
  <c r="U803" i="14"/>
  <c r="P804" i="14"/>
  <c r="Q804" i="14"/>
  <c r="R804" i="14"/>
  <c r="S804" i="14"/>
  <c r="T804" i="14"/>
  <c r="U804" i="14"/>
  <c r="P805" i="14"/>
  <c r="Q805" i="14"/>
  <c r="R805" i="14"/>
  <c r="S805" i="14"/>
  <c r="T805" i="14"/>
  <c r="U805" i="14"/>
  <c r="P806" i="14"/>
  <c r="Q806" i="14"/>
  <c r="R806" i="14"/>
  <c r="S806" i="14"/>
  <c r="T806" i="14"/>
  <c r="U806" i="14"/>
  <c r="P807" i="14"/>
  <c r="Q807" i="14"/>
  <c r="R807" i="14"/>
  <c r="S807" i="14"/>
  <c r="T807" i="14"/>
  <c r="U807" i="14"/>
  <c r="P808" i="14"/>
  <c r="Q808" i="14"/>
  <c r="R808" i="14"/>
  <c r="S808" i="14"/>
  <c r="T808" i="14"/>
  <c r="U808" i="14"/>
  <c r="P809" i="14"/>
  <c r="Q809" i="14"/>
  <c r="R809" i="14"/>
  <c r="S809" i="14"/>
  <c r="T809" i="14"/>
  <c r="U809" i="14"/>
  <c r="P810" i="14"/>
  <c r="Q810" i="14"/>
  <c r="R810" i="14"/>
  <c r="S810" i="14"/>
  <c r="T810" i="14"/>
  <c r="U810" i="14"/>
  <c r="P811" i="14"/>
  <c r="Q811" i="14"/>
  <c r="R811" i="14"/>
  <c r="S811" i="14"/>
  <c r="T811" i="14"/>
  <c r="U811" i="14"/>
  <c r="P812" i="14"/>
  <c r="Q812" i="14"/>
  <c r="R812" i="14"/>
  <c r="S812" i="14"/>
  <c r="T812" i="14"/>
  <c r="U812" i="14"/>
  <c r="P813" i="14"/>
  <c r="Q813" i="14"/>
  <c r="R813" i="14"/>
  <c r="S813" i="14"/>
  <c r="T813" i="14"/>
  <c r="U813" i="14"/>
  <c r="P814" i="14"/>
  <c r="Q814" i="14"/>
  <c r="R814" i="14"/>
  <c r="S814" i="14"/>
  <c r="T814" i="14"/>
  <c r="U814" i="14"/>
  <c r="P815" i="14"/>
  <c r="Q815" i="14"/>
  <c r="R815" i="14"/>
  <c r="S815" i="14"/>
  <c r="T815" i="14"/>
  <c r="U815" i="14"/>
  <c r="P816" i="14"/>
  <c r="Q816" i="14"/>
  <c r="R816" i="14"/>
  <c r="S816" i="14"/>
  <c r="T816" i="14"/>
  <c r="U816" i="14"/>
  <c r="P817" i="14"/>
  <c r="Q817" i="14"/>
  <c r="R817" i="14"/>
  <c r="S817" i="14"/>
  <c r="T817" i="14"/>
  <c r="U817" i="14"/>
  <c r="P818" i="14"/>
  <c r="Q818" i="14"/>
  <c r="R818" i="14"/>
  <c r="S818" i="14"/>
  <c r="T818" i="14"/>
  <c r="U818" i="14"/>
  <c r="P819" i="14"/>
  <c r="Q819" i="14"/>
  <c r="R819" i="14"/>
  <c r="S819" i="14"/>
  <c r="T819" i="14"/>
  <c r="U819" i="14"/>
  <c r="P820" i="14"/>
  <c r="Q820" i="14"/>
  <c r="R820" i="14"/>
  <c r="S820" i="14"/>
  <c r="T820" i="14"/>
  <c r="U820" i="14"/>
  <c r="P821" i="14"/>
  <c r="Q821" i="14"/>
  <c r="R821" i="14"/>
  <c r="S821" i="14"/>
  <c r="T821" i="14"/>
  <c r="U821" i="14"/>
  <c r="P822" i="14"/>
  <c r="Q822" i="14"/>
  <c r="R822" i="14"/>
  <c r="S822" i="14"/>
  <c r="T822" i="14"/>
  <c r="U822" i="14"/>
  <c r="P823" i="14"/>
  <c r="Q823" i="14"/>
  <c r="R823" i="14"/>
  <c r="S823" i="14"/>
  <c r="T823" i="14"/>
  <c r="U823" i="14"/>
  <c r="P824" i="14"/>
  <c r="Q824" i="14"/>
  <c r="R824" i="14"/>
  <c r="S824" i="14"/>
  <c r="T824" i="14"/>
  <c r="U824" i="14"/>
  <c r="P825" i="14"/>
  <c r="Q825" i="14"/>
  <c r="R825" i="14"/>
  <c r="S825" i="14"/>
  <c r="T825" i="14"/>
  <c r="U825" i="14"/>
  <c r="P826" i="14"/>
  <c r="Q826" i="14"/>
  <c r="R826" i="14"/>
  <c r="S826" i="14"/>
  <c r="T826" i="14"/>
  <c r="U826" i="14"/>
  <c r="P827" i="14"/>
  <c r="Q827" i="14"/>
  <c r="R827" i="14"/>
  <c r="S827" i="14"/>
  <c r="T827" i="14"/>
  <c r="U827" i="14"/>
  <c r="P828" i="14"/>
  <c r="Q828" i="14"/>
  <c r="R828" i="14"/>
  <c r="S828" i="14"/>
  <c r="T828" i="14"/>
  <c r="U828" i="14"/>
  <c r="P829" i="14"/>
  <c r="Q829" i="14"/>
  <c r="R829" i="14"/>
  <c r="S829" i="14"/>
  <c r="T829" i="14"/>
  <c r="U829" i="14"/>
  <c r="P830" i="14"/>
  <c r="Q830" i="14"/>
  <c r="R830" i="14"/>
  <c r="S830" i="14"/>
  <c r="T830" i="14"/>
  <c r="U830" i="14"/>
  <c r="P831" i="14"/>
  <c r="Q831" i="14"/>
  <c r="R831" i="14"/>
  <c r="S831" i="14"/>
  <c r="T831" i="14"/>
  <c r="U831" i="14"/>
  <c r="P832" i="14"/>
  <c r="Q832" i="14"/>
  <c r="R832" i="14"/>
  <c r="S832" i="14"/>
  <c r="T832" i="14"/>
  <c r="U832" i="14"/>
  <c r="P833" i="14"/>
  <c r="Q833" i="14"/>
  <c r="R833" i="14"/>
  <c r="S833" i="14"/>
  <c r="T833" i="14"/>
  <c r="U833" i="14"/>
  <c r="P834" i="14"/>
  <c r="Q834" i="14"/>
  <c r="R834" i="14"/>
  <c r="S834" i="14"/>
  <c r="T834" i="14"/>
  <c r="U834" i="14"/>
  <c r="P835" i="14"/>
  <c r="Q835" i="14"/>
  <c r="R835" i="14"/>
  <c r="S835" i="14"/>
  <c r="T835" i="14"/>
  <c r="U835" i="14"/>
  <c r="P836" i="14"/>
  <c r="Q836" i="14"/>
  <c r="R836" i="14"/>
  <c r="S836" i="14"/>
  <c r="T836" i="14"/>
  <c r="U836" i="14"/>
  <c r="P837" i="14"/>
  <c r="Q837" i="14"/>
  <c r="R837" i="14"/>
  <c r="S837" i="14"/>
  <c r="T837" i="14"/>
  <c r="U837" i="14"/>
  <c r="P838" i="14"/>
  <c r="Q838" i="14"/>
  <c r="R838" i="14"/>
  <c r="S838" i="14"/>
  <c r="T838" i="14"/>
  <c r="U838" i="14"/>
  <c r="P839" i="14"/>
  <c r="Q839" i="14"/>
  <c r="R839" i="14"/>
  <c r="S839" i="14"/>
  <c r="T839" i="14"/>
  <c r="U839" i="14"/>
  <c r="P840" i="14"/>
  <c r="Q840" i="14"/>
  <c r="R840" i="14"/>
  <c r="S840" i="14"/>
  <c r="T840" i="14"/>
  <c r="U840" i="14"/>
  <c r="P841" i="14"/>
  <c r="Q841" i="14"/>
  <c r="R841" i="14"/>
  <c r="S841" i="14"/>
  <c r="T841" i="14"/>
  <c r="U841" i="14"/>
  <c r="P842" i="14"/>
  <c r="Q842" i="14"/>
  <c r="R842" i="14"/>
  <c r="S842" i="14"/>
  <c r="T842" i="14"/>
  <c r="U842" i="14"/>
  <c r="P843" i="14"/>
  <c r="Q843" i="14"/>
  <c r="R843" i="14"/>
  <c r="S843" i="14"/>
  <c r="T843" i="14"/>
  <c r="U843" i="14"/>
  <c r="P844" i="14"/>
  <c r="Q844" i="14"/>
  <c r="R844" i="14"/>
  <c r="S844" i="14"/>
  <c r="T844" i="14"/>
  <c r="U844" i="14"/>
  <c r="P845" i="14"/>
  <c r="Q845" i="14"/>
  <c r="R845" i="14"/>
  <c r="S845" i="14"/>
  <c r="T845" i="14"/>
  <c r="U845" i="14"/>
  <c r="P846" i="14"/>
  <c r="Q846" i="14"/>
  <c r="R846" i="14"/>
  <c r="S846" i="14"/>
  <c r="T846" i="14"/>
  <c r="U846" i="14"/>
  <c r="P847" i="14"/>
  <c r="Q847" i="14"/>
  <c r="R847" i="14"/>
  <c r="S847" i="14"/>
  <c r="T847" i="14"/>
  <c r="U847" i="14"/>
  <c r="P848" i="14"/>
  <c r="Q848" i="14"/>
  <c r="R848" i="14"/>
  <c r="S848" i="14"/>
  <c r="T848" i="14"/>
  <c r="U848" i="14"/>
  <c r="P849" i="14"/>
  <c r="Q849" i="14"/>
  <c r="R849" i="14"/>
  <c r="S849" i="14"/>
  <c r="T849" i="14"/>
  <c r="U849" i="14"/>
  <c r="P850" i="14"/>
  <c r="Q850" i="14"/>
  <c r="R850" i="14"/>
  <c r="S850" i="14"/>
  <c r="T850" i="14"/>
  <c r="U850" i="14"/>
  <c r="P851" i="14"/>
  <c r="Q851" i="14"/>
  <c r="R851" i="14"/>
  <c r="S851" i="14"/>
  <c r="T851" i="14"/>
  <c r="U851" i="14"/>
  <c r="P852" i="14"/>
  <c r="Q852" i="14"/>
  <c r="R852" i="14"/>
  <c r="S852" i="14"/>
  <c r="T852" i="14"/>
  <c r="U852" i="14"/>
  <c r="P853" i="14"/>
  <c r="Q853" i="14"/>
  <c r="R853" i="14"/>
  <c r="S853" i="14"/>
  <c r="T853" i="14"/>
  <c r="U853" i="14"/>
  <c r="P854" i="14"/>
  <c r="Q854" i="14"/>
  <c r="R854" i="14"/>
  <c r="S854" i="14"/>
  <c r="T854" i="14"/>
  <c r="U854" i="14"/>
  <c r="P855" i="14"/>
  <c r="Q855" i="14"/>
  <c r="R855" i="14"/>
  <c r="S855" i="14"/>
  <c r="T855" i="14"/>
  <c r="U855" i="14"/>
  <c r="P856" i="14"/>
  <c r="Q856" i="14"/>
  <c r="R856" i="14"/>
  <c r="S856" i="14"/>
  <c r="T856" i="14"/>
  <c r="U856" i="14"/>
  <c r="P857" i="14"/>
  <c r="Q857" i="14"/>
  <c r="R857" i="14"/>
  <c r="S857" i="14"/>
  <c r="T857" i="14"/>
  <c r="U857" i="14"/>
  <c r="P858" i="14"/>
  <c r="Q858" i="14"/>
  <c r="R858" i="14"/>
  <c r="S858" i="14"/>
  <c r="T858" i="14"/>
  <c r="U858" i="14"/>
  <c r="P859" i="14"/>
  <c r="Q859" i="14"/>
  <c r="R859" i="14"/>
  <c r="S859" i="14"/>
  <c r="T859" i="14"/>
  <c r="U859" i="14"/>
  <c r="P860" i="14"/>
  <c r="Q860" i="14"/>
  <c r="R860" i="14"/>
  <c r="S860" i="14"/>
  <c r="T860" i="14"/>
  <c r="U860" i="14"/>
  <c r="P861" i="14"/>
  <c r="Q861" i="14"/>
  <c r="R861" i="14"/>
  <c r="S861" i="14"/>
  <c r="T861" i="14"/>
  <c r="U861" i="14"/>
  <c r="P862" i="14"/>
  <c r="Q862" i="14"/>
  <c r="R862" i="14"/>
  <c r="S862" i="14"/>
  <c r="T862" i="14"/>
  <c r="U862" i="14"/>
  <c r="P863" i="14"/>
  <c r="Q863" i="14"/>
  <c r="R863" i="14"/>
  <c r="S863" i="14"/>
  <c r="T863" i="14"/>
  <c r="U863" i="14"/>
  <c r="P864" i="14"/>
  <c r="Q864" i="14"/>
  <c r="R864" i="14"/>
  <c r="S864" i="14"/>
  <c r="T864" i="14"/>
  <c r="U864" i="14"/>
  <c r="P865" i="14"/>
  <c r="Q865" i="14"/>
  <c r="R865" i="14"/>
  <c r="S865" i="14"/>
  <c r="T865" i="14"/>
  <c r="U865" i="14"/>
  <c r="P866" i="14"/>
  <c r="Q866" i="14"/>
  <c r="R866" i="14"/>
  <c r="S866" i="14"/>
  <c r="T866" i="14"/>
  <c r="U866" i="14"/>
  <c r="P867" i="14"/>
  <c r="Q867" i="14"/>
  <c r="R867" i="14"/>
  <c r="S867" i="14"/>
  <c r="T867" i="14"/>
  <c r="U867" i="14"/>
  <c r="P868" i="14"/>
  <c r="Q868" i="14"/>
  <c r="R868" i="14"/>
  <c r="S868" i="14"/>
  <c r="T868" i="14"/>
  <c r="U868" i="14"/>
  <c r="P869" i="14"/>
  <c r="Q869" i="14"/>
  <c r="R869" i="14"/>
  <c r="S869" i="14"/>
  <c r="T869" i="14"/>
  <c r="U869" i="14"/>
  <c r="P870" i="14"/>
  <c r="Q870" i="14"/>
  <c r="R870" i="14"/>
  <c r="S870" i="14"/>
  <c r="T870" i="14"/>
  <c r="U870" i="14"/>
  <c r="P871" i="14"/>
  <c r="Q871" i="14"/>
  <c r="R871" i="14"/>
  <c r="S871" i="14"/>
  <c r="T871" i="14"/>
  <c r="U871" i="14"/>
  <c r="P872" i="14"/>
  <c r="Q872" i="14"/>
  <c r="R872" i="14"/>
  <c r="S872" i="14"/>
  <c r="T872" i="14"/>
  <c r="U872" i="14"/>
  <c r="P873" i="14"/>
  <c r="Q873" i="14"/>
  <c r="R873" i="14"/>
  <c r="S873" i="14"/>
  <c r="T873" i="14"/>
  <c r="U873" i="14"/>
  <c r="P874" i="14"/>
  <c r="Q874" i="14"/>
  <c r="R874" i="14"/>
  <c r="S874" i="14"/>
  <c r="T874" i="14"/>
  <c r="U874" i="14"/>
  <c r="P875" i="14"/>
  <c r="Q875" i="14"/>
  <c r="R875" i="14"/>
  <c r="S875" i="14"/>
  <c r="T875" i="14"/>
  <c r="U875" i="14"/>
  <c r="P876" i="14"/>
  <c r="Q876" i="14"/>
  <c r="R876" i="14"/>
  <c r="S876" i="14"/>
  <c r="T876" i="14"/>
  <c r="U876" i="14"/>
  <c r="P877" i="14"/>
  <c r="Q877" i="14"/>
  <c r="R877" i="14"/>
  <c r="S877" i="14"/>
  <c r="T877" i="14"/>
  <c r="U877" i="14"/>
  <c r="P878" i="14"/>
  <c r="Q878" i="14"/>
  <c r="R878" i="14"/>
  <c r="S878" i="14"/>
  <c r="T878" i="14"/>
  <c r="U878" i="14"/>
  <c r="P879" i="14"/>
  <c r="Q879" i="14"/>
  <c r="R879" i="14"/>
  <c r="S879" i="14"/>
  <c r="T879" i="14"/>
  <c r="U879" i="14"/>
  <c r="P880" i="14"/>
  <c r="Q880" i="14"/>
  <c r="R880" i="14"/>
  <c r="S880" i="14"/>
  <c r="T880" i="14"/>
  <c r="U880" i="14"/>
  <c r="P881" i="14"/>
  <c r="Q881" i="14"/>
  <c r="R881" i="14"/>
  <c r="S881" i="14"/>
  <c r="T881" i="14"/>
  <c r="U881" i="14"/>
  <c r="P882" i="14"/>
  <c r="Q882" i="14"/>
  <c r="R882" i="14"/>
  <c r="S882" i="14"/>
  <c r="T882" i="14"/>
  <c r="U882" i="14"/>
  <c r="P883" i="14"/>
  <c r="Q883" i="14"/>
  <c r="R883" i="14"/>
  <c r="S883" i="14"/>
  <c r="T883" i="14"/>
  <c r="U883" i="14"/>
  <c r="P884" i="14"/>
  <c r="Q884" i="14"/>
  <c r="R884" i="14"/>
  <c r="S884" i="14"/>
  <c r="T884" i="14"/>
  <c r="U884" i="14"/>
  <c r="P885" i="14"/>
  <c r="Q885" i="14"/>
  <c r="R885" i="14"/>
  <c r="S885" i="14"/>
  <c r="T885" i="14"/>
  <c r="U885" i="14"/>
  <c r="P886" i="14"/>
  <c r="Q886" i="14"/>
  <c r="R886" i="14"/>
  <c r="S886" i="14"/>
  <c r="T886" i="14"/>
  <c r="U886" i="14"/>
  <c r="P887" i="14"/>
  <c r="Q887" i="14"/>
  <c r="R887" i="14"/>
  <c r="S887" i="14"/>
  <c r="T887" i="14"/>
  <c r="U887" i="14"/>
  <c r="P888" i="14"/>
  <c r="Q888" i="14"/>
  <c r="R888" i="14"/>
  <c r="S888" i="14"/>
  <c r="T888" i="14"/>
  <c r="U888" i="14"/>
  <c r="P889" i="14"/>
  <c r="Q889" i="14"/>
  <c r="R889" i="14"/>
  <c r="S889" i="14"/>
  <c r="T889" i="14"/>
  <c r="U889" i="14"/>
  <c r="P890" i="14"/>
  <c r="Q890" i="14"/>
  <c r="R890" i="14"/>
  <c r="S890" i="14"/>
  <c r="T890" i="14"/>
  <c r="U890" i="14"/>
  <c r="P891" i="14"/>
  <c r="Q891" i="14"/>
  <c r="R891" i="14"/>
  <c r="S891" i="14"/>
  <c r="T891" i="14"/>
  <c r="U891" i="14"/>
  <c r="P892" i="14"/>
  <c r="Q892" i="14"/>
  <c r="R892" i="14"/>
  <c r="S892" i="14"/>
  <c r="T892" i="14"/>
  <c r="U892" i="14"/>
  <c r="P893" i="14"/>
  <c r="Q893" i="14"/>
  <c r="R893" i="14"/>
  <c r="S893" i="14"/>
  <c r="T893" i="14"/>
  <c r="U893" i="14"/>
  <c r="P894" i="14"/>
  <c r="Q894" i="14"/>
  <c r="R894" i="14"/>
  <c r="S894" i="14"/>
  <c r="T894" i="14"/>
  <c r="U894" i="14"/>
  <c r="P895" i="14"/>
  <c r="Q895" i="14"/>
  <c r="R895" i="14"/>
  <c r="S895" i="14"/>
  <c r="T895" i="14"/>
  <c r="U895" i="14"/>
  <c r="P896" i="14"/>
  <c r="Q896" i="14"/>
  <c r="R896" i="14"/>
  <c r="S896" i="14"/>
  <c r="T896" i="14"/>
  <c r="U896" i="14"/>
  <c r="P897" i="14"/>
  <c r="Q897" i="14"/>
  <c r="R897" i="14"/>
  <c r="S897" i="14"/>
  <c r="T897" i="14"/>
  <c r="U897" i="14"/>
  <c r="P898" i="14"/>
  <c r="Q898" i="14"/>
  <c r="R898" i="14"/>
  <c r="S898" i="14"/>
  <c r="T898" i="14"/>
  <c r="U898" i="14"/>
  <c r="P899" i="14"/>
  <c r="Q899" i="14"/>
  <c r="R899" i="14"/>
  <c r="S899" i="14"/>
  <c r="T899" i="14"/>
  <c r="U899" i="14"/>
  <c r="P900" i="14"/>
  <c r="Q900" i="14"/>
  <c r="R900" i="14"/>
  <c r="S900" i="14"/>
  <c r="T900" i="14"/>
  <c r="U900" i="14"/>
  <c r="P901" i="14"/>
  <c r="Q901" i="14"/>
  <c r="R901" i="14"/>
  <c r="S901" i="14"/>
  <c r="T901" i="14"/>
  <c r="U901" i="14"/>
  <c r="P902" i="14"/>
  <c r="Q902" i="14"/>
  <c r="R902" i="14"/>
  <c r="S902" i="14"/>
  <c r="T902" i="14"/>
  <c r="U902" i="14"/>
  <c r="P903" i="14"/>
  <c r="Q903" i="14"/>
  <c r="R903" i="14"/>
  <c r="S903" i="14"/>
  <c r="T903" i="14"/>
  <c r="U903" i="14"/>
  <c r="P904" i="14"/>
  <c r="Q904" i="14"/>
  <c r="R904" i="14"/>
  <c r="S904" i="14"/>
  <c r="T904" i="14"/>
  <c r="U904" i="14"/>
  <c r="P905" i="14"/>
  <c r="Q905" i="14"/>
  <c r="R905" i="14"/>
  <c r="S905" i="14"/>
  <c r="T905" i="14"/>
  <c r="U905" i="14"/>
  <c r="P906" i="14"/>
  <c r="Q906" i="14"/>
  <c r="R906" i="14"/>
  <c r="S906" i="14"/>
  <c r="T906" i="14"/>
  <c r="U906" i="14"/>
  <c r="P907" i="14"/>
  <c r="Q907" i="14"/>
  <c r="R907" i="14"/>
  <c r="S907" i="14"/>
  <c r="T907" i="14"/>
  <c r="U907" i="14"/>
  <c r="P908" i="14"/>
  <c r="Q908" i="14"/>
  <c r="R908" i="14"/>
  <c r="S908" i="14"/>
  <c r="T908" i="14"/>
  <c r="U908" i="14"/>
  <c r="P909" i="14"/>
  <c r="Q909" i="14"/>
  <c r="R909" i="14"/>
  <c r="S909" i="14"/>
  <c r="T909" i="14"/>
  <c r="U909" i="14"/>
  <c r="P910" i="14"/>
  <c r="Q910" i="14"/>
  <c r="R910" i="14"/>
  <c r="S910" i="14"/>
  <c r="T910" i="14"/>
  <c r="U910" i="14"/>
  <c r="P911" i="14"/>
  <c r="Q911" i="14"/>
  <c r="R911" i="14"/>
  <c r="S911" i="14"/>
  <c r="T911" i="14"/>
  <c r="U911" i="14"/>
  <c r="P912" i="14"/>
  <c r="Q912" i="14"/>
  <c r="R912" i="14"/>
  <c r="S912" i="14"/>
  <c r="T912" i="14"/>
  <c r="U912" i="14"/>
  <c r="P913" i="14"/>
  <c r="Q913" i="14"/>
  <c r="R913" i="14"/>
  <c r="S913" i="14"/>
  <c r="T913" i="14"/>
  <c r="U913" i="14"/>
  <c r="P914" i="14"/>
  <c r="Q914" i="14"/>
  <c r="R914" i="14"/>
  <c r="S914" i="14"/>
  <c r="T914" i="14"/>
  <c r="U914" i="14"/>
  <c r="P915" i="14"/>
  <c r="Q915" i="14"/>
  <c r="R915" i="14"/>
  <c r="S915" i="14"/>
  <c r="T915" i="14"/>
  <c r="U915" i="14"/>
  <c r="P916" i="14"/>
  <c r="Q916" i="14"/>
  <c r="R916" i="14"/>
  <c r="S916" i="14"/>
  <c r="T916" i="14"/>
  <c r="U916" i="14"/>
  <c r="P917" i="14"/>
  <c r="Q917" i="14"/>
  <c r="R917" i="14"/>
  <c r="S917" i="14"/>
  <c r="T917" i="14"/>
  <c r="U917" i="14"/>
  <c r="P918" i="14"/>
  <c r="Q918" i="14"/>
  <c r="R918" i="14"/>
  <c r="S918" i="14"/>
  <c r="T918" i="14"/>
  <c r="U918" i="14"/>
  <c r="P919" i="14"/>
  <c r="Q919" i="14"/>
  <c r="R919" i="14"/>
  <c r="S919" i="14"/>
  <c r="T919" i="14"/>
  <c r="U919" i="14"/>
  <c r="P920" i="14"/>
  <c r="Q920" i="14"/>
  <c r="R920" i="14"/>
  <c r="S920" i="14"/>
  <c r="T920" i="14"/>
  <c r="U920" i="14"/>
  <c r="P921" i="14"/>
  <c r="Q921" i="14"/>
  <c r="R921" i="14"/>
  <c r="S921" i="14"/>
  <c r="T921" i="14"/>
  <c r="U921" i="14"/>
  <c r="P922" i="14"/>
  <c r="Q922" i="14"/>
  <c r="R922" i="14"/>
  <c r="S922" i="14"/>
  <c r="T922" i="14"/>
  <c r="U922" i="14"/>
  <c r="P923" i="14"/>
  <c r="Q923" i="14"/>
  <c r="R923" i="14"/>
  <c r="S923" i="14"/>
  <c r="T923" i="14"/>
  <c r="U923" i="14"/>
  <c r="P924" i="14"/>
  <c r="Q924" i="14"/>
  <c r="R924" i="14"/>
  <c r="S924" i="14"/>
  <c r="T924" i="14"/>
  <c r="U924" i="14"/>
  <c r="P925" i="14"/>
  <c r="Q925" i="14"/>
  <c r="R925" i="14"/>
  <c r="S925" i="14"/>
  <c r="T925" i="14"/>
  <c r="U925" i="14"/>
  <c r="P926" i="14"/>
  <c r="Q926" i="14"/>
  <c r="R926" i="14"/>
  <c r="S926" i="14"/>
  <c r="T926" i="14"/>
  <c r="U926" i="14"/>
  <c r="P927" i="14"/>
  <c r="Q927" i="14"/>
  <c r="R927" i="14"/>
  <c r="S927" i="14"/>
  <c r="T927" i="14"/>
  <c r="U927" i="14"/>
  <c r="P928" i="14"/>
  <c r="Q928" i="14"/>
  <c r="R928" i="14"/>
  <c r="S928" i="14"/>
  <c r="T928" i="14"/>
  <c r="U928" i="14"/>
  <c r="P929" i="14"/>
  <c r="Q929" i="14"/>
  <c r="R929" i="14"/>
  <c r="S929" i="14"/>
  <c r="T929" i="14"/>
  <c r="U929" i="14"/>
  <c r="P930" i="14"/>
  <c r="Q930" i="14"/>
  <c r="R930" i="14"/>
  <c r="S930" i="14"/>
  <c r="T930" i="14"/>
  <c r="U930" i="14"/>
  <c r="P931" i="14"/>
  <c r="Q931" i="14"/>
  <c r="R931" i="14"/>
  <c r="S931" i="14"/>
  <c r="T931" i="14"/>
  <c r="U931" i="14"/>
  <c r="P932" i="14"/>
  <c r="Q932" i="14"/>
  <c r="R932" i="14"/>
  <c r="S932" i="14"/>
  <c r="T932" i="14"/>
  <c r="U932" i="14"/>
  <c r="P933" i="14"/>
  <c r="Q933" i="14"/>
  <c r="R933" i="14"/>
  <c r="S933" i="14"/>
  <c r="T933" i="14"/>
  <c r="U933" i="14"/>
  <c r="P934" i="14"/>
  <c r="Q934" i="14"/>
  <c r="R934" i="14"/>
  <c r="S934" i="14"/>
  <c r="T934" i="14"/>
  <c r="U934" i="14"/>
  <c r="P935" i="14"/>
  <c r="Q935" i="14"/>
  <c r="R935" i="14"/>
  <c r="S935" i="14"/>
  <c r="T935" i="14"/>
  <c r="U935" i="14"/>
  <c r="P936" i="14"/>
  <c r="Q936" i="14"/>
  <c r="R936" i="14"/>
  <c r="S936" i="14"/>
  <c r="T936" i="14"/>
  <c r="U936" i="14"/>
  <c r="P937" i="14"/>
  <c r="Q937" i="14"/>
  <c r="R937" i="14"/>
  <c r="S937" i="14"/>
  <c r="T937" i="14"/>
  <c r="U937" i="14"/>
  <c r="P938" i="14"/>
  <c r="Q938" i="14"/>
  <c r="R938" i="14"/>
  <c r="S938" i="14"/>
  <c r="T938" i="14"/>
  <c r="U938" i="14"/>
  <c r="P939" i="14"/>
  <c r="Q939" i="14"/>
  <c r="R939" i="14"/>
  <c r="S939" i="14"/>
  <c r="T939" i="14"/>
  <c r="U939" i="14"/>
  <c r="P940" i="14"/>
  <c r="Q940" i="14"/>
  <c r="R940" i="14"/>
  <c r="S940" i="14"/>
  <c r="T940" i="14"/>
  <c r="U940" i="14"/>
  <c r="P941" i="14"/>
  <c r="Q941" i="14"/>
  <c r="R941" i="14"/>
  <c r="S941" i="14"/>
  <c r="T941" i="14"/>
  <c r="U941" i="14"/>
  <c r="P942" i="14"/>
  <c r="Q942" i="14"/>
  <c r="R942" i="14"/>
  <c r="S942" i="14"/>
  <c r="T942" i="14"/>
  <c r="U942" i="14"/>
  <c r="P943" i="14"/>
  <c r="Q943" i="14"/>
  <c r="R943" i="14"/>
  <c r="S943" i="14"/>
  <c r="T943" i="14"/>
  <c r="U943" i="14"/>
  <c r="P944" i="14"/>
  <c r="Q944" i="14"/>
  <c r="R944" i="14"/>
  <c r="S944" i="14"/>
  <c r="T944" i="14"/>
  <c r="U944" i="14"/>
  <c r="P945" i="14"/>
  <c r="Q945" i="14"/>
  <c r="R945" i="14"/>
  <c r="S945" i="14"/>
  <c r="T945" i="14"/>
  <c r="U945" i="14"/>
  <c r="P946" i="14"/>
  <c r="Q946" i="14"/>
  <c r="R946" i="14"/>
  <c r="S946" i="14"/>
  <c r="T946" i="14"/>
  <c r="U946" i="14"/>
  <c r="P947" i="14"/>
  <c r="Q947" i="14"/>
  <c r="R947" i="14"/>
  <c r="S947" i="14"/>
  <c r="T947" i="14"/>
  <c r="U947" i="14"/>
  <c r="P948" i="14"/>
  <c r="Q948" i="14"/>
  <c r="R948" i="14"/>
  <c r="S948" i="14"/>
  <c r="T948" i="14"/>
  <c r="U948" i="14"/>
  <c r="P949" i="14"/>
  <c r="Q949" i="14"/>
  <c r="R949" i="14"/>
  <c r="S949" i="14"/>
  <c r="T949" i="14"/>
  <c r="U949" i="14"/>
  <c r="P950" i="14"/>
  <c r="Q950" i="14"/>
  <c r="R950" i="14"/>
  <c r="S950" i="14"/>
  <c r="T950" i="14"/>
  <c r="U950" i="14"/>
  <c r="P951" i="14"/>
  <c r="Q951" i="14"/>
  <c r="R951" i="14"/>
  <c r="S951" i="14"/>
  <c r="T951" i="14"/>
  <c r="U951" i="14"/>
  <c r="P952" i="14"/>
  <c r="Q952" i="14"/>
  <c r="R952" i="14"/>
  <c r="S952" i="14"/>
  <c r="T952" i="14"/>
  <c r="U952" i="14"/>
  <c r="P953" i="14"/>
  <c r="Q953" i="14"/>
  <c r="R953" i="14"/>
  <c r="S953" i="14"/>
  <c r="T953" i="14"/>
  <c r="U953" i="14"/>
  <c r="P954" i="14"/>
  <c r="Q954" i="14"/>
  <c r="R954" i="14"/>
  <c r="S954" i="14"/>
  <c r="T954" i="14"/>
  <c r="U954" i="14"/>
  <c r="P955" i="14"/>
  <c r="Q955" i="14"/>
  <c r="R955" i="14"/>
  <c r="S955" i="14"/>
  <c r="T955" i="14"/>
  <c r="U955" i="14"/>
  <c r="P956" i="14"/>
  <c r="Q956" i="14"/>
  <c r="R956" i="14"/>
  <c r="S956" i="14"/>
  <c r="T956" i="14"/>
  <c r="U956" i="14"/>
  <c r="P957" i="14"/>
  <c r="Q957" i="14"/>
  <c r="R957" i="14"/>
  <c r="S957" i="14"/>
  <c r="T957" i="14"/>
  <c r="U957" i="14"/>
  <c r="P958" i="14"/>
  <c r="Q958" i="14"/>
  <c r="R958" i="14"/>
  <c r="S958" i="14"/>
  <c r="T958" i="14"/>
  <c r="U958" i="14"/>
  <c r="P959" i="14"/>
  <c r="Q959" i="14"/>
  <c r="R959" i="14"/>
  <c r="S959" i="14"/>
  <c r="T959" i="14"/>
  <c r="U959" i="14"/>
  <c r="P960" i="14"/>
  <c r="Q960" i="14"/>
  <c r="R960" i="14"/>
  <c r="S960" i="14"/>
  <c r="T960" i="14"/>
  <c r="U960" i="14"/>
  <c r="P961" i="14"/>
  <c r="Q961" i="14"/>
  <c r="R961" i="14"/>
  <c r="S961" i="14"/>
  <c r="T961" i="14"/>
  <c r="U961" i="14"/>
  <c r="P962" i="14"/>
  <c r="Q962" i="14"/>
  <c r="R962" i="14"/>
  <c r="S962" i="14"/>
  <c r="T962" i="14"/>
  <c r="U962" i="14"/>
  <c r="P963" i="14"/>
  <c r="Q963" i="14"/>
  <c r="R963" i="14"/>
  <c r="S963" i="14"/>
  <c r="T963" i="14"/>
  <c r="U963" i="14"/>
  <c r="P964" i="14"/>
  <c r="Q964" i="14"/>
  <c r="R964" i="14"/>
  <c r="S964" i="14"/>
  <c r="T964" i="14"/>
  <c r="U964" i="14"/>
  <c r="P965" i="14"/>
  <c r="Q965" i="14"/>
  <c r="R965" i="14"/>
  <c r="S965" i="14"/>
  <c r="T965" i="14"/>
  <c r="U965" i="14"/>
  <c r="P966" i="14"/>
  <c r="Q966" i="14"/>
  <c r="R966" i="14"/>
  <c r="S966" i="14"/>
  <c r="T966" i="14"/>
  <c r="U966" i="14"/>
  <c r="P967" i="14"/>
  <c r="Q967" i="14"/>
  <c r="R967" i="14"/>
  <c r="S967" i="14"/>
  <c r="T967" i="14"/>
  <c r="U967" i="14"/>
  <c r="P968" i="14"/>
  <c r="Q968" i="14"/>
  <c r="R968" i="14"/>
  <c r="S968" i="14"/>
  <c r="T968" i="14"/>
  <c r="U968" i="14"/>
  <c r="P969" i="14"/>
  <c r="Q969" i="14"/>
  <c r="R969" i="14"/>
  <c r="S969" i="14"/>
  <c r="T969" i="14"/>
  <c r="U969" i="14"/>
  <c r="P970" i="14"/>
  <c r="Q970" i="14"/>
  <c r="R970" i="14"/>
  <c r="S970" i="14"/>
  <c r="T970" i="14"/>
  <c r="U970" i="14"/>
  <c r="P971" i="14"/>
  <c r="Q971" i="14"/>
  <c r="R971" i="14"/>
  <c r="S971" i="14"/>
  <c r="T971" i="14"/>
  <c r="U971" i="14"/>
  <c r="P972" i="14"/>
  <c r="Q972" i="14"/>
  <c r="R972" i="14"/>
  <c r="S972" i="14"/>
  <c r="T972" i="14"/>
  <c r="U972" i="14"/>
  <c r="P973" i="14"/>
  <c r="Q973" i="14"/>
  <c r="R973" i="14"/>
  <c r="S973" i="14"/>
  <c r="T973" i="14"/>
  <c r="U973" i="14"/>
  <c r="P974" i="14"/>
  <c r="Q974" i="14"/>
  <c r="R974" i="14"/>
  <c r="S974" i="14"/>
  <c r="T974" i="14"/>
  <c r="U974" i="14"/>
  <c r="P975" i="14"/>
  <c r="Q975" i="14"/>
  <c r="R975" i="14"/>
  <c r="S975" i="14"/>
  <c r="T975" i="14"/>
  <c r="U975" i="14"/>
  <c r="P976" i="14"/>
  <c r="Q976" i="14"/>
  <c r="R976" i="14"/>
  <c r="S976" i="14"/>
  <c r="T976" i="14"/>
  <c r="U976" i="14"/>
  <c r="P977" i="14"/>
  <c r="Q977" i="14"/>
  <c r="R977" i="14"/>
  <c r="S977" i="14"/>
  <c r="T977" i="14"/>
  <c r="U977" i="14"/>
  <c r="P978" i="14"/>
  <c r="Q978" i="14"/>
  <c r="R978" i="14"/>
  <c r="S978" i="14"/>
  <c r="T978" i="14"/>
  <c r="U978" i="14"/>
  <c r="P979" i="14"/>
  <c r="Q979" i="14"/>
  <c r="R979" i="14"/>
  <c r="S979" i="14"/>
  <c r="T979" i="14"/>
  <c r="U979" i="14"/>
  <c r="P980" i="14"/>
  <c r="Q980" i="14"/>
  <c r="R980" i="14"/>
  <c r="S980" i="14"/>
  <c r="T980" i="14"/>
  <c r="U980" i="14"/>
  <c r="P981" i="14"/>
  <c r="Q981" i="14"/>
  <c r="R981" i="14"/>
  <c r="S981" i="14"/>
  <c r="T981" i="14"/>
  <c r="U981" i="14"/>
  <c r="P982" i="14"/>
  <c r="Q982" i="14"/>
  <c r="R982" i="14"/>
  <c r="S982" i="14"/>
  <c r="T982" i="14"/>
  <c r="U982" i="14"/>
  <c r="P983" i="14"/>
  <c r="Q983" i="14"/>
  <c r="R983" i="14"/>
  <c r="S983" i="14"/>
  <c r="T983" i="14"/>
  <c r="U983" i="14"/>
  <c r="P984" i="14"/>
  <c r="Q984" i="14"/>
  <c r="R984" i="14"/>
  <c r="S984" i="14"/>
  <c r="T984" i="14"/>
  <c r="U984" i="14"/>
  <c r="P985" i="14"/>
  <c r="Q985" i="14"/>
  <c r="R985" i="14"/>
  <c r="S985" i="14"/>
  <c r="T985" i="14"/>
  <c r="U985" i="14"/>
  <c r="P986" i="14"/>
  <c r="Q986" i="14"/>
  <c r="R986" i="14"/>
  <c r="S986" i="14"/>
  <c r="T986" i="14"/>
  <c r="U986" i="14"/>
  <c r="P987" i="14"/>
  <c r="Q987" i="14"/>
  <c r="R987" i="14"/>
  <c r="S987" i="14"/>
  <c r="T987" i="14"/>
  <c r="U987" i="14"/>
  <c r="P988" i="14"/>
  <c r="Q988" i="14"/>
  <c r="R988" i="14"/>
  <c r="S988" i="14"/>
  <c r="T988" i="14"/>
  <c r="U988" i="14"/>
  <c r="P989" i="14"/>
  <c r="Q989" i="14"/>
  <c r="R989" i="14"/>
  <c r="S989" i="14"/>
  <c r="T989" i="14"/>
  <c r="U989" i="14"/>
  <c r="P990" i="14"/>
  <c r="Q990" i="14"/>
  <c r="R990" i="14"/>
  <c r="S990" i="14"/>
  <c r="T990" i="14"/>
  <c r="U990" i="14"/>
  <c r="P991" i="14"/>
  <c r="Q991" i="14"/>
  <c r="R991" i="14"/>
  <c r="S991" i="14"/>
  <c r="T991" i="14"/>
  <c r="U991" i="14"/>
  <c r="P992" i="14"/>
  <c r="Q992" i="14"/>
  <c r="R992" i="14"/>
  <c r="S992" i="14"/>
  <c r="T992" i="14"/>
  <c r="U992" i="14"/>
  <c r="P993" i="14"/>
  <c r="Q993" i="14"/>
  <c r="R993" i="14"/>
  <c r="S993" i="14"/>
  <c r="T993" i="14"/>
  <c r="U993" i="14"/>
  <c r="P994" i="14"/>
  <c r="Q994" i="14"/>
  <c r="R994" i="14"/>
  <c r="S994" i="14"/>
  <c r="T994" i="14"/>
  <c r="U994" i="14"/>
  <c r="P995" i="14"/>
  <c r="Q995" i="14"/>
  <c r="R995" i="14"/>
  <c r="S995" i="14"/>
  <c r="T995" i="14"/>
  <c r="U995" i="14"/>
  <c r="P996" i="14"/>
  <c r="Q996" i="14"/>
  <c r="R996" i="14"/>
  <c r="S996" i="14"/>
  <c r="T996" i="14"/>
  <c r="U996" i="14"/>
  <c r="P997" i="14"/>
  <c r="Q997" i="14"/>
  <c r="R997" i="14"/>
  <c r="S997" i="14"/>
  <c r="T997" i="14"/>
  <c r="U997" i="14"/>
  <c r="P998" i="14"/>
  <c r="Q998" i="14"/>
  <c r="R998" i="14"/>
  <c r="S998" i="14"/>
  <c r="T998" i="14"/>
  <c r="U998" i="14"/>
  <c r="P999" i="14"/>
  <c r="Q999" i="14"/>
  <c r="R999" i="14"/>
  <c r="S999" i="14"/>
  <c r="T999" i="14"/>
  <c r="U999" i="14"/>
  <c r="P1000" i="14"/>
  <c r="Q1000" i="14"/>
  <c r="R1000" i="14"/>
  <c r="S1000" i="14"/>
  <c r="T1000" i="14"/>
  <c r="U1000" i="14"/>
  <c r="P1001" i="14"/>
  <c r="Q1001" i="14"/>
  <c r="R1001" i="14"/>
  <c r="S1001" i="14"/>
  <c r="T1001" i="14"/>
  <c r="U1001" i="14"/>
  <c r="P1002" i="14"/>
  <c r="Q1002" i="14"/>
  <c r="R1002" i="14"/>
  <c r="S1002" i="14"/>
  <c r="T1002" i="14"/>
  <c r="U1002" i="14"/>
  <c r="P1003" i="14"/>
  <c r="Q1003" i="14"/>
  <c r="R1003" i="14"/>
  <c r="S1003" i="14"/>
  <c r="T1003" i="14"/>
  <c r="U1003" i="14"/>
  <c r="P1004" i="14"/>
  <c r="Q1004" i="14"/>
  <c r="R1004" i="14"/>
  <c r="S1004" i="14"/>
  <c r="T1004" i="14"/>
  <c r="U1004" i="14"/>
  <c r="P1005" i="14"/>
  <c r="Q1005" i="14"/>
  <c r="R1005" i="14"/>
  <c r="S1005" i="14"/>
  <c r="T1005" i="14"/>
  <c r="U1005" i="14"/>
  <c r="P1006" i="14"/>
  <c r="Q1006" i="14"/>
  <c r="R1006" i="14"/>
  <c r="S1006" i="14"/>
  <c r="T1006" i="14"/>
  <c r="U1006" i="14"/>
  <c r="P1007" i="14"/>
  <c r="Q1007" i="14"/>
  <c r="R1007" i="14"/>
  <c r="S1007" i="14"/>
  <c r="T1007" i="14"/>
  <c r="U1007" i="14"/>
  <c r="P1008" i="14"/>
  <c r="Q1008" i="14"/>
  <c r="R1008" i="14"/>
  <c r="S1008" i="14"/>
  <c r="T1008" i="14"/>
  <c r="U1008" i="14"/>
  <c r="P1009" i="14"/>
  <c r="Q1009" i="14"/>
  <c r="R1009" i="14"/>
  <c r="S1009" i="14"/>
  <c r="T1009" i="14"/>
  <c r="U1009" i="14"/>
  <c r="P1010" i="14"/>
  <c r="Q1010" i="14"/>
  <c r="R1010" i="14"/>
  <c r="S1010" i="14"/>
  <c r="T1010" i="14"/>
  <c r="U1010" i="14"/>
  <c r="P1011" i="14"/>
  <c r="Q1011" i="14"/>
  <c r="R1011" i="14"/>
  <c r="S1011" i="14"/>
  <c r="T1011" i="14"/>
  <c r="U1011" i="14"/>
  <c r="P1012" i="14"/>
  <c r="Q1012" i="14"/>
  <c r="R1012" i="14"/>
  <c r="S1012" i="14"/>
  <c r="T1012" i="14"/>
  <c r="U1012" i="14"/>
  <c r="P1013" i="14"/>
  <c r="Q1013" i="14"/>
  <c r="R1013" i="14"/>
  <c r="S1013" i="14"/>
  <c r="T1013" i="14"/>
  <c r="U1013" i="14"/>
  <c r="P1014" i="14"/>
  <c r="Q1014" i="14"/>
  <c r="R1014" i="14"/>
  <c r="S1014" i="14"/>
  <c r="T1014" i="14"/>
  <c r="U1014" i="14"/>
  <c r="P1015" i="14"/>
  <c r="Q1015" i="14"/>
  <c r="R1015" i="14"/>
  <c r="S1015" i="14"/>
  <c r="T1015" i="14"/>
  <c r="U1015" i="14"/>
  <c r="P1016" i="14"/>
  <c r="Q1016" i="14"/>
  <c r="R1016" i="14"/>
  <c r="S1016" i="14"/>
  <c r="T1016" i="14"/>
  <c r="U1016" i="14"/>
  <c r="P1017" i="14"/>
  <c r="Q1017" i="14"/>
  <c r="R1017" i="14"/>
  <c r="S1017" i="14"/>
  <c r="T1017" i="14"/>
  <c r="U1017" i="14"/>
  <c r="P1018" i="14"/>
  <c r="Q1018" i="14"/>
  <c r="R1018" i="14"/>
  <c r="S1018" i="14"/>
  <c r="T1018" i="14"/>
  <c r="U1018" i="14"/>
  <c r="P1019" i="14"/>
  <c r="Q1019" i="14"/>
  <c r="R1019" i="14"/>
  <c r="S1019" i="14"/>
  <c r="T1019" i="14"/>
  <c r="U1019" i="14"/>
  <c r="P1020" i="14"/>
  <c r="Q1020" i="14"/>
  <c r="R1020" i="14"/>
  <c r="S1020" i="14"/>
  <c r="T1020" i="14"/>
  <c r="U1020" i="14"/>
  <c r="P1021" i="14"/>
  <c r="Q1021" i="14"/>
  <c r="R1021" i="14"/>
  <c r="S1021" i="14"/>
  <c r="T1021" i="14"/>
  <c r="U1021" i="14"/>
  <c r="P1022" i="14"/>
  <c r="Q1022" i="14"/>
  <c r="R1022" i="14"/>
  <c r="S1022" i="14"/>
  <c r="T1022" i="14"/>
  <c r="U1022" i="14"/>
  <c r="P1023" i="14"/>
  <c r="Q1023" i="14"/>
  <c r="R1023" i="14"/>
  <c r="S1023" i="14"/>
  <c r="T1023" i="14"/>
  <c r="U1023" i="14"/>
  <c r="P1024" i="14"/>
  <c r="Q1024" i="14"/>
  <c r="R1024" i="14"/>
  <c r="S1024" i="14"/>
  <c r="T1024" i="14"/>
  <c r="U1024" i="14"/>
  <c r="P1025" i="14"/>
  <c r="Q1025" i="14"/>
  <c r="R1025" i="14"/>
  <c r="S1025" i="14"/>
  <c r="T1025" i="14"/>
  <c r="U1025" i="14"/>
  <c r="P1026" i="14"/>
  <c r="Q1026" i="14"/>
  <c r="R1026" i="14"/>
  <c r="S1026" i="14"/>
  <c r="T1026" i="14"/>
  <c r="U1026" i="14"/>
  <c r="P1027" i="14"/>
  <c r="Q1027" i="14"/>
  <c r="R1027" i="14"/>
  <c r="S1027" i="14"/>
  <c r="T1027" i="14"/>
  <c r="U1027" i="14"/>
  <c r="P1028" i="14"/>
  <c r="Q1028" i="14"/>
  <c r="R1028" i="14"/>
  <c r="S1028" i="14"/>
  <c r="T1028" i="14"/>
  <c r="U1028" i="14"/>
  <c r="P1029" i="14"/>
  <c r="Q1029" i="14"/>
  <c r="R1029" i="14"/>
  <c r="S1029" i="14"/>
  <c r="T1029" i="14"/>
  <c r="U1029" i="14"/>
  <c r="P1030" i="14"/>
  <c r="Q1030" i="14"/>
  <c r="R1030" i="14"/>
  <c r="S1030" i="14"/>
  <c r="T1030" i="14"/>
  <c r="U1030" i="14"/>
  <c r="P1031" i="14"/>
  <c r="Q1031" i="14"/>
  <c r="R1031" i="14"/>
  <c r="S1031" i="14"/>
  <c r="T1031" i="14"/>
  <c r="U1031" i="14"/>
  <c r="P1032" i="14"/>
  <c r="Q1032" i="14"/>
  <c r="R1032" i="14"/>
  <c r="S1032" i="14"/>
  <c r="T1032" i="14"/>
  <c r="U1032" i="14"/>
  <c r="P1033" i="14"/>
  <c r="Q1033" i="14"/>
  <c r="R1033" i="14"/>
  <c r="S1033" i="14"/>
  <c r="T1033" i="14"/>
  <c r="U1033" i="14"/>
  <c r="P1034" i="14"/>
  <c r="Q1034" i="14"/>
  <c r="R1034" i="14"/>
  <c r="S1034" i="14"/>
  <c r="T1034" i="14"/>
  <c r="U1034" i="14"/>
  <c r="P1035" i="14"/>
  <c r="Q1035" i="14"/>
  <c r="R1035" i="14"/>
  <c r="S1035" i="14"/>
  <c r="T1035" i="14"/>
  <c r="U1035" i="14"/>
  <c r="P1036" i="14"/>
  <c r="Q1036" i="14"/>
  <c r="R1036" i="14"/>
  <c r="S1036" i="14"/>
  <c r="T1036" i="14"/>
  <c r="U1036" i="14"/>
  <c r="P1037" i="14"/>
  <c r="Q1037" i="14"/>
  <c r="R1037" i="14"/>
  <c r="S1037" i="14"/>
  <c r="T1037" i="14"/>
  <c r="U1037" i="14"/>
  <c r="P1038" i="14"/>
  <c r="Q1038" i="14"/>
  <c r="R1038" i="14"/>
  <c r="S1038" i="14"/>
  <c r="T1038" i="14"/>
  <c r="U1038" i="14"/>
  <c r="P1039" i="14"/>
  <c r="Q1039" i="14"/>
  <c r="R1039" i="14"/>
  <c r="S1039" i="14"/>
  <c r="T1039" i="14"/>
  <c r="U1039" i="14"/>
  <c r="P1040" i="14"/>
  <c r="Q1040" i="14"/>
  <c r="R1040" i="14"/>
  <c r="S1040" i="14"/>
  <c r="T1040" i="14"/>
  <c r="U1040" i="14"/>
  <c r="P1041" i="14"/>
  <c r="Q1041" i="14"/>
  <c r="R1041" i="14"/>
  <c r="S1041" i="14"/>
  <c r="T1041" i="14"/>
  <c r="U1041" i="14"/>
  <c r="P1042" i="14"/>
  <c r="Q1042" i="14"/>
  <c r="R1042" i="14"/>
  <c r="S1042" i="14"/>
  <c r="T1042" i="14"/>
  <c r="U1042" i="14"/>
  <c r="P1043" i="14"/>
  <c r="Q1043" i="14"/>
  <c r="R1043" i="14"/>
  <c r="S1043" i="14"/>
  <c r="T1043" i="14"/>
  <c r="U1043" i="14"/>
  <c r="I25" i="20" l="1"/>
  <c r="M60" i="6"/>
  <c r="B60" i="6"/>
  <c r="L60" i="6"/>
  <c r="AI678" i="14"/>
  <c r="AI614" i="14"/>
  <c r="AI1043" i="14"/>
  <c r="AI1039" i="14"/>
  <c r="AI1035" i="14"/>
  <c r="AI1031" i="14"/>
  <c r="AI1027" i="14"/>
  <c r="AI1023" i="14"/>
  <c r="AI1019" i="14"/>
  <c r="AI1015" i="14"/>
  <c r="AI1011" i="14"/>
  <c r="AI1007" i="14"/>
  <c r="AI1003" i="14"/>
  <c r="AI999" i="14"/>
  <c r="AI995" i="14"/>
  <c r="AI991" i="14"/>
  <c r="AI987" i="14"/>
  <c r="AI983" i="14"/>
  <c r="AI979" i="14"/>
  <c r="AI975" i="14"/>
  <c r="AI971" i="14"/>
  <c r="AI967" i="14"/>
  <c r="AI963" i="14"/>
  <c r="AI959" i="14"/>
  <c r="AI955" i="14"/>
  <c r="AI951" i="14"/>
  <c r="AI947" i="14"/>
  <c r="AI943" i="14"/>
  <c r="AI939" i="14"/>
  <c r="AI935" i="14"/>
  <c r="AI931" i="14"/>
  <c r="AI927" i="14"/>
  <c r="AI923" i="14"/>
  <c r="AI919" i="14"/>
  <c r="AI915" i="14"/>
  <c r="AI911" i="14"/>
  <c r="AI907" i="14"/>
  <c r="AI903" i="14"/>
  <c r="AI899" i="14"/>
  <c r="AI895" i="14"/>
  <c r="AI891" i="14"/>
  <c r="AI887" i="14"/>
  <c r="AI1040" i="14"/>
  <c r="AI1036" i="14"/>
  <c r="AI1032" i="14"/>
  <c r="AI1028" i="14"/>
  <c r="AI1024" i="14"/>
  <c r="AI1020" i="14"/>
  <c r="AI1016" i="14"/>
  <c r="AI1012" i="14"/>
  <c r="AI1008" i="14"/>
  <c r="AI1004" i="14"/>
  <c r="AI1000" i="14"/>
  <c r="AI998" i="14"/>
  <c r="AI996" i="14"/>
  <c r="AI992" i="14"/>
  <c r="AI988" i="14"/>
  <c r="AI984" i="14"/>
  <c r="AI980" i="14"/>
  <c r="AI976" i="14"/>
  <c r="AI972" i="14"/>
  <c r="AI968" i="14"/>
  <c r="AI964" i="14"/>
  <c r="AI960" i="14"/>
  <c r="AI956" i="14"/>
  <c r="AI952" i="14"/>
  <c r="AI948" i="14"/>
  <c r="AI944" i="14"/>
  <c r="AI940" i="14"/>
  <c r="AI936" i="14"/>
  <c r="AI932" i="14"/>
  <c r="AI934" i="14"/>
  <c r="AI870" i="14"/>
  <c r="AI734" i="14"/>
  <c r="AI726" i="14"/>
  <c r="AI722" i="14"/>
  <c r="AI718" i="14"/>
  <c r="AI714" i="14"/>
  <c r="AI710" i="14"/>
  <c r="AI706" i="14"/>
  <c r="AI702" i="14"/>
  <c r="AI698" i="14"/>
  <c r="AI694" i="14"/>
  <c r="AI690" i="14"/>
  <c r="AI686" i="14"/>
  <c r="AI682" i="14"/>
  <c r="AI674" i="14"/>
  <c r="AI670" i="14"/>
  <c r="AI666" i="14"/>
  <c r="AI662" i="14"/>
  <c r="AI658" i="14"/>
  <c r="AI654" i="14"/>
  <c r="AI650" i="14"/>
  <c r="AI646" i="14"/>
  <c r="AI642" i="14"/>
  <c r="AI638" i="14"/>
  <c r="AI634" i="14"/>
  <c r="AI630" i="14"/>
  <c r="AI626" i="14"/>
  <c r="AI622" i="14"/>
  <c r="AI606" i="14"/>
  <c r="AI598" i="14"/>
  <c r="AI590" i="14"/>
  <c r="AI582" i="14"/>
  <c r="AI574" i="14"/>
  <c r="AI566" i="14"/>
  <c r="AI558" i="14"/>
  <c r="AI883" i="14"/>
  <c r="AI879" i="14"/>
  <c r="AI875" i="14"/>
  <c r="AI871" i="14"/>
  <c r="AI867" i="14"/>
  <c r="AI863" i="14"/>
  <c r="AI859" i="14"/>
  <c r="AI855" i="14"/>
  <c r="AI851" i="14"/>
  <c r="AI847" i="14"/>
  <c r="AI843" i="14"/>
  <c r="AI839" i="14"/>
  <c r="AI835" i="14"/>
  <c r="AI831" i="14"/>
  <c r="AI827" i="14"/>
  <c r="AI823" i="14"/>
  <c r="AI819" i="14"/>
  <c r="AI815" i="14"/>
  <c r="AI811" i="14"/>
  <c r="AI807" i="14"/>
  <c r="AI803" i="14"/>
  <c r="AI799" i="14"/>
  <c r="AI795" i="14"/>
  <c r="AI791" i="14"/>
  <c r="AI787" i="14"/>
  <c r="AI783" i="14"/>
  <c r="AI779" i="14"/>
  <c r="AI775" i="14"/>
  <c r="AI771" i="14"/>
  <c r="AI767" i="14"/>
  <c r="AI763" i="14"/>
  <c r="AI759" i="14"/>
  <c r="AI755" i="14"/>
  <c r="AI751" i="14"/>
  <c r="AI747" i="14"/>
  <c r="AI743" i="14"/>
  <c r="AI739" i="14"/>
  <c r="AI735" i="14"/>
  <c r="AI731" i="14"/>
  <c r="AI727" i="14"/>
  <c r="AI723" i="14"/>
  <c r="AI719" i="14"/>
  <c r="AI715" i="14"/>
  <c r="AI711" i="14"/>
  <c r="AI707" i="14"/>
  <c r="AI703" i="14"/>
  <c r="AI699" i="14"/>
  <c r="AI695" i="14"/>
  <c r="AI691" i="14"/>
  <c r="AI687" i="14"/>
  <c r="AI683" i="14"/>
  <c r="AI679" i="14"/>
  <c r="AI675" i="14"/>
  <c r="AI671" i="14"/>
  <c r="AI667" i="14"/>
  <c r="AI663" i="14"/>
  <c r="AI659" i="14"/>
  <c r="AI655" i="14"/>
  <c r="AI651" i="14"/>
  <c r="AI647" i="14"/>
  <c r="AI643" i="14"/>
  <c r="AI639" i="14"/>
  <c r="AI635" i="14"/>
  <c r="AI631" i="14"/>
  <c r="AI627" i="14"/>
  <c r="AI623" i="14"/>
  <c r="AI619" i="14"/>
  <c r="AI615" i="14"/>
  <c r="AI611" i="14"/>
  <c r="AI607" i="14"/>
  <c r="AI603" i="14"/>
  <c r="AI599" i="14"/>
  <c r="AI595" i="14"/>
  <c r="AI591" i="14"/>
  <c r="AI587" i="14"/>
  <c r="AI583" i="14"/>
  <c r="AI579" i="14"/>
  <c r="AI575" i="14"/>
  <c r="AI571" i="14"/>
  <c r="AI567" i="14"/>
  <c r="AI563" i="14"/>
  <c r="AI559" i="14"/>
  <c r="AI555" i="14"/>
  <c r="AI551" i="14"/>
  <c r="AI547" i="14"/>
  <c r="AI928" i="14"/>
  <c r="AI924" i="14"/>
  <c r="AI920" i="14"/>
  <c r="AI916" i="14"/>
  <c r="AI912" i="14"/>
  <c r="AI908" i="14"/>
  <c r="AI904" i="14"/>
  <c r="AI900" i="14"/>
  <c r="AI896" i="14"/>
  <c r="AI892" i="14"/>
  <c r="AI888" i="14"/>
  <c r="AI884" i="14"/>
  <c r="AI880" i="14"/>
  <c r="AI876" i="14"/>
  <c r="AI872" i="14"/>
  <c r="AI868" i="14"/>
  <c r="AI864" i="14"/>
  <c r="AI860" i="14"/>
  <c r="AI856" i="14"/>
  <c r="AI806" i="14"/>
  <c r="AI742" i="14"/>
  <c r="AI1041" i="14"/>
  <c r="AI1037" i="14"/>
  <c r="AI1033" i="14"/>
  <c r="AI1029" i="14"/>
  <c r="AI1025" i="14"/>
  <c r="AI1021" i="14"/>
  <c r="AI1017" i="14"/>
  <c r="AI1013" i="14"/>
  <c r="AI1009" i="14"/>
  <c r="AI1005" i="14"/>
  <c r="AI1001" i="14"/>
  <c r="AI997" i="14"/>
  <c r="AI993" i="14"/>
  <c r="AI989" i="14"/>
  <c r="AI985" i="14"/>
  <c r="AI981" i="14"/>
  <c r="AI977" i="14"/>
  <c r="AI973" i="14"/>
  <c r="AI969" i="14"/>
  <c r="AI965" i="14"/>
  <c r="AI961" i="14"/>
  <c r="AI957" i="14"/>
  <c r="AI953" i="14"/>
  <c r="AI949" i="14"/>
  <c r="AI945" i="14"/>
  <c r="AI941" i="14"/>
  <c r="AI937" i="14"/>
  <c r="AI933" i="14"/>
  <c r="AI929" i="14"/>
  <c r="AI925" i="14"/>
  <c r="AI921" i="14"/>
  <c r="AI917" i="14"/>
  <c r="AI913" i="14"/>
  <c r="AI909" i="14"/>
  <c r="AI905" i="14"/>
  <c r="AI901" i="14"/>
  <c r="AI897" i="14"/>
  <c r="AI893" i="14"/>
  <c r="AI889" i="14"/>
  <c r="AI885" i="14"/>
  <c r="AI881" i="14"/>
  <c r="AI877" i="14"/>
  <c r="AI873" i="14"/>
  <c r="AI869" i="14"/>
  <c r="AI865" i="14"/>
  <c r="AI861" i="14"/>
  <c r="AI857" i="14"/>
  <c r="AI853" i="14"/>
  <c r="AI849" i="14"/>
  <c r="AI845" i="14"/>
  <c r="AI841" i="14"/>
  <c r="AI837" i="14"/>
  <c r="AI833" i="14"/>
  <c r="AI829" i="14"/>
  <c r="AI825" i="14"/>
  <c r="AI821" i="14"/>
  <c r="AI817" i="14"/>
  <c r="AI813" i="14"/>
  <c r="AI809" i="14"/>
  <c r="AI805" i="14"/>
  <c r="AI801" i="14"/>
  <c r="AI797" i="14"/>
  <c r="AI793" i="14"/>
  <c r="AI789" i="14"/>
  <c r="AI785" i="14"/>
  <c r="AI781" i="14"/>
  <c r="AI777" i="14"/>
  <c r="AI773" i="14"/>
  <c r="AI769" i="14"/>
  <c r="AI765" i="14"/>
  <c r="AI761" i="14"/>
  <c r="AI757" i="14"/>
  <c r="AI753" i="14"/>
  <c r="AI749" i="14"/>
  <c r="AI745" i="14"/>
  <c r="AI741" i="14"/>
  <c r="AI737" i="14"/>
  <c r="AI733" i="14"/>
  <c r="AI729" i="14"/>
  <c r="AI1042" i="14"/>
  <c r="AI1038" i="14"/>
  <c r="AI1034" i="14"/>
  <c r="AI1030" i="14"/>
  <c r="AI1026" i="14"/>
  <c r="AI1022" i="14"/>
  <c r="AI1018" i="14"/>
  <c r="AI1014" i="14"/>
  <c r="AI1010" i="14"/>
  <c r="AI1006" i="14"/>
  <c r="AI1002" i="14"/>
  <c r="AI994" i="14"/>
  <c r="AI990" i="14"/>
  <c r="AI986" i="14"/>
  <c r="AI982" i="14"/>
  <c r="AI978" i="14"/>
  <c r="AI974" i="14"/>
  <c r="AI970" i="14"/>
  <c r="AI966" i="14"/>
  <c r="AI962" i="14"/>
  <c r="AI958" i="14"/>
  <c r="AI954" i="14"/>
  <c r="AI950" i="14"/>
  <c r="AI946" i="14"/>
  <c r="AI942" i="14"/>
  <c r="AI938" i="14"/>
  <c r="AI930" i="14"/>
  <c r="AI926" i="14"/>
  <c r="AI922" i="14"/>
  <c r="AI918" i="14"/>
  <c r="AI914" i="14"/>
  <c r="AI910" i="14"/>
  <c r="AI906" i="14"/>
  <c r="AI902" i="14"/>
  <c r="AI898" i="14"/>
  <c r="AI894" i="14"/>
  <c r="AI890" i="14"/>
  <c r="AI886" i="14"/>
  <c r="AI882" i="14"/>
  <c r="AI878" i="14"/>
  <c r="AI874" i="14"/>
  <c r="AI862" i="14"/>
  <c r="AI854" i="14"/>
  <c r="AI846" i="14"/>
  <c r="AI838" i="14"/>
  <c r="AI830" i="14"/>
  <c r="AI822" i="14"/>
  <c r="AI814" i="14"/>
  <c r="AI798" i="14"/>
  <c r="AI790" i="14"/>
  <c r="AI782" i="14"/>
  <c r="AI774" i="14"/>
  <c r="AI766" i="14"/>
  <c r="AI758" i="14"/>
  <c r="AI750" i="14"/>
  <c r="AI852" i="14"/>
  <c r="AI848" i="14"/>
  <c r="AI844" i="14"/>
  <c r="AI840" i="14"/>
  <c r="AI836" i="14"/>
  <c r="AI832" i="14"/>
  <c r="AI828" i="14"/>
  <c r="AI824" i="14"/>
  <c r="AI820" i="14"/>
  <c r="AI816" i="14"/>
  <c r="AI812" i="14"/>
  <c r="AI808" i="14"/>
  <c r="AI804" i="14"/>
  <c r="AI800" i="14"/>
  <c r="AI796" i="14"/>
  <c r="AI792" i="14"/>
  <c r="AI788" i="14"/>
  <c r="AI784" i="14"/>
  <c r="AI780" i="14"/>
  <c r="AI776" i="14"/>
  <c r="AI772" i="14"/>
  <c r="AI768" i="14"/>
  <c r="AI764" i="14"/>
  <c r="AI760" i="14"/>
  <c r="AI756" i="14"/>
  <c r="AI752" i="14"/>
  <c r="AI748" i="14"/>
  <c r="AI744" i="14"/>
  <c r="AI740" i="14"/>
  <c r="AI736" i="14"/>
  <c r="AI732" i="14"/>
  <c r="AI728" i="14"/>
  <c r="AI724" i="14"/>
  <c r="AI720" i="14"/>
  <c r="AI716" i="14"/>
  <c r="AI712" i="14"/>
  <c r="AI708" i="14"/>
  <c r="AI704" i="14"/>
  <c r="AI700" i="14"/>
  <c r="AI696" i="14"/>
  <c r="AI692" i="14"/>
  <c r="AI688" i="14"/>
  <c r="AI684" i="14"/>
  <c r="AI680" i="14"/>
  <c r="AI676" i="14"/>
  <c r="AI672" i="14"/>
  <c r="AI668" i="14"/>
  <c r="AI664" i="14"/>
  <c r="AI660" i="14"/>
  <c r="AI656" i="14"/>
  <c r="AI652" i="14"/>
  <c r="AI648" i="14"/>
  <c r="AI644" i="14"/>
  <c r="AI640" i="14"/>
  <c r="AI636" i="14"/>
  <c r="AI632" i="14"/>
  <c r="AI628" i="14"/>
  <c r="AI624" i="14"/>
  <c r="AI620" i="14"/>
  <c r="AI616" i="14"/>
  <c r="AI612" i="14"/>
  <c r="AI608" i="14"/>
  <c r="AI604" i="14"/>
  <c r="AI600" i="14"/>
  <c r="AI596" i="14"/>
  <c r="AI592" i="14"/>
  <c r="AI588" i="14"/>
  <c r="AI584" i="14"/>
  <c r="AI580" i="14"/>
  <c r="AI576" i="14"/>
  <c r="AI572" i="14"/>
  <c r="AI568" i="14"/>
  <c r="AI564" i="14"/>
  <c r="AI560" i="14"/>
  <c r="AI556" i="14"/>
  <c r="AI552" i="14"/>
  <c r="AI548" i="14"/>
  <c r="AI544" i="14"/>
  <c r="AI725" i="14"/>
  <c r="AI721" i="14"/>
  <c r="AI717" i="14"/>
  <c r="AI713" i="14"/>
  <c r="AI709" i="14"/>
  <c r="AI705" i="14"/>
  <c r="AI701" i="14"/>
  <c r="AI697" i="14"/>
  <c r="AI693" i="14"/>
  <c r="AI689" i="14"/>
  <c r="AI685" i="14"/>
  <c r="AI681" i="14"/>
  <c r="AI677" i="14"/>
  <c r="AI673" i="14"/>
  <c r="AI669" i="14"/>
  <c r="AI665" i="14"/>
  <c r="AI661" i="14"/>
  <c r="AI657" i="14"/>
  <c r="AI653" i="14"/>
  <c r="AI649" i="14"/>
  <c r="AI645" i="14"/>
  <c r="AI641" i="14"/>
  <c r="AI637" i="14"/>
  <c r="AI633" i="14"/>
  <c r="AI629" i="14"/>
  <c r="AI625" i="14"/>
  <c r="AI621" i="14"/>
  <c r="AI617" i="14"/>
  <c r="AI613" i="14"/>
  <c r="AI609" i="14"/>
  <c r="AI605" i="14"/>
  <c r="AI601" i="14"/>
  <c r="AI597" i="14"/>
  <c r="AI593" i="14"/>
  <c r="AI589" i="14"/>
  <c r="AI585" i="14"/>
  <c r="AI581" i="14"/>
  <c r="AI577" i="14"/>
  <c r="AI573" i="14"/>
  <c r="AI569" i="14"/>
  <c r="AI565" i="14"/>
  <c r="AI561" i="14"/>
  <c r="AI557" i="14"/>
  <c r="AI553" i="14"/>
  <c r="AI549" i="14"/>
  <c r="AI545" i="14"/>
  <c r="AI866" i="14"/>
  <c r="AI858" i="14"/>
  <c r="AI850" i="14"/>
  <c r="AI842" i="14"/>
  <c r="AI834" i="14"/>
  <c r="AI826" i="14"/>
  <c r="AI818" i="14"/>
  <c r="AI810" i="14"/>
  <c r="AI802" i="14"/>
  <c r="AI794" i="14"/>
  <c r="AI786" i="14"/>
  <c r="AI778" i="14"/>
  <c r="AI770" i="14"/>
  <c r="AI762" i="14"/>
  <c r="AI754" i="14"/>
  <c r="AI746" i="14"/>
  <c r="AI738" i="14"/>
  <c r="AI730" i="14"/>
  <c r="AI618" i="14"/>
  <c r="AI610" i="14"/>
  <c r="AI602" i="14"/>
  <c r="AI594" i="14"/>
  <c r="AI586" i="14"/>
  <c r="AI578" i="14"/>
  <c r="AI570" i="14"/>
  <c r="AI562" i="14"/>
  <c r="AI554" i="14"/>
  <c r="AI550" i="14"/>
  <c r="AI546" i="14"/>
  <c r="Z517" i="14"/>
  <c r="AA525" i="14"/>
  <c r="V541" i="14"/>
  <c r="V533" i="14"/>
  <c r="W525" i="14"/>
  <c r="W521" i="14"/>
  <c r="X513" i="14"/>
  <c r="AA541" i="14"/>
  <c r="AA513" i="14"/>
  <c r="AA533" i="14"/>
  <c r="X541" i="14"/>
  <c r="W537" i="14"/>
  <c r="X533" i="14"/>
  <c r="W529" i="14"/>
  <c r="V525" i="14"/>
  <c r="X521" i="14"/>
  <c r="V517" i="14"/>
  <c r="V513" i="14"/>
  <c r="Y541" i="14"/>
  <c r="Y533" i="14"/>
  <c r="Y525" i="14"/>
  <c r="V521" i="14"/>
  <c r="Z513" i="14"/>
  <c r="AA531" i="14"/>
  <c r="Y526" i="14"/>
  <c r="X525" i="14"/>
  <c r="AA517" i="14"/>
  <c r="Y513" i="14"/>
  <c r="AA537" i="14"/>
  <c r="Z529" i="14"/>
  <c r="Y517" i="14"/>
  <c r="W513" i="14"/>
  <c r="Z537" i="14"/>
  <c r="Y529" i="14"/>
  <c r="AA521" i="14"/>
  <c r="X517" i="14"/>
  <c r="X537" i="14"/>
  <c r="X529" i="14"/>
  <c r="Z521" i="14"/>
  <c r="W517" i="14"/>
  <c r="W539" i="14"/>
  <c r="Y538" i="14"/>
  <c r="AA536" i="14"/>
  <c r="Y531" i="14"/>
  <c r="W526" i="14"/>
  <c r="AA523" i="14"/>
  <c r="W519" i="14"/>
  <c r="Y518" i="14"/>
  <c r="AA516" i="14"/>
  <c r="W541" i="14"/>
  <c r="V537" i="14"/>
  <c r="Z533" i="14"/>
  <c r="AA529" i="14"/>
  <c r="Z525" i="14"/>
  <c r="Y524" i="14"/>
  <c r="Y521" i="14"/>
  <c r="W543" i="14"/>
  <c r="W542" i="14"/>
  <c r="Y540" i="14"/>
  <c r="Y539" i="14"/>
  <c r="W538" i="14"/>
  <c r="Y536" i="14"/>
  <c r="Y535" i="14"/>
  <c r="W534" i="14"/>
  <c r="Y532" i="14"/>
  <c r="W531" i="14"/>
  <c r="W530" i="14"/>
  <c r="Y528" i="14"/>
  <c r="W527" i="14"/>
  <c r="W523" i="14"/>
  <c r="W522" i="14"/>
  <c r="Y520" i="14"/>
  <c r="Y519" i="14"/>
  <c r="W518" i="14"/>
  <c r="Y516" i="14"/>
  <c r="W515" i="14"/>
  <c r="W514" i="14"/>
  <c r="Z541" i="14"/>
  <c r="Y537" i="14"/>
  <c r="W533" i="14"/>
  <c r="V529" i="14"/>
  <c r="Y523" i="14"/>
  <c r="AA535" i="14"/>
  <c r="Y530" i="14"/>
  <c r="AA528" i="14"/>
  <c r="AA515" i="14"/>
  <c r="Y1036" i="14"/>
  <c r="W1032" i="14"/>
  <c r="Y1020" i="14"/>
  <c r="W1016" i="14"/>
  <c r="Y1004" i="14"/>
  <c r="W1000" i="14"/>
  <c r="V964" i="14"/>
  <c r="W960" i="14"/>
  <c r="W956" i="14"/>
  <c r="X952" i="14"/>
  <c r="Y948" i="14"/>
  <c r="Y944" i="14"/>
  <c r="Z940" i="14"/>
  <c r="Z932" i="14"/>
  <c r="W931" i="14"/>
  <c r="X928" i="14"/>
  <c r="X927" i="14"/>
  <c r="W923" i="14"/>
  <c r="X919" i="14"/>
  <c r="Y915" i="14"/>
  <c r="W907" i="14"/>
  <c r="W904" i="14"/>
  <c r="W895" i="14"/>
  <c r="W891" i="14"/>
  <c r="Y879" i="14"/>
  <c r="Y875" i="14"/>
  <c r="AA871" i="14"/>
  <c r="AA867" i="14"/>
  <c r="AA863" i="14"/>
  <c r="Y844" i="14"/>
  <c r="Z835" i="14"/>
  <c r="X775" i="14"/>
  <c r="W544" i="14"/>
  <c r="AA543" i="14"/>
  <c r="Y542" i="14"/>
  <c r="AA540" i="14"/>
  <c r="Y522" i="14"/>
  <c r="AA520" i="14"/>
  <c r="Y515" i="14"/>
  <c r="Z544" i="14"/>
  <c r="W535" i="14"/>
  <c r="AA527" i="14"/>
  <c r="V544" i="14"/>
  <c r="AA539" i="14"/>
  <c r="Y534" i="14"/>
  <c r="AA532" i="14"/>
  <c r="Y527" i="14"/>
  <c r="AA519" i="14"/>
  <c r="Y514" i="14"/>
  <c r="V1038" i="14"/>
  <c r="X1029" i="14"/>
  <c r="X1026" i="14"/>
  <c r="X994" i="14"/>
  <c r="V993" i="14"/>
  <c r="V1043" i="14"/>
  <c r="W1043" i="14"/>
  <c r="X1043" i="14"/>
  <c r="Y1043" i="14"/>
  <c r="Z1043" i="14"/>
  <c r="AA1043" i="14"/>
  <c r="AA1039" i="14"/>
  <c r="V1039" i="14"/>
  <c r="W1039" i="14"/>
  <c r="X1039" i="14"/>
  <c r="Z1039" i="14"/>
  <c r="Y1039" i="14"/>
  <c r="Y1035" i="14"/>
  <c r="Z1035" i="14"/>
  <c r="AA1035" i="14"/>
  <c r="V1035" i="14"/>
  <c r="X1035" i="14"/>
  <c r="W1035" i="14"/>
  <c r="W1031" i="14"/>
  <c r="X1031" i="14"/>
  <c r="Y1031" i="14"/>
  <c r="Z1031" i="14"/>
  <c r="AA1031" i="14"/>
  <c r="V1031" i="14"/>
  <c r="V1027" i="14"/>
  <c r="W1027" i="14"/>
  <c r="X1027" i="14"/>
  <c r="Y1027" i="14"/>
  <c r="Z1027" i="14"/>
  <c r="AA1027" i="14"/>
  <c r="AA1023" i="14"/>
  <c r="V1023" i="14"/>
  <c r="W1023" i="14"/>
  <c r="X1023" i="14"/>
  <c r="Z1023" i="14"/>
  <c r="Y1023" i="14"/>
  <c r="Y1019" i="14"/>
  <c r="Z1019" i="14"/>
  <c r="AA1019" i="14"/>
  <c r="V1019" i="14"/>
  <c r="X1019" i="14"/>
  <c r="W1019" i="14"/>
  <c r="W1015" i="14"/>
  <c r="X1015" i="14"/>
  <c r="Y1015" i="14"/>
  <c r="Z1015" i="14"/>
  <c r="AA1015" i="14"/>
  <c r="V1015" i="14"/>
  <c r="V1011" i="14"/>
  <c r="W1011" i="14"/>
  <c r="X1011" i="14"/>
  <c r="Y1011" i="14"/>
  <c r="Z1011" i="14"/>
  <c r="AA1011" i="14"/>
  <c r="AA1007" i="14"/>
  <c r="V1007" i="14"/>
  <c r="W1007" i="14"/>
  <c r="X1007" i="14"/>
  <c r="Z1007" i="14"/>
  <c r="Y1007" i="14"/>
  <c r="Y1003" i="14"/>
  <c r="Z1003" i="14"/>
  <c r="AA1003" i="14"/>
  <c r="V1003" i="14"/>
  <c r="X1003" i="14"/>
  <c r="W1003" i="14"/>
  <c r="W999" i="14"/>
  <c r="X999" i="14"/>
  <c r="Y999" i="14"/>
  <c r="Z999" i="14"/>
  <c r="AA999" i="14"/>
  <c r="V999" i="14"/>
  <c r="V995" i="14"/>
  <c r="W995" i="14"/>
  <c r="X995" i="14"/>
  <c r="Y995" i="14"/>
  <c r="Z995" i="14"/>
  <c r="AA995" i="14"/>
  <c r="AA991" i="14"/>
  <c r="V991" i="14"/>
  <c r="W991" i="14"/>
  <c r="X991" i="14"/>
  <c r="Z991" i="14"/>
  <c r="Y991" i="14"/>
  <c r="V987" i="14"/>
  <c r="Y987" i="14"/>
  <c r="W987" i="14"/>
  <c r="X987" i="14"/>
  <c r="Z987" i="14"/>
  <c r="AA987" i="14"/>
  <c r="X983" i="14"/>
  <c r="W983" i="14"/>
  <c r="V983" i="14"/>
  <c r="Y983" i="14"/>
  <c r="Z983" i="14"/>
  <c r="AA983" i="14"/>
  <c r="V979" i="14"/>
  <c r="Z979" i="14"/>
  <c r="AA979" i="14"/>
  <c r="W979" i="14"/>
  <c r="Y979" i="14"/>
  <c r="X979" i="14"/>
  <c r="V975" i="14"/>
  <c r="X975" i="14"/>
  <c r="Y975" i="14"/>
  <c r="AA975" i="14"/>
  <c r="W975" i="14"/>
  <c r="Z975" i="14"/>
  <c r="Z971" i="14"/>
  <c r="V971" i="14"/>
  <c r="W971" i="14"/>
  <c r="Y971" i="14"/>
  <c r="X971" i="14"/>
  <c r="AA971" i="14"/>
  <c r="X967" i="14"/>
  <c r="Z967" i="14"/>
  <c r="W967" i="14"/>
  <c r="V967" i="14"/>
  <c r="Y967" i="14"/>
  <c r="AA967" i="14"/>
  <c r="V963" i="14"/>
  <c r="X963" i="14"/>
  <c r="Z963" i="14"/>
  <c r="AA963" i="14"/>
  <c r="W963" i="14"/>
  <c r="Y963" i="14"/>
  <c r="V959" i="14"/>
  <c r="X959" i="14"/>
  <c r="Y959" i="14"/>
  <c r="AA959" i="14"/>
  <c r="W959" i="14"/>
  <c r="Z959" i="14"/>
  <c r="Z955" i="14"/>
  <c r="V955" i="14"/>
  <c r="W955" i="14"/>
  <c r="Y955" i="14"/>
  <c r="X955" i="14"/>
  <c r="AA955" i="14"/>
  <c r="X951" i="14"/>
  <c r="Z951" i="14"/>
  <c r="W951" i="14"/>
  <c r="V951" i="14"/>
  <c r="Y951" i="14"/>
  <c r="AA951" i="14"/>
  <c r="V947" i="14"/>
  <c r="X947" i="14"/>
  <c r="Z947" i="14"/>
  <c r="AA947" i="14"/>
  <c r="W947" i="14"/>
  <c r="Y947" i="14"/>
  <c r="V943" i="14"/>
  <c r="X943" i="14"/>
  <c r="Y943" i="14"/>
  <c r="AA943" i="14"/>
  <c r="W943" i="14"/>
  <c r="Z943" i="14"/>
  <c r="Z939" i="14"/>
  <c r="V939" i="14"/>
  <c r="W939" i="14"/>
  <c r="Y939" i="14"/>
  <c r="X939" i="14"/>
  <c r="AA939" i="14"/>
  <c r="X935" i="14"/>
  <c r="Z935" i="14"/>
  <c r="W935" i="14"/>
  <c r="V935" i="14"/>
  <c r="Y935" i="14"/>
  <c r="AA935" i="14"/>
  <c r="Z1017" i="14"/>
  <c r="Z1014" i="14"/>
  <c r="V1006" i="14"/>
  <c r="X1042" i="14"/>
  <c r="X1041" i="14"/>
  <c r="Y1041" i="14"/>
  <c r="Z1041" i="14"/>
  <c r="AA1041" i="14"/>
  <c r="W1041" i="14"/>
  <c r="V1037" i="14"/>
  <c r="W1037" i="14"/>
  <c r="X1037" i="14"/>
  <c r="Y1037" i="14"/>
  <c r="Z1037" i="14"/>
  <c r="AA1037" i="14"/>
  <c r="V1033" i="14"/>
  <c r="W1033" i="14"/>
  <c r="X1033" i="14"/>
  <c r="Y1033" i="14"/>
  <c r="AA1033" i="14"/>
  <c r="Z1033" i="14"/>
  <c r="Z1030" i="14"/>
  <c r="Z1029" i="14"/>
  <c r="AA1029" i="14"/>
  <c r="V1029" i="14"/>
  <c r="W1029" i="14"/>
  <c r="Y1029" i="14"/>
  <c r="X1025" i="14"/>
  <c r="Y1025" i="14"/>
  <c r="Z1025" i="14"/>
  <c r="AA1025" i="14"/>
  <c r="W1025" i="14"/>
  <c r="V1025" i="14"/>
  <c r="V1022" i="14"/>
  <c r="V1021" i="14"/>
  <c r="W1021" i="14"/>
  <c r="X1021" i="14"/>
  <c r="Y1021" i="14"/>
  <c r="Z1021" i="14"/>
  <c r="AA1021" i="14"/>
  <c r="V1017" i="14"/>
  <c r="W1017" i="14"/>
  <c r="X1017" i="14"/>
  <c r="Y1017" i="14"/>
  <c r="AA1017" i="14"/>
  <c r="Z1013" i="14"/>
  <c r="AA1013" i="14"/>
  <c r="V1013" i="14"/>
  <c r="W1013" i="14"/>
  <c r="Y1013" i="14"/>
  <c r="X1013" i="14"/>
  <c r="X1010" i="14"/>
  <c r="X1009" i="14"/>
  <c r="Y1009" i="14"/>
  <c r="Z1009" i="14"/>
  <c r="AA1009" i="14"/>
  <c r="W1009" i="14"/>
  <c r="V1009" i="14"/>
  <c r="V1005" i="14"/>
  <c r="W1005" i="14"/>
  <c r="X1005" i="14"/>
  <c r="Y1005" i="14"/>
  <c r="Z1005" i="14"/>
  <c r="AA1005" i="14"/>
  <c r="V1001" i="14"/>
  <c r="W1001" i="14"/>
  <c r="X1001" i="14"/>
  <c r="Y1001" i="14"/>
  <c r="AA1001" i="14"/>
  <c r="Z1001" i="14"/>
  <c r="Z998" i="14"/>
  <c r="Z997" i="14"/>
  <c r="AA997" i="14"/>
  <c r="V997" i="14"/>
  <c r="W997" i="14"/>
  <c r="Y997" i="14"/>
  <c r="X997" i="14"/>
  <c r="X993" i="14"/>
  <c r="Y993" i="14"/>
  <c r="Z993" i="14"/>
  <c r="AA993" i="14"/>
  <c r="W993" i="14"/>
  <c r="AA989" i="14"/>
  <c r="V989" i="14"/>
  <c r="W989" i="14"/>
  <c r="X989" i="14"/>
  <c r="Y989" i="14"/>
  <c r="Z989" i="14"/>
  <c r="Y985" i="14"/>
  <c r="V985" i="14"/>
  <c r="W985" i="14"/>
  <c r="X985" i="14"/>
  <c r="Z985" i="14"/>
  <c r="AA985" i="14"/>
  <c r="AA981" i="14"/>
  <c r="W981" i="14"/>
  <c r="Z981" i="14"/>
  <c r="V981" i="14"/>
  <c r="X981" i="14"/>
  <c r="Y981" i="14"/>
  <c r="Y977" i="14"/>
  <c r="AA977" i="14"/>
  <c r="V977" i="14"/>
  <c r="X977" i="14"/>
  <c r="W977" i="14"/>
  <c r="Z977" i="14"/>
  <c r="V1041" i="14"/>
  <c r="V1040" i="14"/>
  <c r="V1036" i="14"/>
  <c r="Y1032" i="14"/>
  <c r="W1028" i="14"/>
  <c r="V1024" i="14"/>
  <c r="V1020" i="14"/>
  <c r="Y1016" i="14"/>
  <c r="W1012" i="14"/>
  <c r="V1008" i="14"/>
  <c r="V1004" i="14"/>
  <c r="Y1000" i="14"/>
  <c r="W996" i="14"/>
  <c r="V992" i="14"/>
  <c r="W973" i="14"/>
  <c r="Y973" i="14"/>
  <c r="AA973" i="14"/>
  <c r="V973" i="14"/>
  <c r="X973" i="14"/>
  <c r="Z973" i="14"/>
  <c r="W969" i="14"/>
  <c r="Y969" i="14"/>
  <c r="Z969" i="14"/>
  <c r="V969" i="14"/>
  <c r="X969" i="14"/>
  <c r="AA969" i="14"/>
  <c r="AA965" i="14"/>
  <c r="W965" i="14"/>
  <c r="X965" i="14"/>
  <c r="Z965" i="14"/>
  <c r="V965" i="14"/>
  <c r="Y965" i="14"/>
  <c r="Y961" i="14"/>
  <c r="AA961" i="14"/>
  <c r="V961" i="14"/>
  <c r="X961" i="14"/>
  <c r="W961" i="14"/>
  <c r="Z961" i="14"/>
  <c r="W957" i="14"/>
  <c r="Y957" i="14"/>
  <c r="AA957" i="14"/>
  <c r="V957" i="14"/>
  <c r="X957" i="14"/>
  <c r="Z957" i="14"/>
  <c r="W953" i="14"/>
  <c r="Y953" i="14"/>
  <c r="Z953" i="14"/>
  <c r="X953" i="14"/>
  <c r="AA953" i="14"/>
  <c r="V953" i="14"/>
  <c r="AA949" i="14"/>
  <c r="W949" i="14"/>
  <c r="X949" i="14"/>
  <c r="Z949" i="14"/>
  <c r="Y949" i="14"/>
  <c r="V949" i="14"/>
  <c r="Y945" i="14"/>
  <c r="AA945" i="14"/>
  <c r="V945" i="14"/>
  <c r="X945" i="14"/>
  <c r="Z945" i="14"/>
  <c r="W945" i="14"/>
  <c r="W941" i="14"/>
  <c r="Y941" i="14"/>
  <c r="AA941" i="14"/>
  <c r="V941" i="14"/>
  <c r="Z941" i="14"/>
  <c r="X941" i="14"/>
  <c r="W937" i="14"/>
  <c r="Y937" i="14"/>
  <c r="Z937" i="14"/>
  <c r="AA937" i="14"/>
  <c r="V937" i="14"/>
  <c r="X937" i="14"/>
  <c r="Y933" i="14"/>
  <c r="AA933" i="14"/>
  <c r="V933" i="14"/>
  <c r="W933" i="14"/>
  <c r="Z933" i="14"/>
  <c r="X933" i="14"/>
  <c r="W929" i="14"/>
  <c r="X929" i="14"/>
  <c r="Z929" i="14"/>
  <c r="AA929" i="14"/>
  <c r="Y929" i="14"/>
  <c r="V929" i="14"/>
  <c r="Y925" i="14"/>
  <c r="AA925" i="14"/>
  <c r="V925" i="14"/>
  <c r="X925" i="14"/>
  <c r="W925" i="14"/>
  <c r="Z925" i="14"/>
  <c r="AA921" i="14"/>
  <c r="V921" i="14"/>
  <c r="Z921" i="14"/>
  <c r="W921" i="14"/>
  <c r="Y921" i="14"/>
  <c r="X921" i="14"/>
  <c r="Y917" i="14"/>
  <c r="AA917" i="14"/>
  <c r="V917" i="14"/>
  <c r="W917" i="14"/>
  <c r="Z917" i="14"/>
  <c r="X917" i="14"/>
  <c r="W913" i="14"/>
  <c r="Z913" i="14"/>
  <c r="V913" i="14"/>
  <c r="X913" i="14"/>
  <c r="AA913" i="14"/>
  <c r="Y913" i="14"/>
  <c r="X909" i="14"/>
  <c r="V909" i="14"/>
  <c r="W909" i="14"/>
  <c r="Y909" i="14"/>
  <c r="AA909" i="14"/>
  <c r="Z909" i="14"/>
  <c r="Y905" i="14"/>
  <c r="AA905" i="14"/>
  <c r="V905" i="14"/>
  <c r="W905" i="14"/>
  <c r="X905" i="14"/>
  <c r="Z905" i="14"/>
  <c r="W901" i="14"/>
  <c r="Y901" i="14"/>
  <c r="AA901" i="14"/>
  <c r="V901" i="14"/>
  <c r="Z901" i="14"/>
  <c r="X901" i="14"/>
  <c r="W897" i="14"/>
  <c r="Y897" i="14"/>
  <c r="Z897" i="14"/>
  <c r="V897" i="14"/>
  <c r="X897" i="14"/>
  <c r="AA897" i="14"/>
  <c r="AA893" i="14"/>
  <c r="W893" i="14"/>
  <c r="X893" i="14"/>
  <c r="Y893" i="14"/>
  <c r="V893" i="14"/>
  <c r="Z893" i="14"/>
  <c r="Y889" i="14"/>
  <c r="AA889" i="14"/>
  <c r="V889" i="14"/>
  <c r="W889" i="14"/>
  <c r="X889" i="14"/>
  <c r="Z889" i="14"/>
  <c r="W885" i="14"/>
  <c r="Y885" i="14"/>
  <c r="AA885" i="14"/>
  <c r="V885" i="14"/>
  <c r="X885" i="14"/>
  <c r="Z885" i="14"/>
  <c r="W881" i="14"/>
  <c r="Y881" i="14"/>
  <c r="Z881" i="14"/>
  <c r="AA881" i="14"/>
  <c r="V881" i="14"/>
  <c r="X881" i="14"/>
  <c r="AA877" i="14"/>
  <c r="W877" i="14"/>
  <c r="X877" i="14"/>
  <c r="Y877" i="14"/>
  <c r="V877" i="14"/>
  <c r="Z877" i="14"/>
  <c r="Y873" i="14"/>
  <c r="AA873" i="14"/>
  <c r="V873" i="14"/>
  <c r="W873" i="14"/>
  <c r="X873" i="14"/>
  <c r="Z873" i="14"/>
  <c r="W869" i="14"/>
  <c r="Y869" i="14"/>
  <c r="AA869" i="14"/>
  <c r="V869" i="14"/>
  <c r="X869" i="14"/>
  <c r="Z869" i="14"/>
  <c r="W865" i="14"/>
  <c r="Y865" i="14"/>
  <c r="Z865" i="14"/>
  <c r="AA865" i="14"/>
  <c r="V865" i="14"/>
  <c r="X865" i="14"/>
  <c r="AA861" i="14"/>
  <c r="W861" i="14"/>
  <c r="X861" i="14"/>
  <c r="Y861" i="14"/>
  <c r="V861" i="14"/>
  <c r="Z861" i="14"/>
  <c r="Y857" i="14"/>
  <c r="AA857" i="14"/>
  <c r="V857" i="14"/>
  <c r="W857" i="14"/>
  <c r="X857" i="14"/>
  <c r="Z857" i="14"/>
  <c r="W853" i="14"/>
  <c r="Y853" i="14"/>
  <c r="AA853" i="14"/>
  <c r="X853" i="14"/>
  <c r="Z853" i="14"/>
  <c r="V853" i="14"/>
  <c r="W849" i="14"/>
  <c r="Y849" i="14"/>
  <c r="Z849" i="14"/>
  <c r="AA849" i="14"/>
  <c r="X849" i="14"/>
  <c r="V849" i="14"/>
  <c r="AA845" i="14"/>
  <c r="W845" i="14"/>
  <c r="X845" i="14"/>
  <c r="Y845" i="14"/>
  <c r="Z845" i="14"/>
  <c r="V845" i="14"/>
  <c r="Y841" i="14"/>
  <c r="AA841" i="14"/>
  <c r="V841" i="14"/>
  <c r="W841" i="14"/>
  <c r="Z841" i="14"/>
  <c r="X841" i="14"/>
  <c r="V837" i="14"/>
  <c r="X837" i="14"/>
  <c r="AA837" i="14"/>
  <c r="W837" i="14"/>
  <c r="Y837" i="14"/>
  <c r="Z837" i="14"/>
  <c r="V833" i="14"/>
  <c r="AA833" i="14"/>
  <c r="W833" i="14"/>
  <c r="X833" i="14"/>
  <c r="Y833" i="14"/>
  <c r="Z833" i="14"/>
  <c r="Z829" i="14"/>
  <c r="W829" i="14"/>
  <c r="X829" i="14"/>
  <c r="Y829" i="14"/>
  <c r="V829" i="14"/>
  <c r="AA829" i="14"/>
  <c r="X825" i="14"/>
  <c r="Z825" i="14"/>
  <c r="AA825" i="14"/>
  <c r="Y825" i="14"/>
  <c r="V825" i="14"/>
  <c r="W825" i="14"/>
  <c r="V821" i="14"/>
  <c r="X821" i="14"/>
  <c r="Y821" i="14"/>
  <c r="Z821" i="14"/>
  <c r="W821" i="14"/>
  <c r="AA821" i="14"/>
  <c r="V817" i="14"/>
  <c r="W817" i="14"/>
  <c r="Y817" i="14"/>
  <c r="Z817" i="14"/>
  <c r="AA817" i="14"/>
  <c r="X817" i="14"/>
  <c r="Z813" i="14"/>
  <c r="AA813" i="14"/>
  <c r="V813" i="14"/>
  <c r="W813" i="14"/>
  <c r="X813" i="14"/>
  <c r="Y813" i="14"/>
  <c r="X809" i="14"/>
  <c r="Z809" i="14"/>
  <c r="AA809" i="14"/>
  <c r="W809" i="14"/>
  <c r="V809" i="14"/>
  <c r="Y809" i="14"/>
  <c r="V805" i="14"/>
  <c r="X805" i="14"/>
  <c r="Y805" i="14"/>
  <c r="W805" i="14"/>
  <c r="AA805" i="14"/>
  <c r="Z805" i="14"/>
  <c r="V801" i="14"/>
  <c r="W801" i="14"/>
  <c r="X801" i="14"/>
  <c r="Y801" i="14"/>
  <c r="Z801" i="14"/>
  <c r="AA801" i="14"/>
  <c r="AA799" i="14"/>
  <c r="Z1042" i="14"/>
  <c r="X1038" i="14"/>
  <c r="V1034" i="14"/>
  <c r="V1030" i="14"/>
  <c r="Z1026" i="14"/>
  <c r="X1022" i="14"/>
  <c r="V1018" i="14"/>
  <c r="V1014" i="14"/>
  <c r="Z1010" i="14"/>
  <c r="X1006" i="14"/>
  <c r="V1002" i="14"/>
  <c r="V998" i="14"/>
  <c r="Z994" i="14"/>
  <c r="V990" i="14"/>
  <c r="W986" i="14"/>
  <c r="V982" i="14"/>
  <c r="Y978" i="14"/>
  <c r="Z974" i="14"/>
  <c r="Z970" i="14"/>
  <c r="X898" i="14"/>
  <c r="X988" i="14"/>
  <c r="V984" i="14"/>
  <c r="Y984" i="14"/>
  <c r="X980" i="14"/>
  <c r="W980" i="14"/>
  <c r="V976" i="14"/>
  <c r="X976" i="14"/>
  <c r="Z976" i="14"/>
  <c r="V972" i="14"/>
  <c r="X972" i="14"/>
  <c r="Y972" i="14"/>
  <c r="Z968" i="14"/>
  <c r="V968" i="14"/>
  <c r="W968" i="14"/>
  <c r="Y968" i="14"/>
  <c r="X964" i="14"/>
  <c r="Z964" i="14"/>
  <c r="W964" i="14"/>
  <c r="V960" i="14"/>
  <c r="X960" i="14"/>
  <c r="Z960" i="14"/>
  <c r="V956" i="14"/>
  <c r="X956" i="14"/>
  <c r="Y956" i="14"/>
  <c r="Z952" i="14"/>
  <c r="V952" i="14"/>
  <c r="W952" i="14"/>
  <c r="Y952" i="14"/>
  <c r="X948" i="14"/>
  <c r="Z948" i="14"/>
  <c r="W948" i="14"/>
  <c r="V944" i="14"/>
  <c r="X944" i="14"/>
  <c r="Z944" i="14"/>
  <c r="V940" i="14"/>
  <c r="X940" i="14"/>
  <c r="Y940" i="14"/>
  <c r="Z936" i="14"/>
  <c r="V936" i="14"/>
  <c r="W936" i="14"/>
  <c r="Y936" i="14"/>
  <c r="V932" i="14"/>
  <c r="W932" i="14"/>
  <c r="Y932" i="14"/>
  <c r="Z928" i="14"/>
  <c r="V928" i="14"/>
  <c r="W928" i="14"/>
  <c r="Y928" i="14"/>
  <c r="Z924" i="14"/>
  <c r="V924" i="14"/>
  <c r="W924" i="14"/>
  <c r="X924" i="14"/>
  <c r="Y924" i="14"/>
  <c r="X920" i="14"/>
  <c r="V920" i="14"/>
  <c r="W920" i="14"/>
  <c r="Y920" i="14"/>
  <c r="Z920" i="14"/>
  <c r="V916" i="14"/>
  <c r="Y916" i="14"/>
  <c r="W916" i="14"/>
  <c r="X916" i="14"/>
  <c r="Z916" i="14"/>
  <c r="W912" i="14"/>
  <c r="V912" i="14"/>
  <c r="X912" i="14"/>
  <c r="Y912" i="14"/>
  <c r="Z912" i="14"/>
  <c r="X908" i="14"/>
  <c r="Z908" i="14"/>
  <c r="V908" i="14"/>
  <c r="W908" i="14"/>
  <c r="Y908" i="14"/>
  <c r="V904" i="14"/>
  <c r="X904" i="14"/>
  <c r="Z904" i="14"/>
  <c r="Y904" i="14"/>
  <c r="V900" i="14"/>
  <c r="X900" i="14"/>
  <c r="Y900" i="14"/>
  <c r="W900" i="14"/>
  <c r="Z900" i="14"/>
  <c r="Z896" i="14"/>
  <c r="V896" i="14"/>
  <c r="W896" i="14"/>
  <c r="X896" i="14"/>
  <c r="Y896" i="14"/>
  <c r="X892" i="14"/>
  <c r="Z892" i="14"/>
  <c r="V892" i="14"/>
  <c r="W892" i="14"/>
  <c r="Y892" i="14"/>
  <c r="V888" i="14"/>
  <c r="X888" i="14"/>
  <c r="Z888" i="14"/>
  <c r="W888" i="14"/>
  <c r="Y888" i="14"/>
  <c r="V884" i="14"/>
  <c r="X884" i="14"/>
  <c r="Y884" i="14"/>
  <c r="Z884" i="14"/>
  <c r="W884" i="14"/>
  <c r="Z880" i="14"/>
  <c r="V880" i="14"/>
  <c r="W880" i="14"/>
  <c r="X880" i="14"/>
  <c r="Y880" i="14"/>
  <c r="X876" i="14"/>
  <c r="Z876" i="14"/>
  <c r="V876" i="14"/>
  <c r="Y876" i="14"/>
  <c r="W876" i="14"/>
  <c r="V872" i="14"/>
  <c r="X872" i="14"/>
  <c r="Z872" i="14"/>
  <c r="Y872" i="14"/>
  <c r="W872" i="14"/>
  <c r="V868" i="14"/>
  <c r="X868" i="14"/>
  <c r="Y868" i="14"/>
  <c r="Z868" i="14"/>
  <c r="W868" i="14"/>
  <c r="Z864" i="14"/>
  <c r="V864" i="14"/>
  <c r="W864" i="14"/>
  <c r="X864" i="14"/>
  <c r="Y864" i="14"/>
  <c r="X860" i="14"/>
  <c r="Z860" i="14"/>
  <c r="V860" i="14"/>
  <c r="Y860" i="14"/>
  <c r="V856" i="14"/>
  <c r="X856" i="14"/>
  <c r="Z856" i="14"/>
  <c r="Y856" i="14"/>
  <c r="V852" i="14"/>
  <c r="X852" i="14"/>
  <c r="Y852" i="14"/>
  <c r="Z852" i="14"/>
  <c r="Z848" i="14"/>
  <c r="V848" i="14"/>
  <c r="W848" i="14"/>
  <c r="X848" i="14"/>
  <c r="X844" i="14"/>
  <c r="Z844" i="14"/>
  <c r="V844" i="14"/>
  <c r="W844" i="14"/>
  <c r="W840" i="14"/>
  <c r="X840" i="14"/>
  <c r="Z840" i="14"/>
  <c r="V840" i="14"/>
  <c r="V836" i="14"/>
  <c r="X836" i="14"/>
  <c r="Z836" i="14"/>
  <c r="Y836" i="14"/>
  <c r="W836" i="14"/>
  <c r="Y832" i="14"/>
  <c r="V832" i="14"/>
  <c r="X832" i="14"/>
  <c r="W832" i="14"/>
  <c r="Z832" i="14"/>
  <c r="W828" i="14"/>
  <c r="Y828" i="14"/>
  <c r="Z828" i="14"/>
  <c r="X828" i="14"/>
  <c r="V828" i="14"/>
  <c r="W824" i="14"/>
  <c r="X824" i="14"/>
  <c r="Y824" i="14"/>
  <c r="Z824" i="14"/>
  <c r="V820" i="14"/>
  <c r="Z820" i="14"/>
  <c r="W820" i="14"/>
  <c r="X820" i="14"/>
  <c r="Y820" i="14"/>
  <c r="Y816" i="14"/>
  <c r="W816" i="14"/>
  <c r="Z816" i="14"/>
  <c r="V816" i="14"/>
  <c r="X816" i="14"/>
  <c r="W812" i="14"/>
  <c r="Y812" i="14"/>
  <c r="Z812" i="14"/>
  <c r="V812" i="14"/>
  <c r="X812" i="14"/>
  <c r="W808" i="14"/>
  <c r="X808" i="14"/>
  <c r="V808" i="14"/>
  <c r="Y808" i="14"/>
  <c r="Z808" i="14"/>
  <c r="V804" i="14"/>
  <c r="Y804" i="14"/>
  <c r="W804" i="14"/>
  <c r="X804" i="14"/>
  <c r="Z804" i="14"/>
  <c r="Y800" i="14"/>
  <c r="V800" i="14"/>
  <c r="X800" i="14"/>
  <c r="Z800" i="14"/>
  <c r="W800" i="14"/>
  <c r="W796" i="14"/>
  <c r="Y796" i="14"/>
  <c r="Z796" i="14"/>
  <c r="X796" i="14"/>
  <c r="V796" i="14"/>
  <c r="W792" i="14"/>
  <c r="X792" i="14"/>
  <c r="V792" i="14"/>
  <c r="Y792" i="14"/>
  <c r="Z792" i="14"/>
  <c r="Z788" i="14"/>
  <c r="V788" i="14"/>
  <c r="X788" i="14"/>
  <c r="W788" i="14"/>
  <c r="Y788" i="14"/>
  <c r="X784" i="14"/>
  <c r="Y784" i="14"/>
  <c r="Z784" i="14"/>
  <c r="W784" i="14"/>
  <c r="V784" i="14"/>
  <c r="V780" i="14"/>
  <c r="W780" i="14"/>
  <c r="X780" i="14"/>
  <c r="Y780" i="14"/>
  <c r="Z780" i="14"/>
  <c r="V776" i="14"/>
  <c r="W776" i="14"/>
  <c r="X776" i="14"/>
  <c r="Z776" i="14"/>
  <c r="Y776" i="14"/>
  <c r="Z772" i="14"/>
  <c r="V772" i="14"/>
  <c r="W772" i="14"/>
  <c r="Y772" i="14"/>
  <c r="X772" i="14"/>
  <c r="X768" i="14"/>
  <c r="Y768" i="14"/>
  <c r="Z768" i="14"/>
  <c r="V768" i="14"/>
  <c r="W768" i="14"/>
  <c r="V764" i="14"/>
  <c r="W764" i="14"/>
  <c r="X764" i="14"/>
  <c r="Y764" i="14"/>
  <c r="Z764" i="14"/>
  <c r="V760" i="14"/>
  <c r="W760" i="14"/>
  <c r="X760" i="14"/>
  <c r="Y760" i="14"/>
  <c r="Z760" i="14"/>
  <c r="Z756" i="14"/>
  <c r="V756" i="14"/>
  <c r="W756" i="14"/>
  <c r="X756" i="14"/>
  <c r="Y756" i="14"/>
  <c r="X752" i="14"/>
  <c r="Y752" i="14"/>
  <c r="Z752" i="14"/>
  <c r="V752" i="14"/>
  <c r="W752" i="14"/>
  <c r="X748" i="14"/>
  <c r="Y748" i="14"/>
  <c r="Z748" i="14"/>
  <c r="V748" i="14"/>
  <c r="V744" i="14"/>
  <c r="W744" i="14"/>
  <c r="X744" i="14"/>
  <c r="Y744" i="14"/>
  <c r="Z744" i="14"/>
  <c r="Z740" i="14"/>
  <c r="V740" i="14"/>
  <c r="W740" i="14"/>
  <c r="X740" i="14"/>
  <c r="Y740" i="14"/>
  <c r="X736" i="14"/>
  <c r="Y736" i="14"/>
  <c r="Z736" i="14"/>
  <c r="V736" i="14"/>
  <c r="W736" i="14"/>
  <c r="V732" i="14"/>
  <c r="W732" i="14"/>
  <c r="X732" i="14"/>
  <c r="Y732" i="14"/>
  <c r="Z732" i="14"/>
  <c r="V728" i="14"/>
  <c r="W728" i="14"/>
  <c r="X728" i="14"/>
  <c r="Y728" i="14"/>
  <c r="Z728" i="14"/>
  <c r="Z724" i="14"/>
  <c r="V724" i="14"/>
  <c r="W724" i="14"/>
  <c r="X724" i="14"/>
  <c r="Y724" i="14"/>
  <c r="X720" i="14"/>
  <c r="Y720" i="14"/>
  <c r="Z720" i="14"/>
  <c r="V720" i="14"/>
  <c r="W720" i="14"/>
  <c r="V716" i="14"/>
  <c r="W716" i="14"/>
  <c r="X716" i="14"/>
  <c r="Y716" i="14"/>
  <c r="Z716" i="14"/>
  <c r="V712" i="14"/>
  <c r="W712" i="14"/>
  <c r="X712" i="14"/>
  <c r="Y712" i="14"/>
  <c r="Z712" i="14"/>
  <c r="Z708" i="14"/>
  <c r="V708" i="14"/>
  <c r="W708" i="14"/>
  <c r="X708" i="14"/>
  <c r="Y708" i="14"/>
  <c r="X704" i="14"/>
  <c r="Y704" i="14"/>
  <c r="Z704" i="14"/>
  <c r="V704" i="14"/>
  <c r="W704" i="14"/>
  <c r="V700" i="14"/>
  <c r="W700" i="14"/>
  <c r="X700" i="14"/>
  <c r="Y700" i="14"/>
  <c r="Z700" i="14"/>
  <c r="V696" i="14"/>
  <c r="W696" i="14"/>
  <c r="X696" i="14"/>
  <c r="Y696" i="14"/>
  <c r="Z696" i="14"/>
  <c r="Z692" i="14"/>
  <c r="V692" i="14"/>
  <c r="W692" i="14"/>
  <c r="X692" i="14"/>
  <c r="Y692" i="14"/>
  <c r="X688" i="14"/>
  <c r="Y688" i="14"/>
  <c r="Z688" i="14"/>
  <c r="V688" i="14"/>
  <c r="W688" i="14"/>
  <c r="V684" i="14"/>
  <c r="W684" i="14"/>
  <c r="X684" i="14"/>
  <c r="Y684" i="14"/>
  <c r="Z684" i="14"/>
  <c r="V680" i="14"/>
  <c r="W680" i="14"/>
  <c r="X680" i="14"/>
  <c r="Y680" i="14"/>
  <c r="Z680" i="14"/>
  <c r="Z676" i="14"/>
  <c r="V676" i="14"/>
  <c r="W676" i="14"/>
  <c r="X676" i="14"/>
  <c r="Y676" i="14"/>
  <c r="X672" i="14"/>
  <c r="Y672" i="14"/>
  <c r="Z672" i="14"/>
  <c r="V672" i="14"/>
  <c r="W672" i="14"/>
  <c r="W668" i="14"/>
  <c r="V668" i="14"/>
  <c r="X668" i="14"/>
  <c r="Y668" i="14"/>
  <c r="Z668" i="14"/>
  <c r="Y664" i="14"/>
  <c r="V664" i="14"/>
  <c r="W664" i="14"/>
  <c r="X664" i="14"/>
  <c r="Z664" i="14"/>
  <c r="W660" i="14"/>
  <c r="V660" i="14"/>
  <c r="X660" i="14"/>
  <c r="Y660" i="14"/>
  <c r="Z660" i="14"/>
  <c r="Y656" i="14"/>
  <c r="W656" i="14"/>
  <c r="X656" i="14"/>
  <c r="Z656" i="14"/>
  <c r="V656" i="14"/>
  <c r="W652" i="14"/>
  <c r="X652" i="14"/>
  <c r="Y652" i="14"/>
  <c r="Z652" i="14"/>
  <c r="V652" i="14"/>
  <c r="W648" i="14"/>
  <c r="Y648" i="14"/>
  <c r="V648" i="14"/>
  <c r="X648" i="14"/>
  <c r="Z648" i="14"/>
  <c r="W644" i="14"/>
  <c r="Y644" i="14"/>
  <c r="V644" i="14"/>
  <c r="X644" i="14"/>
  <c r="Z644" i="14"/>
  <c r="W640" i="14"/>
  <c r="Y640" i="14"/>
  <c r="V640" i="14"/>
  <c r="X640" i="14"/>
  <c r="Z640" i="14"/>
  <c r="Y636" i="14"/>
  <c r="Z636" i="14"/>
  <c r="V636" i="14"/>
  <c r="W636" i="14"/>
  <c r="X636" i="14"/>
  <c r="W632" i="14"/>
  <c r="X632" i="14"/>
  <c r="Y632" i="14"/>
  <c r="V632" i="14"/>
  <c r="Z632" i="14"/>
  <c r="V628" i="14"/>
  <c r="W628" i="14"/>
  <c r="Y628" i="14"/>
  <c r="Z628" i="14"/>
  <c r="X628" i="14"/>
  <c r="W624" i="14"/>
  <c r="X624" i="14"/>
  <c r="Y624" i="14"/>
  <c r="V624" i="14"/>
  <c r="Z624" i="14"/>
  <c r="Y620" i="14"/>
  <c r="Z620" i="14"/>
  <c r="V620" i="14"/>
  <c r="W620" i="14"/>
  <c r="X620" i="14"/>
  <c r="W616" i="14"/>
  <c r="X616" i="14"/>
  <c r="Y616" i="14"/>
  <c r="V616" i="14"/>
  <c r="Z616" i="14"/>
  <c r="V612" i="14"/>
  <c r="W612" i="14"/>
  <c r="Y612" i="14"/>
  <c r="Z612" i="14"/>
  <c r="X612" i="14"/>
  <c r="W608" i="14"/>
  <c r="X608" i="14"/>
  <c r="Y608" i="14"/>
  <c r="V608" i="14"/>
  <c r="Z608" i="14"/>
  <c r="Y604" i="14"/>
  <c r="Z604" i="14"/>
  <c r="V604" i="14"/>
  <c r="W604" i="14"/>
  <c r="X604" i="14"/>
  <c r="W600" i="14"/>
  <c r="X600" i="14"/>
  <c r="Y600" i="14"/>
  <c r="V600" i="14"/>
  <c r="Z600" i="14"/>
  <c r="V596" i="14"/>
  <c r="W596" i="14"/>
  <c r="Y596" i="14"/>
  <c r="Z596" i="14"/>
  <c r="X596" i="14"/>
  <c r="W592" i="14"/>
  <c r="X592" i="14"/>
  <c r="Y592" i="14"/>
  <c r="V592" i="14"/>
  <c r="Z592" i="14"/>
  <c r="Y588" i="14"/>
  <c r="Z588" i="14"/>
  <c r="V588" i="14"/>
  <c r="W588" i="14"/>
  <c r="X588" i="14"/>
  <c r="W584" i="14"/>
  <c r="X584" i="14"/>
  <c r="Y584" i="14"/>
  <c r="V584" i="14"/>
  <c r="Z584" i="14"/>
  <c r="V580" i="14"/>
  <c r="W580" i="14"/>
  <c r="Y580" i="14"/>
  <c r="Z580" i="14"/>
  <c r="X580" i="14"/>
  <c r="W576" i="14"/>
  <c r="X576" i="14"/>
  <c r="Y576" i="14"/>
  <c r="Z576" i="14"/>
  <c r="V576" i="14"/>
  <c r="Y572" i="14"/>
  <c r="Z572" i="14"/>
  <c r="V572" i="14"/>
  <c r="W572" i="14"/>
  <c r="X572" i="14"/>
  <c r="W568" i="14"/>
  <c r="X568" i="14"/>
  <c r="Y568" i="14"/>
  <c r="V568" i="14"/>
  <c r="Z568" i="14"/>
  <c r="V564" i="14"/>
  <c r="W564" i="14"/>
  <c r="Y564" i="14"/>
  <c r="Z564" i="14"/>
  <c r="X564" i="14"/>
  <c r="V560" i="14"/>
  <c r="W560" i="14"/>
  <c r="X560" i="14"/>
  <c r="Y560" i="14"/>
  <c r="Z560" i="14"/>
  <c r="Y556" i="14"/>
  <c r="Z556" i="14"/>
  <c r="V556" i="14"/>
  <c r="W556" i="14"/>
  <c r="X556" i="14"/>
  <c r="W552" i="14"/>
  <c r="X552" i="14"/>
  <c r="Y552" i="14"/>
  <c r="Z552" i="14"/>
  <c r="V552" i="14"/>
  <c r="V548" i="14"/>
  <c r="W548" i="14"/>
  <c r="X548" i="14"/>
  <c r="Y548" i="14"/>
  <c r="Z548" i="14"/>
  <c r="Y1042" i="14"/>
  <c r="W1038" i="14"/>
  <c r="Z1036" i="14"/>
  <c r="X1032" i="14"/>
  <c r="V1028" i="14"/>
  <c r="Y1026" i="14"/>
  <c r="W1022" i="14"/>
  <c r="Z1020" i="14"/>
  <c r="X1016" i="14"/>
  <c r="V1012" i="14"/>
  <c r="Y1010" i="14"/>
  <c r="W1006" i="14"/>
  <c r="Z1004" i="14"/>
  <c r="X1000" i="14"/>
  <c r="V996" i="14"/>
  <c r="Y994" i="14"/>
  <c r="V988" i="14"/>
  <c r="W984" i="14"/>
  <c r="W976" i="14"/>
  <c r="W972" i="14"/>
  <c r="X968" i="14"/>
  <c r="Y964" i="14"/>
  <c r="Y960" i="14"/>
  <c r="Z956" i="14"/>
  <c r="Y848" i="14"/>
  <c r="Z797" i="14"/>
  <c r="Y797" i="14"/>
  <c r="V797" i="14"/>
  <c r="W797" i="14"/>
  <c r="X797" i="14"/>
  <c r="AA797" i="14"/>
  <c r="X793" i="14"/>
  <c r="Z793" i="14"/>
  <c r="AA793" i="14"/>
  <c r="V793" i="14"/>
  <c r="Y793" i="14"/>
  <c r="V789" i="14"/>
  <c r="W789" i="14"/>
  <c r="X789" i="14"/>
  <c r="Y789" i="14"/>
  <c r="Z789" i="14"/>
  <c r="AA789" i="14"/>
  <c r="AA785" i="14"/>
  <c r="V785" i="14"/>
  <c r="W785" i="14"/>
  <c r="Y785" i="14"/>
  <c r="Z785" i="14"/>
  <c r="Y781" i="14"/>
  <c r="Z781" i="14"/>
  <c r="AA781" i="14"/>
  <c r="V781" i="14"/>
  <c r="X781" i="14"/>
  <c r="W781" i="14"/>
  <c r="W777" i="14"/>
  <c r="X777" i="14"/>
  <c r="Y777" i="14"/>
  <c r="Z777" i="14"/>
  <c r="AA777" i="14"/>
  <c r="V777" i="14"/>
  <c r="V773" i="14"/>
  <c r="W773" i="14"/>
  <c r="X773" i="14"/>
  <c r="Y773" i="14"/>
  <c r="AA773" i="14"/>
  <c r="Z773" i="14"/>
  <c r="AA769" i="14"/>
  <c r="V769" i="14"/>
  <c r="W769" i="14"/>
  <c r="X769" i="14"/>
  <c r="Z769" i="14"/>
  <c r="Y769" i="14"/>
  <c r="Y765" i="14"/>
  <c r="Z765" i="14"/>
  <c r="AA765" i="14"/>
  <c r="W765" i="14"/>
  <c r="X765" i="14"/>
  <c r="W761" i="14"/>
  <c r="X761" i="14"/>
  <c r="Y761" i="14"/>
  <c r="Z761" i="14"/>
  <c r="AA761" i="14"/>
  <c r="V761" i="14"/>
  <c r="V757" i="14"/>
  <c r="W757" i="14"/>
  <c r="X757" i="14"/>
  <c r="Y757" i="14"/>
  <c r="Z757" i="14"/>
  <c r="AA757" i="14"/>
  <c r="AA753" i="14"/>
  <c r="V753" i="14"/>
  <c r="W753" i="14"/>
  <c r="X753" i="14"/>
  <c r="Y753" i="14"/>
  <c r="Z753" i="14"/>
  <c r="AA749" i="14"/>
  <c r="V749" i="14"/>
  <c r="W749" i="14"/>
  <c r="X749" i="14"/>
  <c r="Y749" i="14"/>
  <c r="Z749" i="14"/>
  <c r="Y745" i="14"/>
  <c r="Z745" i="14"/>
  <c r="AA745" i="14"/>
  <c r="V745" i="14"/>
  <c r="W745" i="14"/>
  <c r="X745" i="14"/>
  <c r="V741" i="14"/>
  <c r="W741" i="14"/>
  <c r="X741" i="14"/>
  <c r="Y741" i="14"/>
  <c r="Z741" i="14"/>
  <c r="AA741" i="14"/>
  <c r="AA737" i="14"/>
  <c r="V737" i="14"/>
  <c r="W737" i="14"/>
  <c r="X737" i="14"/>
  <c r="Y737" i="14"/>
  <c r="Z737" i="14"/>
  <c r="Y733" i="14"/>
  <c r="Z733" i="14"/>
  <c r="AA733" i="14"/>
  <c r="V733" i="14"/>
  <c r="W733" i="14"/>
  <c r="X733" i="14"/>
  <c r="W729" i="14"/>
  <c r="X729" i="14"/>
  <c r="Y729" i="14"/>
  <c r="Z729" i="14"/>
  <c r="AA729" i="14"/>
  <c r="V729" i="14"/>
  <c r="V725" i="14"/>
  <c r="W725" i="14"/>
  <c r="X725" i="14"/>
  <c r="Y725" i="14"/>
  <c r="Z725" i="14"/>
  <c r="AA725" i="14"/>
  <c r="AA721" i="14"/>
  <c r="V721" i="14"/>
  <c r="W721" i="14"/>
  <c r="X721" i="14"/>
  <c r="Y721" i="14"/>
  <c r="Z721" i="14"/>
  <c r="Y717" i="14"/>
  <c r="Z717" i="14"/>
  <c r="AA717" i="14"/>
  <c r="V717" i="14"/>
  <c r="W717" i="14"/>
  <c r="X717" i="14"/>
  <c r="W713" i="14"/>
  <c r="X713" i="14"/>
  <c r="Y713" i="14"/>
  <c r="Z713" i="14"/>
  <c r="AA713" i="14"/>
  <c r="V713" i="14"/>
  <c r="V709" i="14"/>
  <c r="W709" i="14"/>
  <c r="X709" i="14"/>
  <c r="Y709" i="14"/>
  <c r="Z709" i="14"/>
  <c r="AA709" i="14"/>
  <c r="AA705" i="14"/>
  <c r="V705" i="14"/>
  <c r="W705" i="14"/>
  <c r="X705" i="14"/>
  <c r="Y705" i="14"/>
  <c r="Z705" i="14"/>
  <c r="Y701" i="14"/>
  <c r="Z701" i="14"/>
  <c r="AA701" i="14"/>
  <c r="V701" i="14"/>
  <c r="W701" i="14"/>
  <c r="X701" i="14"/>
  <c r="W697" i="14"/>
  <c r="X697" i="14"/>
  <c r="Y697" i="14"/>
  <c r="Z697" i="14"/>
  <c r="AA697" i="14"/>
  <c r="V693" i="14"/>
  <c r="W693" i="14"/>
  <c r="X693" i="14"/>
  <c r="Y693" i="14"/>
  <c r="Z693" i="14"/>
  <c r="AA693" i="14"/>
  <c r="AA689" i="14"/>
  <c r="V689" i="14"/>
  <c r="W689" i="14"/>
  <c r="X689" i="14"/>
  <c r="Y689" i="14"/>
  <c r="Z689" i="14"/>
  <c r="Y685" i="14"/>
  <c r="Z685" i="14"/>
  <c r="AA685" i="14"/>
  <c r="V685" i="14"/>
  <c r="W685" i="14"/>
  <c r="X685" i="14"/>
  <c r="W681" i="14"/>
  <c r="X681" i="14"/>
  <c r="Y681" i="14"/>
  <c r="Z681" i="14"/>
  <c r="AA681" i="14"/>
  <c r="V681" i="14"/>
  <c r="V677" i="14"/>
  <c r="W677" i="14"/>
  <c r="X677" i="14"/>
  <c r="Y677" i="14"/>
  <c r="Z677" i="14"/>
  <c r="AA677" i="14"/>
  <c r="AA673" i="14"/>
  <c r="V673" i="14"/>
  <c r="W673" i="14"/>
  <c r="X673" i="14"/>
  <c r="Y673" i="14"/>
  <c r="Z673" i="14"/>
  <c r="Y669" i="14"/>
  <c r="Z669" i="14"/>
  <c r="AA669" i="14"/>
  <c r="V669" i="14"/>
  <c r="W669" i="14"/>
  <c r="X669" i="14"/>
  <c r="X665" i="14"/>
  <c r="AA665" i="14"/>
  <c r="V665" i="14"/>
  <c r="W665" i="14"/>
  <c r="Y665" i="14"/>
  <c r="Z665" i="14"/>
  <c r="Z661" i="14"/>
  <c r="V661" i="14"/>
  <c r="W661" i="14"/>
  <c r="X661" i="14"/>
  <c r="Y661" i="14"/>
  <c r="AA661" i="14"/>
  <c r="X657" i="14"/>
  <c r="V657" i="14"/>
  <c r="W657" i="14"/>
  <c r="Y657" i="14"/>
  <c r="Z657" i="14"/>
  <c r="AA657" i="14"/>
  <c r="V653" i="14"/>
  <c r="Z653" i="14"/>
  <c r="W653" i="14"/>
  <c r="X653" i="14"/>
  <c r="Y653" i="14"/>
  <c r="AA653" i="14"/>
  <c r="Z649" i="14"/>
  <c r="X649" i="14"/>
  <c r="V649" i="14"/>
  <c r="W649" i="14"/>
  <c r="Y649" i="14"/>
  <c r="AA649" i="14"/>
  <c r="X645" i="14"/>
  <c r="Z645" i="14"/>
  <c r="V645" i="14"/>
  <c r="W645" i="14"/>
  <c r="Y645" i="14"/>
  <c r="AA645" i="14"/>
  <c r="V641" i="14"/>
  <c r="X641" i="14"/>
  <c r="Z641" i="14"/>
  <c r="W641" i="14"/>
  <c r="Y641" i="14"/>
  <c r="AA641" i="14"/>
  <c r="V637" i="14"/>
  <c r="X637" i="14"/>
  <c r="Z637" i="14"/>
  <c r="W637" i="14"/>
  <c r="Y637" i="14"/>
  <c r="AA637" i="14"/>
  <c r="Z633" i="14"/>
  <c r="AA633" i="14"/>
  <c r="V633" i="14"/>
  <c r="W633" i="14"/>
  <c r="X633" i="14"/>
  <c r="Y633" i="14"/>
  <c r="X629" i="14"/>
  <c r="Y629" i="14"/>
  <c r="Z629" i="14"/>
  <c r="V629" i="14"/>
  <c r="W629" i="14"/>
  <c r="AA629" i="14"/>
  <c r="V625" i="14"/>
  <c r="W625" i="14"/>
  <c r="X625" i="14"/>
  <c r="Z625" i="14"/>
  <c r="AA625" i="14"/>
  <c r="Y625" i="14"/>
  <c r="V621" i="14"/>
  <c r="X621" i="14"/>
  <c r="Y621" i="14"/>
  <c r="Z621" i="14"/>
  <c r="W621" i="14"/>
  <c r="AA621" i="14"/>
  <c r="Z617" i="14"/>
  <c r="AA617" i="14"/>
  <c r="V617" i="14"/>
  <c r="W617" i="14"/>
  <c r="X617" i="14"/>
  <c r="Y617" i="14"/>
  <c r="X613" i="14"/>
  <c r="Y613" i="14"/>
  <c r="Z613" i="14"/>
  <c r="V613" i="14"/>
  <c r="W613" i="14"/>
  <c r="AA613" i="14"/>
  <c r="V609" i="14"/>
  <c r="W609" i="14"/>
  <c r="X609" i="14"/>
  <c r="Z609" i="14"/>
  <c r="AA609" i="14"/>
  <c r="Y609" i="14"/>
  <c r="V605" i="14"/>
  <c r="X605" i="14"/>
  <c r="Y605" i="14"/>
  <c r="Z605" i="14"/>
  <c r="AA605" i="14"/>
  <c r="W605" i="14"/>
  <c r="Z601" i="14"/>
  <c r="AA601" i="14"/>
  <c r="V601" i="14"/>
  <c r="W601" i="14"/>
  <c r="X601" i="14"/>
  <c r="Y601" i="14"/>
  <c r="X597" i="14"/>
  <c r="Y597" i="14"/>
  <c r="Z597" i="14"/>
  <c r="V597" i="14"/>
  <c r="W597" i="14"/>
  <c r="AA597" i="14"/>
  <c r="V593" i="14"/>
  <c r="W593" i="14"/>
  <c r="X593" i="14"/>
  <c r="Z593" i="14"/>
  <c r="AA593" i="14"/>
  <c r="Y593" i="14"/>
  <c r="V589" i="14"/>
  <c r="X589" i="14"/>
  <c r="Y589" i="14"/>
  <c r="Z589" i="14"/>
  <c r="W589" i="14"/>
  <c r="AA589" i="14"/>
  <c r="Z585" i="14"/>
  <c r="AA585" i="14"/>
  <c r="V585" i="14"/>
  <c r="W585" i="14"/>
  <c r="X585" i="14"/>
  <c r="Y585" i="14"/>
  <c r="X581" i="14"/>
  <c r="Y581" i="14"/>
  <c r="Z581" i="14"/>
  <c r="V581" i="14"/>
  <c r="W581" i="14"/>
  <c r="AA581" i="14"/>
  <c r="V577" i="14"/>
  <c r="W577" i="14"/>
  <c r="X577" i="14"/>
  <c r="Z577" i="14"/>
  <c r="AA577" i="14"/>
  <c r="Y577" i="14"/>
  <c r="V573" i="14"/>
  <c r="X573" i="14"/>
  <c r="Y573" i="14"/>
  <c r="Z573" i="14"/>
  <c r="W573" i="14"/>
  <c r="AA573" i="14"/>
  <c r="Z569" i="14"/>
  <c r="AA569" i="14"/>
  <c r="V569" i="14"/>
  <c r="W569" i="14"/>
  <c r="X569" i="14"/>
  <c r="Y569" i="14"/>
  <c r="X565" i="14"/>
  <c r="Y565" i="14"/>
  <c r="Z565" i="14"/>
  <c r="V565" i="14"/>
  <c r="W565" i="14"/>
  <c r="AA565" i="14"/>
  <c r="V561" i="14"/>
  <c r="W561" i="14"/>
  <c r="X561" i="14"/>
  <c r="Z561" i="14"/>
  <c r="AA561" i="14"/>
  <c r="Y561" i="14"/>
  <c r="V557" i="14"/>
  <c r="W557" i="14"/>
  <c r="X557" i="14"/>
  <c r="Y557" i="14"/>
  <c r="Z557" i="14"/>
  <c r="AA557" i="14"/>
  <c r="Z553" i="14"/>
  <c r="AA553" i="14"/>
  <c r="V553" i="14"/>
  <c r="W553" i="14"/>
  <c r="X553" i="14"/>
  <c r="Y553" i="14"/>
  <c r="X549" i="14"/>
  <c r="Y549" i="14"/>
  <c r="Z549" i="14"/>
  <c r="AA549" i="14"/>
  <c r="V549" i="14"/>
  <c r="W549" i="14"/>
  <c r="V545" i="14"/>
  <c r="W545" i="14"/>
  <c r="X545" i="14"/>
  <c r="Y545" i="14"/>
  <c r="Z545" i="14"/>
  <c r="AA545" i="14"/>
  <c r="W1042" i="14"/>
  <c r="Z1040" i="14"/>
  <c r="X1036" i="14"/>
  <c r="V1032" i="14"/>
  <c r="Y1030" i="14"/>
  <c r="W1026" i="14"/>
  <c r="Z1024" i="14"/>
  <c r="X1020" i="14"/>
  <c r="V1016" i="14"/>
  <c r="Y1014" i="14"/>
  <c r="W1010" i="14"/>
  <c r="Z1008" i="14"/>
  <c r="X1004" i="14"/>
  <c r="V1000" i="14"/>
  <c r="Y998" i="14"/>
  <c r="W994" i="14"/>
  <c r="Z992" i="14"/>
  <c r="V948" i="14"/>
  <c r="W944" i="14"/>
  <c r="W940" i="14"/>
  <c r="X936" i="14"/>
  <c r="X932" i="14"/>
  <c r="AA927" i="14"/>
  <c r="Y840" i="14"/>
  <c r="W793" i="14"/>
  <c r="X543" i="14"/>
  <c r="V542" i="14"/>
  <c r="Z540" i="14"/>
  <c r="X539" i="14"/>
  <c r="V538" i="14"/>
  <c r="Z536" i="14"/>
  <c r="X535" i="14"/>
  <c r="V534" i="14"/>
  <c r="Z532" i="14"/>
  <c r="X531" i="14"/>
  <c r="V530" i="14"/>
  <c r="Z528" i="14"/>
  <c r="X527" i="14"/>
  <c r="V526" i="14"/>
  <c r="Z524" i="14"/>
  <c r="X523" i="14"/>
  <c r="V522" i="14"/>
  <c r="Z520" i="14"/>
  <c r="X519" i="14"/>
  <c r="V518" i="14"/>
  <c r="Z516" i="14"/>
  <c r="X515" i="14"/>
  <c r="V514" i="14"/>
  <c r="V1042" i="14"/>
  <c r="Y1040" i="14"/>
  <c r="W1036" i="14"/>
  <c r="Z1034" i="14"/>
  <c r="X1030" i="14"/>
  <c r="V1026" i="14"/>
  <c r="Y1024" i="14"/>
  <c r="W1020" i="14"/>
  <c r="Z1018" i="14"/>
  <c r="X1014" i="14"/>
  <c r="V1010" i="14"/>
  <c r="Y1008" i="14"/>
  <c r="W1004" i="14"/>
  <c r="Z1002" i="14"/>
  <c r="X998" i="14"/>
  <c r="V994" i="14"/>
  <c r="Y992" i="14"/>
  <c r="Z931" i="14"/>
  <c r="X785" i="14"/>
  <c r="X990" i="14"/>
  <c r="V986" i="14"/>
  <c r="Y982" i="14"/>
  <c r="W978" i="14"/>
  <c r="X978" i="14"/>
  <c r="Z978" i="14"/>
  <c r="Y974" i="14"/>
  <c r="V974" i="14"/>
  <c r="X974" i="14"/>
  <c r="W970" i="14"/>
  <c r="Y970" i="14"/>
  <c r="V970" i="14"/>
  <c r="W966" i="14"/>
  <c r="Y966" i="14"/>
  <c r="Z966" i="14"/>
  <c r="W962" i="14"/>
  <c r="X962" i="14"/>
  <c r="Z962" i="14"/>
  <c r="Y958" i="14"/>
  <c r="V958" i="14"/>
  <c r="X958" i="14"/>
  <c r="W954" i="14"/>
  <c r="Y954" i="14"/>
  <c r="V954" i="14"/>
  <c r="W950" i="14"/>
  <c r="Y950" i="14"/>
  <c r="Z950" i="14"/>
  <c r="W946" i="14"/>
  <c r="X946" i="14"/>
  <c r="Z946" i="14"/>
  <c r="Y942" i="14"/>
  <c r="V942" i="14"/>
  <c r="X942" i="14"/>
  <c r="W938" i="14"/>
  <c r="Y938" i="14"/>
  <c r="V938" i="14"/>
  <c r="W934" i="14"/>
  <c r="Y934" i="14"/>
  <c r="Z934" i="14"/>
  <c r="Y930" i="14"/>
  <c r="X930" i="14"/>
  <c r="W930" i="14"/>
  <c r="W926" i="14"/>
  <c r="X926" i="14"/>
  <c r="Y926" i="14"/>
  <c r="X922" i="14"/>
  <c r="V922" i="14"/>
  <c r="W922" i="14"/>
  <c r="Y922" i="14"/>
  <c r="Z922" i="14"/>
  <c r="V918" i="14"/>
  <c r="W918" i="14"/>
  <c r="X918" i="14"/>
  <c r="Y918" i="14"/>
  <c r="Z918" i="14"/>
  <c r="Y914" i="14"/>
  <c r="V914" i="14"/>
  <c r="W914" i="14"/>
  <c r="X914" i="14"/>
  <c r="Z914" i="14"/>
  <c r="W910" i="14"/>
  <c r="Z910" i="14"/>
  <c r="V910" i="14"/>
  <c r="X910" i="14"/>
  <c r="Y910" i="14"/>
  <c r="W906" i="14"/>
  <c r="X906" i="14"/>
  <c r="V906" i="14"/>
  <c r="Y906" i="14"/>
  <c r="Z906" i="14"/>
  <c r="Y902" i="14"/>
  <c r="V902" i="14"/>
  <c r="W902" i="14"/>
  <c r="X902" i="14"/>
  <c r="Z902" i="14"/>
  <c r="W898" i="14"/>
  <c r="Y898" i="14"/>
  <c r="V898" i="14"/>
  <c r="Z898" i="14"/>
  <c r="W894" i="14"/>
  <c r="Y894" i="14"/>
  <c r="Z894" i="14"/>
  <c r="V894" i="14"/>
  <c r="X894" i="14"/>
  <c r="W890" i="14"/>
  <c r="X890" i="14"/>
  <c r="Y890" i="14"/>
  <c r="V890" i="14"/>
  <c r="Z890" i="14"/>
  <c r="Y886" i="14"/>
  <c r="V886" i="14"/>
  <c r="W886" i="14"/>
  <c r="X886" i="14"/>
  <c r="Z886" i="14"/>
  <c r="W882" i="14"/>
  <c r="Y882" i="14"/>
  <c r="V882" i="14"/>
  <c r="X882" i="14"/>
  <c r="Z882" i="14"/>
  <c r="W878" i="14"/>
  <c r="Y878" i="14"/>
  <c r="Z878" i="14"/>
  <c r="V878" i="14"/>
  <c r="X878" i="14"/>
  <c r="W874" i="14"/>
  <c r="X874" i="14"/>
  <c r="Y874" i="14"/>
  <c r="V874" i="14"/>
  <c r="Z874" i="14"/>
  <c r="Y870" i="14"/>
  <c r="V870" i="14"/>
  <c r="W870" i="14"/>
  <c r="X870" i="14"/>
  <c r="Z870" i="14"/>
  <c r="W866" i="14"/>
  <c r="Y866" i="14"/>
  <c r="V866" i="14"/>
  <c r="X866" i="14"/>
  <c r="Z866" i="14"/>
  <c r="W862" i="14"/>
  <c r="Y862" i="14"/>
  <c r="Z862" i="14"/>
  <c r="V862" i="14"/>
  <c r="X862" i="14"/>
  <c r="W858" i="14"/>
  <c r="X858" i="14"/>
  <c r="Y858" i="14"/>
  <c r="V858" i="14"/>
  <c r="Z858" i="14"/>
  <c r="Y854" i="14"/>
  <c r="V854" i="14"/>
  <c r="W854" i="14"/>
  <c r="X854" i="14"/>
  <c r="Z854" i="14"/>
  <c r="W850" i="14"/>
  <c r="Y850" i="14"/>
  <c r="V850" i="14"/>
  <c r="X850" i="14"/>
  <c r="Z850" i="14"/>
  <c r="W846" i="14"/>
  <c r="Y846" i="14"/>
  <c r="Z846" i="14"/>
  <c r="V846" i="14"/>
  <c r="X846" i="14"/>
  <c r="W842" i="14"/>
  <c r="X842" i="14"/>
  <c r="Y842" i="14"/>
  <c r="V842" i="14"/>
  <c r="Z842" i="14"/>
  <c r="X838" i="14"/>
  <c r="Z838" i="14"/>
  <c r="W838" i="14"/>
  <c r="V838" i="14"/>
  <c r="Y838" i="14"/>
  <c r="V834" i="14"/>
  <c r="X834" i="14"/>
  <c r="Y834" i="14"/>
  <c r="W834" i="14"/>
  <c r="Z834" i="14"/>
  <c r="V830" i="14"/>
  <c r="W830" i="14"/>
  <c r="Y830" i="14"/>
  <c r="Z830" i="14"/>
  <c r="Z826" i="14"/>
  <c r="W826" i="14"/>
  <c r="Y826" i="14"/>
  <c r="V826" i="14"/>
  <c r="X826" i="14"/>
  <c r="X822" i="14"/>
  <c r="Z822" i="14"/>
  <c r="V822" i="14"/>
  <c r="W822" i="14"/>
  <c r="Y822" i="14"/>
  <c r="V818" i="14"/>
  <c r="X818" i="14"/>
  <c r="Y818" i="14"/>
  <c r="Z818" i="14"/>
  <c r="V814" i="14"/>
  <c r="W814" i="14"/>
  <c r="Y814" i="14"/>
  <c r="X814" i="14"/>
  <c r="Z814" i="14"/>
  <c r="Z810" i="14"/>
  <c r="V810" i="14"/>
  <c r="X810" i="14"/>
  <c r="Y810" i="14"/>
  <c r="W810" i="14"/>
  <c r="X806" i="14"/>
  <c r="Z806" i="14"/>
  <c r="V806" i="14"/>
  <c r="W806" i="14"/>
  <c r="Y806" i="14"/>
  <c r="V802" i="14"/>
  <c r="X802" i="14"/>
  <c r="Y802" i="14"/>
  <c r="W802" i="14"/>
  <c r="Z802" i="14"/>
  <c r="V798" i="14"/>
  <c r="W798" i="14"/>
  <c r="X798" i="14"/>
  <c r="Z798" i="14"/>
  <c r="Y798" i="14"/>
  <c r="Z794" i="14"/>
  <c r="W794" i="14"/>
  <c r="X794" i="14"/>
  <c r="Y794" i="14"/>
  <c r="V794" i="14"/>
  <c r="X790" i="14"/>
  <c r="Z790" i="14"/>
  <c r="Y790" i="14"/>
  <c r="V790" i="14"/>
  <c r="W790" i="14"/>
  <c r="V786" i="14"/>
  <c r="W786" i="14"/>
  <c r="X786" i="14"/>
  <c r="Y786" i="14"/>
  <c r="Z786" i="14"/>
  <c r="V782" i="14"/>
  <c r="W782" i="14"/>
  <c r="X782" i="14"/>
  <c r="Y782" i="14"/>
  <c r="Z782" i="14"/>
  <c r="Y778" i="14"/>
  <c r="Z778" i="14"/>
  <c r="V778" i="14"/>
  <c r="W778" i="14"/>
  <c r="X778" i="14"/>
  <c r="W774" i="14"/>
  <c r="X774" i="14"/>
  <c r="Y774" i="14"/>
  <c r="Z774" i="14"/>
  <c r="V774" i="14"/>
  <c r="V770" i="14"/>
  <c r="W770" i="14"/>
  <c r="X770" i="14"/>
  <c r="Y770" i="14"/>
  <c r="Z770" i="14"/>
  <c r="V766" i="14"/>
  <c r="W766" i="14"/>
  <c r="X766" i="14"/>
  <c r="Y766" i="14"/>
  <c r="Z766" i="14"/>
  <c r="Y762" i="14"/>
  <c r="Z762" i="14"/>
  <c r="V762" i="14"/>
  <c r="W762" i="14"/>
  <c r="X762" i="14"/>
  <c r="W758" i="14"/>
  <c r="X758" i="14"/>
  <c r="Y758" i="14"/>
  <c r="Z758" i="14"/>
  <c r="V758" i="14"/>
  <c r="V754" i="14"/>
  <c r="W754" i="14"/>
  <c r="X754" i="14"/>
  <c r="Y754" i="14"/>
  <c r="Z754" i="14"/>
  <c r="X750" i="14"/>
  <c r="Z750" i="14"/>
  <c r="V750" i="14"/>
  <c r="W750" i="14"/>
  <c r="Y750" i="14"/>
  <c r="V746" i="14"/>
  <c r="X746" i="14"/>
  <c r="Y746" i="14"/>
  <c r="Z746" i="14"/>
  <c r="W746" i="14"/>
  <c r="X742" i="14"/>
  <c r="Y742" i="14"/>
  <c r="Z742" i="14"/>
  <c r="V742" i="14"/>
  <c r="W742" i="14"/>
  <c r="V738" i="14"/>
  <c r="W738" i="14"/>
  <c r="X738" i="14"/>
  <c r="Y738" i="14"/>
  <c r="Z738" i="14"/>
  <c r="V734" i="14"/>
  <c r="W734" i="14"/>
  <c r="X734" i="14"/>
  <c r="Y734" i="14"/>
  <c r="Z734" i="14"/>
  <c r="Y730" i="14"/>
  <c r="Z730" i="14"/>
  <c r="V730" i="14"/>
  <c r="W730" i="14"/>
  <c r="X730" i="14"/>
  <c r="W726" i="14"/>
  <c r="X726" i="14"/>
  <c r="Y726" i="14"/>
  <c r="Z726" i="14"/>
  <c r="V726" i="14"/>
  <c r="V722" i="14"/>
  <c r="W722" i="14"/>
  <c r="X722" i="14"/>
  <c r="Y722" i="14"/>
  <c r="Z722" i="14"/>
  <c r="V718" i="14"/>
  <c r="W718" i="14"/>
  <c r="X718" i="14"/>
  <c r="Y718" i="14"/>
  <c r="Z718" i="14"/>
  <c r="Y714" i="14"/>
  <c r="Z714" i="14"/>
  <c r="V714" i="14"/>
  <c r="W714" i="14"/>
  <c r="X714" i="14"/>
  <c r="W710" i="14"/>
  <c r="X710" i="14"/>
  <c r="Y710" i="14"/>
  <c r="Z710" i="14"/>
  <c r="V710" i="14"/>
  <c r="V706" i="14"/>
  <c r="W706" i="14"/>
  <c r="X706" i="14"/>
  <c r="Y706" i="14"/>
  <c r="Z706" i="14"/>
  <c r="V702" i="14"/>
  <c r="W702" i="14"/>
  <c r="X702" i="14"/>
  <c r="Y702" i="14"/>
  <c r="Z702" i="14"/>
  <c r="Y698" i="14"/>
  <c r="Z698" i="14"/>
  <c r="V698" i="14"/>
  <c r="W698" i="14"/>
  <c r="X698" i="14"/>
  <c r="W694" i="14"/>
  <c r="X694" i="14"/>
  <c r="Y694" i="14"/>
  <c r="Z694" i="14"/>
  <c r="V694" i="14"/>
  <c r="V690" i="14"/>
  <c r="W690" i="14"/>
  <c r="X690" i="14"/>
  <c r="Y690" i="14"/>
  <c r="Z690" i="14"/>
  <c r="V686" i="14"/>
  <c r="W686" i="14"/>
  <c r="X686" i="14"/>
  <c r="Y686" i="14"/>
  <c r="Z686" i="14"/>
  <c r="Y682" i="14"/>
  <c r="Z682" i="14"/>
  <c r="V682" i="14"/>
  <c r="W682" i="14"/>
  <c r="X682" i="14"/>
  <c r="W678" i="14"/>
  <c r="X678" i="14"/>
  <c r="Y678" i="14"/>
  <c r="Z678" i="14"/>
  <c r="V678" i="14"/>
  <c r="V674" i="14"/>
  <c r="W674" i="14"/>
  <c r="X674" i="14"/>
  <c r="Y674" i="14"/>
  <c r="Z674" i="14"/>
  <c r="V670" i="14"/>
  <c r="W670" i="14"/>
  <c r="X670" i="14"/>
  <c r="Y670" i="14"/>
  <c r="Z670" i="14"/>
  <c r="V666" i="14"/>
  <c r="Z666" i="14"/>
  <c r="W666" i="14"/>
  <c r="X666" i="14"/>
  <c r="Y666" i="14"/>
  <c r="X662" i="14"/>
  <c r="V662" i="14"/>
  <c r="W662" i="14"/>
  <c r="Y662" i="14"/>
  <c r="Z662" i="14"/>
  <c r="Z658" i="14"/>
  <c r="V658" i="14"/>
  <c r="W658" i="14"/>
  <c r="X658" i="14"/>
  <c r="Y658" i="14"/>
  <c r="X654" i="14"/>
  <c r="W654" i="14"/>
  <c r="Y654" i="14"/>
  <c r="Z654" i="14"/>
  <c r="V654" i="14"/>
  <c r="V650" i="14"/>
  <c r="Z650" i="14"/>
  <c r="X650" i="14"/>
  <c r="Y650" i="14"/>
  <c r="W650" i="14"/>
  <c r="Z646" i="14"/>
  <c r="V646" i="14"/>
  <c r="X646" i="14"/>
  <c r="W646" i="14"/>
  <c r="Y646" i="14"/>
  <c r="X642" i="14"/>
  <c r="Z642" i="14"/>
  <c r="V642" i="14"/>
  <c r="W642" i="14"/>
  <c r="Y642" i="14"/>
  <c r="V638" i="14"/>
  <c r="W638" i="14"/>
  <c r="X638" i="14"/>
  <c r="Z638" i="14"/>
  <c r="Y638" i="14"/>
  <c r="V634" i="14"/>
  <c r="X634" i="14"/>
  <c r="Y634" i="14"/>
  <c r="Z634" i="14"/>
  <c r="W634" i="14"/>
  <c r="Z630" i="14"/>
  <c r="V630" i="14"/>
  <c r="W630" i="14"/>
  <c r="X630" i="14"/>
  <c r="Y630" i="14"/>
  <c r="X626" i="14"/>
  <c r="Y626" i="14"/>
  <c r="Z626" i="14"/>
  <c r="V626" i="14"/>
  <c r="W626" i="14"/>
  <c r="V622" i="14"/>
  <c r="W622" i="14"/>
  <c r="X622" i="14"/>
  <c r="Z622" i="14"/>
  <c r="Y622" i="14"/>
  <c r="V618" i="14"/>
  <c r="X618" i="14"/>
  <c r="Y618" i="14"/>
  <c r="Z618" i="14"/>
  <c r="W618" i="14"/>
  <c r="Z614" i="14"/>
  <c r="V614" i="14"/>
  <c r="W614" i="14"/>
  <c r="X614" i="14"/>
  <c r="Y614" i="14"/>
  <c r="X610" i="14"/>
  <c r="Y610" i="14"/>
  <c r="Z610" i="14"/>
  <c r="V610" i="14"/>
  <c r="W610" i="14"/>
  <c r="V606" i="14"/>
  <c r="W606" i="14"/>
  <c r="X606" i="14"/>
  <c r="Z606" i="14"/>
  <c r="Y606" i="14"/>
  <c r="V602" i="14"/>
  <c r="X602" i="14"/>
  <c r="Y602" i="14"/>
  <c r="Z602" i="14"/>
  <c r="W602" i="14"/>
  <c r="Z598" i="14"/>
  <c r="V598" i="14"/>
  <c r="W598" i="14"/>
  <c r="X598" i="14"/>
  <c r="Y598" i="14"/>
  <c r="X594" i="14"/>
  <c r="Y594" i="14"/>
  <c r="Z594" i="14"/>
  <c r="V594" i="14"/>
  <c r="W594" i="14"/>
  <c r="V590" i="14"/>
  <c r="W590" i="14"/>
  <c r="X590" i="14"/>
  <c r="Z590" i="14"/>
  <c r="Y590" i="14"/>
  <c r="V586" i="14"/>
  <c r="X586" i="14"/>
  <c r="Y586" i="14"/>
  <c r="Z586" i="14"/>
  <c r="W586" i="14"/>
  <c r="Z582" i="14"/>
  <c r="V582" i="14"/>
  <c r="W582" i="14"/>
  <c r="X582" i="14"/>
  <c r="Y582" i="14"/>
  <c r="X578" i="14"/>
  <c r="Y578" i="14"/>
  <c r="Z578" i="14"/>
  <c r="V578" i="14"/>
  <c r="W578" i="14"/>
  <c r="V574" i="14"/>
  <c r="W574" i="14"/>
  <c r="X574" i="14"/>
  <c r="Z574" i="14"/>
  <c r="Y574" i="14"/>
  <c r="V570" i="14"/>
  <c r="X570" i="14"/>
  <c r="Y570" i="14"/>
  <c r="Z570" i="14"/>
  <c r="W570" i="14"/>
  <c r="Z566" i="14"/>
  <c r="V566" i="14"/>
  <c r="W566" i="14"/>
  <c r="X566" i="14"/>
  <c r="Y566" i="14"/>
  <c r="X562" i="14"/>
  <c r="Y562" i="14"/>
  <c r="Z562" i="14"/>
  <c r="V562" i="14"/>
  <c r="W562" i="14"/>
  <c r="V558" i="14"/>
  <c r="W558" i="14"/>
  <c r="X558" i="14"/>
  <c r="Y558" i="14"/>
  <c r="Z558" i="14"/>
  <c r="V554" i="14"/>
  <c r="W554" i="14"/>
  <c r="X554" i="14"/>
  <c r="Y554" i="14"/>
  <c r="Z554" i="14"/>
  <c r="Z550" i="14"/>
  <c r="V550" i="14"/>
  <c r="W550" i="14"/>
  <c r="X550" i="14"/>
  <c r="Y550" i="14"/>
  <c r="X546" i="14"/>
  <c r="Y546" i="14"/>
  <c r="Z546" i="14"/>
  <c r="V546" i="14"/>
  <c r="W546" i="14"/>
  <c r="Y544" i="14"/>
  <c r="X1040" i="14"/>
  <c r="Y1034" i="14"/>
  <c r="W1030" i="14"/>
  <c r="Z1028" i="14"/>
  <c r="X1024" i="14"/>
  <c r="Y1018" i="14"/>
  <c r="W1014" i="14"/>
  <c r="Z1012" i="14"/>
  <c r="X1008" i="14"/>
  <c r="Y1002" i="14"/>
  <c r="W998" i="14"/>
  <c r="Z996" i="14"/>
  <c r="X992" i="14"/>
  <c r="Z980" i="14"/>
  <c r="V978" i="14"/>
  <c r="W974" i="14"/>
  <c r="X970" i="14"/>
  <c r="X966" i="14"/>
  <c r="Y962" i="14"/>
  <c r="Z958" i="14"/>
  <c r="Z954" i="14"/>
  <c r="Z926" i="14"/>
  <c r="X830" i="14"/>
  <c r="X544" i="14"/>
  <c r="W1040" i="14"/>
  <c r="Z1038" i="14"/>
  <c r="X1034" i="14"/>
  <c r="Y1028" i="14"/>
  <c r="W1024" i="14"/>
  <c r="Z1022" i="14"/>
  <c r="X1018" i="14"/>
  <c r="Y1012" i="14"/>
  <c r="W1008" i="14"/>
  <c r="Z1006" i="14"/>
  <c r="X1002" i="14"/>
  <c r="Y996" i="14"/>
  <c r="W992" i="14"/>
  <c r="Z990" i="14"/>
  <c r="Z988" i="14"/>
  <c r="Z986" i="14"/>
  <c r="Z982" i="14"/>
  <c r="Y980" i="14"/>
  <c r="V966" i="14"/>
  <c r="V962" i="14"/>
  <c r="W958" i="14"/>
  <c r="X954" i="14"/>
  <c r="X950" i="14"/>
  <c r="Y946" i="14"/>
  <c r="Z942" i="14"/>
  <c r="Z938" i="14"/>
  <c r="Z930" i="14"/>
  <c r="V926" i="14"/>
  <c r="W860" i="14"/>
  <c r="V824" i="14"/>
  <c r="V765" i="14"/>
  <c r="V931" i="14"/>
  <c r="X931" i="14"/>
  <c r="Y931" i="14"/>
  <c r="AA931" i="14"/>
  <c r="Z927" i="14"/>
  <c r="W927" i="14"/>
  <c r="Y927" i="14"/>
  <c r="V927" i="14"/>
  <c r="X923" i="14"/>
  <c r="AA923" i="14"/>
  <c r="Z923" i="14"/>
  <c r="V923" i="14"/>
  <c r="Y923" i="14"/>
  <c r="V919" i="14"/>
  <c r="Y919" i="14"/>
  <c r="AA919" i="14"/>
  <c r="W919" i="14"/>
  <c r="Z919" i="14"/>
  <c r="W915" i="14"/>
  <c r="AA915" i="14"/>
  <c r="V915" i="14"/>
  <c r="X915" i="14"/>
  <c r="Z915" i="14"/>
  <c r="Z911" i="14"/>
  <c r="V911" i="14"/>
  <c r="W911" i="14"/>
  <c r="X911" i="14"/>
  <c r="AA911" i="14"/>
  <c r="V907" i="14"/>
  <c r="X907" i="14"/>
  <c r="Z907" i="14"/>
  <c r="AA907" i="14"/>
  <c r="Y907" i="14"/>
  <c r="V903" i="14"/>
  <c r="X903" i="14"/>
  <c r="Y903" i="14"/>
  <c r="W903" i="14"/>
  <c r="Z903" i="14"/>
  <c r="AA903" i="14"/>
  <c r="Z899" i="14"/>
  <c r="V899" i="14"/>
  <c r="W899" i="14"/>
  <c r="X899" i="14"/>
  <c r="Y899" i="14"/>
  <c r="AA899" i="14"/>
  <c r="X895" i="14"/>
  <c r="Z895" i="14"/>
  <c r="V895" i="14"/>
  <c r="AA895" i="14"/>
  <c r="Y895" i="14"/>
  <c r="V891" i="14"/>
  <c r="X891" i="14"/>
  <c r="Z891" i="14"/>
  <c r="AA891" i="14"/>
  <c r="Y891" i="14"/>
  <c r="V887" i="14"/>
  <c r="X887" i="14"/>
  <c r="Y887" i="14"/>
  <c r="Z887" i="14"/>
  <c r="AA887" i="14"/>
  <c r="Z883" i="14"/>
  <c r="V883" i="14"/>
  <c r="W883" i="14"/>
  <c r="X883" i="14"/>
  <c r="AA883" i="14"/>
  <c r="X879" i="14"/>
  <c r="Z879" i="14"/>
  <c r="V879" i="14"/>
  <c r="W879" i="14"/>
  <c r="AA879" i="14"/>
  <c r="V875" i="14"/>
  <c r="X875" i="14"/>
  <c r="Z875" i="14"/>
  <c r="AA875" i="14"/>
  <c r="W875" i="14"/>
  <c r="V871" i="14"/>
  <c r="X871" i="14"/>
  <c r="Y871" i="14"/>
  <c r="Z871" i="14"/>
  <c r="W871" i="14"/>
  <c r="Z867" i="14"/>
  <c r="V867" i="14"/>
  <c r="W867" i="14"/>
  <c r="X867" i="14"/>
  <c r="Y867" i="14"/>
  <c r="X863" i="14"/>
  <c r="Z863" i="14"/>
  <c r="V863" i="14"/>
  <c r="W863" i="14"/>
  <c r="Y863" i="14"/>
  <c r="V859" i="14"/>
  <c r="X859" i="14"/>
  <c r="Z859" i="14"/>
  <c r="AA859" i="14"/>
  <c r="W859" i="14"/>
  <c r="Y859" i="14"/>
  <c r="V855" i="14"/>
  <c r="X855" i="14"/>
  <c r="Y855" i="14"/>
  <c r="Z855" i="14"/>
  <c r="W855" i="14"/>
  <c r="AA855" i="14"/>
  <c r="Z851" i="14"/>
  <c r="V851" i="14"/>
  <c r="W851" i="14"/>
  <c r="X851" i="14"/>
  <c r="Y851" i="14"/>
  <c r="AA851" i="14"/>
  <c r="X847" i="14"/>
  <c r="Z847" i="14"/>
  <c r="V847" i="14"/>
  <c r="W847" i="14"/>
  <c r="Y847" i="14"/>
  <c r="AA847" i="14"/>
  <c r="V843" i="14"/>
  <c r="X843" i="14"/>
  <c r="Z843" i="14"/>
  <c r="AA843" i="14"/>
  <c r="W843" i="14"/>
  <c r="Y843" i="14"/>
  <c r="AA839" i="14"/>
  <c r="Z839" i="14"/>
  <c r="V839" i="14"/>
  <c r="W839" i="14"/>
  <c r="X839" i="14"/>
  <c r="Y839" i="14"/>
  <c r="Y835" i="14"/>
  <c r="AA835" i="14"/>
  <c r="V835" i="14"/>
  <c r="W835" i="14"/>
  <c r="X835" i="14"/>
  <c r="W831" i="14"/>
  <c r="Y831" i="14"/>
  <c r="V831" i="14"/>
  <c r="X831" i="14"/>
  <c r="Z831" i="14"/>
  <c r="AA831" i="14"/>
  <c r="W827" i="14"/>
  <c r="X827" i="14"/>
  <c r="AA827" i="14"/>
  <c r="V827" i="14"/>
  <c r="Y827" i="14"/>
  <c r="Z827" i="14"/>
  <c r="AA823" i="14"/>
  <c r="V823" i="14"/>
  <c r="X823" i="14"/>
  <c r="Z823" i="14"/>
  <c r="W823" i="14"/>
  <c r="Y823" i="14"/>
  <c r="Y819" i="14"/>
  <c r="AA819" i="14"/>
  <c r="W819" i="14"/>
  <c r="Z819" i="14"/>
  <c r="X819" i="14"/>
  <c r="V819" i="14"/>
  <c r="W815" i="14"/>
  <c r="Y815" i="14"/>
  <c r="Z815" i="14"/>
  <c r="V815" i="14"/>
  <c r="X815" i="14"/>
  <c r="AA815" i="14"/>
  <c r="W811" i="14"/>
  <c r="X811" i="14"/>
  <c r="Z811" i="14"/>
  <c r="V811" i="14"/>
  <c r="Y811" i="14"/>
  <c r="AA807" i="14"/>
  <c r="V807" i="14"/>
  <c r="W807" i="14"/>
  <c r="Y807" i="14"/>
  <c r="X807" i="14"/>
  <c r="Z807" i="14"/>
  <c r="Y803" i="14"/>
  <c r="AA803" i="14"/>
  <c r="V803" i="14"/>
  <c r="X803" i="14"/>
  <c r="Z803" i="14"/>
  <c r="W803" i="14"/>
  <c r="W799" i="14"/>
  <c r="Y799" i="14"/>
  <c r="Z799" i="14"/>
  <c r="V799" i="14"/>
  <c r="X799" i="14"/>
  <c r="W795" i="14"/>
  <c r="X795" i="14"/>
  <c r="Y795" i="14"/>
  <c r="AA795" i="14"/>
  <c r="V795" i="14"/>
  <c r="Z795" i="14"/>
  <c r="AA791" i="14"/>
  <c r="V791" i="14"/>
  <c r="X791" i="14"/>
  <c r="Z791" i="14"/>
  <c r="W791" i="14"/>
  <c r="Y791" i="14"/>
  <c r="X787" i="14"/>
  <c r="Y787" i="14"/>
  <c r="Z787" i="14"/>
  <c r="AA787" i="14"/>
  <c r="W787" i="14"/>
  <c r="V787" i="14"/>
  <c r="V783" i="14"/>
  <c r="W783" i="14"/>
  <c r="X783" i="14"/>
  <c r="Y783" i="14"/>
  <c r="Z783" i="14"/>
  <c r="AA783" i="14"/>
  <c r="V779" i="14"/>
  <c r="W779" i="14"/>
  <c r="X779" i="14"/>
  <c r="Z779" i="14"/>
  <c r="Y779" i="14"/>
  <c r="AA779" i="14"/>
  <c r="Z775" i="14"/>
  <c r="AA775" i="14"/>
  <c r="V775" i="14"/>
  <c r="Y775" i="14"/>
  <c r="W775" i="14"/>
  <c r="X771" i="14"/>
  <c r="Y771" i="14"/>
  <c r="Z771" i="14"/>
  <c r="AA771" i="14"/>
  <c r="V771" i="14"/>
  <c r="W771" i="14"/>
  <c r="V767" i="14"/>
  <c r="W767" i="14"/>
  <c r="X767" i="14"/>
  <c r="Y767" i="14"/>
  <c r="Z767" i="14"/>
  <c r="AA767" i="14"/>
  <c r="V763" i="14"/>
  <c r="W763" i="14"/>
  <c r="X763" i="14"/>
  <c r="AA763" i="14"/>
  <c r="Y763" i="14"/>
  <c r="Z763" i="14"/>
  <c r="Z759" i="14"/>
  <c r="AA759" i="14"/>
  <c r="V759" i="14"/>
  <c r="W759" i="14"/>
  <c r="X759" i="14"/>
  <c r="Y759" i="14"/>
  <c r="X755" i="14"/>
  <c r="Y755" i="14"/>
  <c r="Z755" i="14"/>
  <c r="AA755" i="14"/>
  <c r="V755" i="14"/>
  <c r="W755" i="14"/>
  <c r="X751" i="14"/>
  <c r="V751" i="14"/>
  <c r="W751" i="14"/>
  <c r="Y751" i="14"/>
  <c r="Z751" i="14"/>
  <c r="AA751" i="14"/>
  <c r="V747" i="14"/>
  <c r="W747" i="14"/>
  <c r="Y747" i="14"/>
  <c r="X747" i="14"/>
  <c r="Z747" i="14"/>
  <c r="AA747" i="14"/>
  <c r="V743" i="14"/>
  <c r="W743" i="14"/>
  <c r="Y743" i="14"/>
  <c r="Z743" i="14"/>
  <c r="AA743" i="14"/>
  <c r="X743" i="14"/>
  <c r="X739" i="14"/>
  <c r="Y739" i="14"/>
  <c r="Z739" i="14"/>
  <c r="AA739" i="14"/>
  <c r="V739" i="14"/>
  <c r="W739" i="14"/>
  <c r="V735" i="14"/>
  <c r="W735" i="14"/>
  <c r="X735" i="14"/>
  <c r="Y735" i="14"/>
  <c r="Z735" i="14"/>
  <c r="AA735" i="14"/>
  <c r="V731" i="14"/>
  <c r="W731" i="14"/>
  <c r="X731" i="14"/>
  <c r="Y731" i="14"/>
  <c r="Z731" i="14"/>
  <c r="AA731" i="14"/>
  <c r="Z727" i="14"/>
  <c r="AA727" i="14"/>
  <c r="V727" i="14"/>
  <c r="W727" i="14"/>
  <c r="X727" i="14"/>
  <c r="Y727" i="14"/>
  <c r="X723" i="14"/>
  <c r="Y723" i="14"/>
  <c r="Z723" i="14"/>
  <c r="AA723" i="14"/>
  <c r="V723" i="14"/>
  <c r="W723" i="14"/>
  <c r="V719" i="14"/>
  <c r="W719" i="14"/>
  <c r="X719" i="14"/>
  <c r="Y719" i="14"/>
  <c r="Z719" i="14"/>
  <c r="AA719" i="14"/>
  <c r="V715" i="14"/>
  <c r="W715" i="14"/>
  <c r="X715" i="14"/>
  <c r="Y715" i="14"/>
  <c r="Z715" i="14"/>
  <c r="AA715" i="14"/>
  <c r="Z711" i="14"/>
  <c r="AA711" i="14"/>
  <c r="V711" i="14"/>
  <c r="W711" i="14"/>
  <c r="X711" i="14"/>
  <c r="Y711" i="14"/>
  <c r="X707" i="14"/>
  <c r="Y707" i="14"/>
  <c r="Z707" i="14"/>
  <c r="AA707" i="14"/>
  <c r="V707" i="14"/>
  <c r="W707" i="14"/>
  <c r="V703" i="14"/>
  <c r="W703" i="14"/>
  <c r="X703" i="14"/>
  <c r="Y703" i="14"/>
  <c r="Z703" i="14"/>
  <c r="AA703" i="14"/>
  <c r="V699" i="14"/>
  <c r="W699" i="14"/>
  <c r="X699" i="14"/>
  <c r="Y699" i="14"/>
  <c r="Z699" i="14"/>
  <c r="AA699" i="14"/>
  <c r="Z695" i="14"/>
  <c r="AA695" i="14"/>
  <c r="V695" i="14"/>
  <c r="W695" i="14"/>
  <c r="X695" i="14"/>
  <c r="Y695" i="14"/>
  <c r="X691" i="14"/>
  <c r="Y691" i="14"/>
  <c r="Z691" i="14"/>
  <c r="AA691" i="14"/>
  <c r="V691" i="14"/>
  <c r="W691" i="14"/>
  <c r="V687" i="14"/>
  <c r="W687" i="14"/>
  <c r="X687" i="14"/>
  <c r="Y687" i="14"/>
  <c r="Z687" i="14"/>
  <c r="AA687" i="14"/>
  <c r="V683" i="14"/>
  <c r="W683" i="14"/>
  <c r="X683" i="14"/>
  <c r="Y683" i="14"/>
  <c r="Z683" i="14"/>
  <c r="AA683" i="14"/>
  <c r="Z679" i="14"/>
  <c r="AA679" i="14"/>
  <c r="V679" i="14"/>
  <c r="W679" i="14"/>
  <c r="X679" i="14"/>
  <c r="Y679" i="14"/>
  <c r="X675" i="14"/>
  <c r="Y675" i="14"/>
  <c r="Z675" i="14"/>
  <c r="AA675" i="14"/>
  <c r="V675" i="14"/>
  <c r="W675" i="14"/>
  <c r="V671" i="14"/>
  <c r="W671" i="14"/>
  <c r="X671" i="14"/>
  <c r="Y671" i="14"/>
  <c r="Z671" i="14"/>
  <c r="AA671" i="14"/>
  <c r="Y667" i="14"/>
  <c r="AA667" i="14"/>
  <c r="V667" i="14"/>
  <c r="W667" i="14"/>
  <c r="X667" i="14"/>
  <c r="Z667" i="14"/>
  <c r="W663" i="14"/>
  <c r="AA663" i="14"/>
  <c r="V663" i="14"/>
  <c r="X663" i="14"/>
  <c r="Y663" i="14"/>
  <c r="Z663" i="14"/>
  <c r="Y659" i="14"/>
  <c r="V659" i="14"/>
  <c r="W659" i="14"/>
  <c r="X659" i="14"/>
  <c r="Z659" i="14"/>
  <c r="AA659" i="14"/>
  <c r="AA655" i="14"/>
  <c r="W655" i="14"/>
  <c r="V655" i="14"/>
  <c r="X655" i="14"/>
  <c r="Y655" i="14"/>
  <c r="Z655" i="14"/>
  <c r="Y651" i="14"/>
  <c r="V651" i="14"/>
  <c r="W651" i="14"/>
  <c r="X651" i="14"/>
  <c r="Z651" i="14"/>
  <c r="AA651" i="14"/>
  <c r="W647" i="14"/>
  <c r="Y647" i="14"/>
  <c r="AA647" i="14"/>
  <c r="V647" i="14"/>
  <c r="X647" i="14"/>
  <c r="Z647" i="14"/>
  <c r="AA643" i="14"/>
  <c r="W643" i="14"/>
  <c r="Y643" i="14"/>
  <c r="V643" i="14"/>
  <c r="X643" i="14"/>
  <c r="Z643" i="14"/>
  <c r="Y639" i="14"/>
  <c r="AA639" i="14"/>
  <c r="W639" i="14"/>
  <c r="X639" i="14"/>
  <c r="Z639" i="14"/>
  <c r="V639" i="14"/>
  <c r="W635" i="14"/>
  <c r="X635" i="14"/>
  <c r="Y635" i="14"/>
  <c r="AA635" i="14"/>
  <c r="V635" i="14"/>
  <c r="Z635" i="14"/>
  <c r="V631" i="14"/>
  <c r="W631" i="14"/>
  <c r="Y631" i="14"/>
  <c r="Z631" i="14"/>
  <c r="AA631" i="14"/>
  <c r="X631" i="14"/>
  <c r="AA627" i="14"/>
  <c r="W627" i="14"/>
  <c r="X627" i="14"/>
  <c r="Y627" i="14"/>
  <c r="V627" i="14"/>
  <c r="Z627" i="14"/>
  <c r="Y623" i="14"/>
  <c r="Z623" i="14"/>
  <c r="AA623" i="14"/>
  <c r="V623" i="14"/>
  <c r="W623" i="14"/>
  <c r="X623" i="14"/>
  <c r="W619" i="14"/>
  <c r="X619" i="14"/>
  <c r="Y619" i="14"/>
  <c r="AA619" i="14"/>
  <c r="V619" i="14"/>
  <c r="Z619" i="14"/>
  <c r="V615" i="14"/>
  <c r="W615" i="14"/>
  <c r="Y615" i="14"/>
  <c r="Z615" i="14"/>
  <c r="AA615" i="14"/>
  <c r="X615" i="14"/>
  <c r="AA611" i="14"/>
  <c r="W611" i="14"/>
  <c r="X611" i="14"/>
  <c r="Y611" i="14"/>
  <c r="Z611" i="14"/>
  <c r="V611" i="14"/>
  <c r="Y607" i="14"/>
  <c r="Z607" i="14"/>
  <c r="AA607" i="14"/>
  <c r="V607" i="14"/>
  <c r="W607" i="14"/>
  <c r="X607" i="14"/>
  <c r="W603" i="14"/>
  <c r="X603" i="14"/>
  <c r="Y603" i="14"/>
  <c r="AA603" i="14"/>
  <c r="V603" i="14"/>
  <c r="Z603" i="14"/>
  <c r="V599" i="14"/>
  <c r="W599" i="14"/>
  <c r="Y599" i="14"/>
  <c r="Z599" i="14"/>
  <c r="AA599" i="14"/>
  <c r="X599" i="14"/>
  <c r="AA595" i="14"/>
  <c r="W595" i="14"/>
  <c r="X595" i="14"/>
  <c r="Y595" i="14"/>
  <c r="V595" i="14"/>
  <c r="Z595" i="14"/>
  <c r="Y591" i="14"/>
  <c r="Z591" i="14"/>
  <c r="AA591" i="14"/>
  <c r="V591" i="14"/>
  <c r="W591" i="14"/>
  <c r="X591" i="14"/>
  <c r="W587" i="14"/>
  <c r="X587" i="14"/>
  <c r="Y587" i="14"/>
  <c r="AA587" i="14"/>
  <c r="V587" i="14"/>
  <c r="Z587" i="14"/>
  <c r="V583" i="14"/>
  <c r="W583" i="14"/>
  <c r="Y583" i="14"/>
  <c r="Z583" i="14"/>
  <c r="AA583" i="14"/>
  <c r="X583" i="14"/>
  <c r="AA579" i="14"/>
  <c r="W579" i="14"/>
  <c r="X579" i="14"/>
  <c r="Y579" i="14"/>
  <c r="V579" i="14"/>
  <c r="Z579" i="14"/>
  <c r="Y575" i="14"/>
  <c r="Z575" i="14"/>
  <c r="AA575" i="14"/>
  <c r="V575" i="14"/>
  <c r="W575" i="14"/>
  <c r="X575" i="14"/>
  <c r="W571" i="14"/>
  <c r="X571" i="14"/>
  <c r="Y571" i="14"/>
  <c r="AA571" i="14"/>
  <c r="V571" i="14"/>
  <c r="Z571" i="14"/>
  <c r="V567" i="14"/>
  <c r="W567" i="14"/>
  <c r="Y567" i="14"/>
  <c r="Z567" i="14"/>
  <c r="AA567" i="14"/>
  <c r="X567" i="14"/>
  <c r="AA563" i="14"/>
  <c r="W563" i="14"/>
  <c r="X563" i="14"/>
  <c r="Y563" i="14"/>
  <c r="V563" i="14"/>
  <c r="Z563" i="14"/>
  <c r="Y559" i="14"/>
  <c r="Z559" i="14"/>
  <c r="AA559" i="14"/>
  <c r="V559" i="14"/>
  <c r="W559" i="14"/>
  <c r="X559" i="14"/>
  <c r="W555" i="14"/>
  <c r="X555" i="14"/>
  <c r="Y555" i="14"/>
  <c r="Z555" i="14"/>
  <c r="AA555" i="14"/>
  <c r="V555" i="14"/>
  <c r="V551" i="14"/>
  <c r="W551" i="14"/>
  <c r="X551" i="14"/>
  <c r="Y551" i="14"/>
  <c r="Z551" i="14"/>
  <c r="AA551" i="14"/>
  <c r="AA547" i="14"/>
  <c r="V547" i="14"/>
  <c r="W547" i="14"/>
  <c r="X547" i="14"/>
  <c r="Y547" i="14"/>
  <c r="Z547" i="14"/>
  <c r="Y1038" i="14"/>
  <c r="W1034" i="14"/>
  <c r="Z1032" i="14"/>
  <c r="X1028" i="14"/>
  <c r="Y1022" i="14"/>
  <c r="W1018" i="14"/>
  <c r="Z1016" i="14"/>
  <c r="X1012" i="14"/>
  <c r="Y1006" i="14"/>
  <c r="W1002" i="14"/>
  <c r="Z1000" i="14"/>
  <c r="X996" i="14"/>
  <c r="Y990" i="14"/>
  <c r="Y988" i="14"/>
  <c r="Y986" i="14"/>
  <c r="Z984" i="14"/>
  <c r="X982" i="14"/>
  <c r="V980" i="14"/>
  <c r="V950" i="14"/>
  <c r="V946" i="14"/>
  <c r="W942" i="14"/>
  <c r="X938" i="14"/>
  <c r="X934" i="14"/>
  <c r="V930" i="14"/>
  <c r="Y911" i="14"/>
  <c r="W887" i="14"/>
  <c r="W856" i="14"/>
  <c r="W818" i="14"/>
  <c r="W748" i="14"/>
  <c r="W990" i="14"/>
  <c r="W988" i="14"/>
  <c r="X986" i="14"/>
  <c r="X984" i="14"/>
  <c r="W982" i="14"/>
  <c r="Y976" i="14"/>
  <c r="Z972" i="14"/>
  <c r="V934" i="14"/>
  <c r="Y883" i="14"/>
  <c r="W852" i="14"/>
  <c r="AA811" i="14"/>
  <c r="V697" i="14"/>
  <c r="V543" i="14"/>
  <c r="X540" i="14"/>
  <c r="V539" i="14"/>
  <c r="X536" i="14"/>
  <c r="V535" i="14"/>
  <c r="X532" i="14"/>
  <c r="V531" i="14"/>
  <c r="X528" i="14"/>
  <c r="V527" i="14"/>
  <c r="X524" i="14"/>
  <c r="V523" i="14"/>
  <c r="X520" i="14"/>
  <c r="V519" i="14"/>
  <c r="X516" i="14"/>
  <c r="V515" i="14"/>
  <c r="AA538" i="14"/>
  <c r="W536" i="14"/>
  <c r="AA530" i="14"/>
  <c r="W528" i="14"/>
  <c r="AA526" i="14"/>
  <c r="W524" i="14"/>
  <c r="W516" i="14"/>
  <c r="AA542" i="14"/>
  <c r="W540" i="14"/>
  <c r="AA534" i="14"/>
  <c r="W532" i="14"/>
  <c r="AA522" i="14"/>
  <c r="W520" i="14"/>
  <c r="AA518" i="14"/>
  <c r="AA514" i="14"/>
  <c r="Z542" i="14"/>
  <c r="V540" i="14"/>
  <c r="Z538" i="14"/>
  <c r="V536" i="14"/>
  <c r="Z534" i="14"/>
  <c r="V532" i="14"/>
  <c r="Z530" i="14"/>
  <c r="V528" i="14"/>
  <c r="Z526" i="14"/>
  <c r="V524" i="14"/>
  <c r="Z522" i="14"/>
  <c r="V520" i="14"/>
  <c r="Z518" i="14"/>
  <c r="V516" i="14"/>
  <c r="Z514" i="14"/>
  <c r="Z543" i="14"/>
  <c r="X542" i="14"/>
  <c r="Z539" i="14"/>
  <c r="X538" i="14"/>
  <c r="Z535" i="14"/>
  <c r="X534" i="14"/>
  <c r="Z531" i="14"/>
  <c r="X530" i="14"/>
  <c r="Z527" i="14"/>
  <c r="X526" i="14"/>
  <c r="Z523" i="14"/>
  <c r="X522" i="14"/>
  <c r="Z519" i="14"/>
  <c r="X518" i="14"/>
  <c r="Z515" i="14"/>
  <c r="X514" i="14"/>
  <c r="AA524" i="14"/>
  <c r="Y543" i="14"/>
  <c r="M70" i="6" l="1"/>
  <c r="B67" i="6"/>
  <c r="L61" i="6"/>
  <c r="M62" i="6"/>
  <c r="L69" i="6"/>
  <c r="B69" i="6"/>
  <c r="M65" i="6"/>
  <c r="B62" i="6"/>
  <c r="L63" i="6"/>
  <c r="M68" i="6"/>
  <c r="M63" i="6"/>
  <c r="B65" i="6"/>
  <c r="B63" i="6"/>
  <c r="B70" i="6"/>
  <c r="M69" i="6"/>
  <c r="M67" i="6"/>
  <c r="L65" i="6"/>
  <c r="L62" i="6"/>
  <c r="M61" i="6"/>
  <c r="B61" i="6"/>
  <c r="L64" i="6"/>
  <c r="B68" i="6"/>
  <c r="B64" i="6"/>
  <c r="L68" i="6"/>
  <c r="M64" i="6"/>
  <c r="L70" i="6"/>
  <c r="L67" i="6"/>
  <c r="K72" i="6"/>
  <c r="K71" i="6"/>
  <c r="B66" i="6" l="1"/>
  <c r="AQ369" i="19"/>
  <c r="AQ360" i="19"/>
  <c r="W357" i="19"/>
  <c r="AQ350" i="19"/>
  <c r="BA341" i="19"/>
  <c r="W338" i="19"/>
  <c r="AQ332" i="19"/>
  <c r="AQ323" i="19"/>
  <c r="W320" i="19"/>
  <c r="AQ310" i="19"/>
  <c r="AQ301" i="19"/>
  <c r="W298" i="19"/>
  <c r="AQ291" i="19"/>
  <c r="BA282" i="19"/>
  <c r="W279" i="19"/>
  <c r="AQ273" i="19"/>
  <c r="AQ264" i="19"/>
  <c r="W261" i="19"/>
  <c r="AQ250" i="19"/>
  <c r="AQ241" i="19"/>
  <c r="W238" i="19"/>
  <c r="AQ231" i="19"/>
  <c r="BA222" i="19"/>
  <c r="W219" i="19"/>
  <c r="AQ213" i="19"/>
  <c r="AQ204" i="19"/>
  <c r="W201" i="19"/>
  <c r="AQ190" i="19"/>
  <c r="AQ181" i="19"/>
  <c r="W178" i="19"/>
  <c r="AQ171" i="19"/>
  <c r="BA162" i="19"/>
  <c r="W159" i="19"/>
  <c r="AQ153" i="19"/>
  <c r="AQ144" i="19"/>
  <c r="W141" i="19"/>
  <c r="AQ128" i="19"/>
  <c r="AQ119" i="19"/>
  <c r="W116" i="19"/>
  <c r="AQ109" i="19"/>
  <c r="BA100" i="19"/>
  <c r="W97" i="19"/>
  <c r="AQ91" i="19"/>
  <c r="AQ82" i="19"/>
  <c r="W79" i="19"/>
  <c r="BA41" i="19"/>
  <c r="AQ69" i="19"/>
  <c r="AQ60" i="19"/>
  <c r="AQ50" i="19"/>
  <c r="AQ32" i="19"/>
  <c r="AQ23" i="19"/>
  <c r="W57" i="19"/>
  <c r="W38" i="19"/>
  <c r="D41" i="6"/>
  <c r="Y78" i="19" s="1"/>
  <c r="W20" i="19"/>
  <c r="Y319" i="19" l="1"/>
  <c r="Y323" i="19"/>
  <c r="Y264" i="19"/>
  <c r="Y260" i="19"/>
  <c r="Y200" i="19"/>
  <c r="Y204" i="19"/>
  <c r="Y140" i="19"/>
  <c r="Y144" i="19"/>
  <c r="Y82" i="19"/>
  <c r="E15" i="18" l="1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14" i="18"/>
  <c r="AL46" i="14" l="1"/>
  <c r="AL45" i="14"/>
  <c r="AL44" i="14"/>
  <c r="AL43" i="14"/>
  <c r="AL48" i="14" l="1"/>
  <c r="AL29" i="14" l="1"/>
  <c r="AL21" i="14"/>
  <c r="AL13" i="14"/>
  <c r="AL5" i="14"/>
  <c r="AL28" i="14"/>
  <c r="AL20" i="14"/>
  <c r="AL12" i="14"/>
  <c r="AL4" i="14"/>
  <c r="AL14" i="14"/>
  <c r="AL27" i="14"/>
  <c r="AL19" i="14"/>
  <c r="AL11" i="14"/>
  <c r="AL3" i="14"/>
  <c r="AL22" i="14"/>
  <c r="AL26" i="14"/>
  <c r="AL18" i="14"/>
  <c r="AL10" i="14"/>
  <c r="AL33" i="14"/>
  <c r="AL25" i="14"/>
  <c r="AL17" i="14"/>
  <c r="AL9" i="14"/>
  <c r="AL32" i="14"/>
  <c r="AL24" i="14"/>
  <c r="AL16" i="14"/>
  <c r="AL8" i="14"/>
  <c r="AL30" i="14"/>
  <c r="AL31" i="14"/>
  <c r="AL23" i="14"/>
  <c r="AL15" i="14"/>
  <c r="AL7" i="14"/>
  <c r="AL6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AC45" i="14" l="1"/>
  <c r="AD45" i="14"/>
  <c r="AE45" i="14"/>
  <c r="AF45" i="14"/>
  <c r="AG45" i="14"/>
  <c r="AH45" i="14"/>
  <c r="AC46" i="14"/>
  <c r="AD46" i="14"/>
  <c r="AE46" i="14"/>
  <c r="AF46" i="14"/>
  <c r="AG46" i="14"/>
  <c r="AH46" i="14"/>
  <c r="AC47" i="14"/>
  <c r="AD47" i="14"/>
  <c r="AE47" i="14"/>
  <c r="AF47" i="14"/>
  <c r="AG47" i="14"/>
  <c r="AH47" i="14"/>
  <c r="AC48" i="14"/>
  <c r="AD48" i="14"/>
  <c r="AE48" i="14"/>
  <c r="AF48" i="14"/>
  <c r="AG48" i="14"/>
  <c r="AH48" i="14"/>
  <c r="AC49" i="14"/>
  <c r="AD49" i="14"/>
  <c r="AE49" i="14"/>
  <c r="AF49" i="14"/>
  <c r="AG49" i="14"/>
  <c r="AH49" i="14"/>
  <c r="AC50" i="14"/>
  <c r="AD50" i="14"/>
  <c r="AE50" i="14"/>
  <c r="AF50" i="14"/>
  <c r="AG50" i="14"/>
  <c r="AH50" i="14"/>
  <c r="AC51" i="14"/>
  <c r="AD51" i="14"/>
  <c r="AE51" i="14"/>
  <c r="AF51" i="14"/>
  <c r="AG51" i="14"/>
  <c r="AH51" i="14"/>
  <c r="AC52" i="14"/>
  <c r="AD52" i="14"/>
  <c r="AE52" i="14"/>
  <c r="AF52" i="14"/>
  <c r="AG52" i="14"/>
  <c r="AH52" i="14"/>
  <c r="AC53" i="14"/>
  <c r="AD53" i="14"/>
  <c r="AE53" i="14"/>
  <c r="AF53" i="14"/>
  <c r="AG53" i="14"/>
  <c r="AH53" i="14"/>
  <c r="AC54" i="14"/>
  <c r="AD54" i="14"/>
  <c r="AE54" i="14"/>
  <c r="AF54" i="14"/>
  <c r="AG54" i="14"/>
  <c r="AH54" i="14"/>
  <c r="AC55" i="14"/>
  <c r="AD55" i="14"/>
  <c r="AE55" i="14"/>
  <c r="AF55" i="14"/>
  <c r="AG55" i="14"/>
  <c r="AH55" i="14"/>
  <c r="AC56" i="14"/>
  <c r="AD56" i="14"/>
  <c r="AE56" i="14"/>
  <c r="AF56" i="14"/>
  <c r="AG56" i="14"/>
  <c r="AH56" i="14"/>
  <c r="AC57" i="14"/>
  <c r="AD57" i="14"/>
  <c r="AE57" i="14"/>
  <c r="AF57" i="14"/>
  <c r="AG57" i="14"/>
  <c r="AH57" i="14"/>
  <c r="AC58" i="14"/>
  <c r="AD58" i="14"/>
  <c r="AE58" i="14"/>
  <c r="AF58" i="14"/>
  <c r="AG58" i="14"/>
  <c r="AH58" i="14"/>
  <c r="AC59" i="14"/>
  <c r="AD59" i="14"/>
  <c r="AE59" i="14"/>
  <c r="AF59" i="14"/>
  <c r="AG59" i="14"/>
  <c r="AH59" i="14"/>
  <c r="AC60" i="14"/>
  <c r="AD60" i="14"/>
  <c r="AE60" i="14"/>
  <c r="AF60" i="14"/>
  <c r="AG60" i="14"/>
  <c r="AH60" i="14"/>
  <c r="AC61" i="14"/>
  <c r="AD61" i="14"/>
  <c r="AE61" i="14"/>
  <c r="AF61" i="14"/>
  <c r="AG61" i="14"/>
  <c r="AH61" i="14"/>
  <c r="AC62" i="14"/>
  <c r="AD62" i="14"/>
  <c r="AE62" i="14"/>
  <c r="AF62" i="14"/>
  <c r="AG62" i="14"/>
  <c r="AH62" i="14"/>
  <c r="AC63" i="14"/>
  <c r="AD63" i="14"/>
  <c r="AE63" i="14"/>
  <c r="AF63" i="14"/>
  <c r="AG63" i="14"/>
  <c r="AH63" i="14"/>
  <c r="AC64" i="14"/>
  <c r="AD64" i="14"/>
  <c r="AE64" i="14"/>
  <c r="AF64" i="14"/>
  <c r="AG64" i="14"/>
  <c r="AH64" i="14"/>
  <c r="AC65" i="14"/>
  <c r="AD65" i="14"/>
  <c r="AE65" i="14"/>
  <c r="AF65" i="14"/>
  <c r="AG65" i="14"/>
  <c r="AH65" i="14"/>
  <c r="AC66" i="14"/>
  <c r="AD66" i="14"/>
  <c r="AE66" i="14"/>
  <c r="AF66" i="14"/>
  <c r="AG66" i="14"/>
  <c r="AH66" i="14"/>
  <c r="AC67" i="14"/>
  <c r="AD67" i="14"/>
  <c r="AE67" i="14"/>
  <c r="AF67" i="14"/>
  <c r="AG67" i="14"/>
  <c r="AH67" i="14"/>
  <c r="AC68" i="14"/>
  <c r="AD68" i="14"/>
  <c r="AE68" i="14"/>
  <c r="AF68" i="14"/>
  <c r="AG68" i="14"/>
  <c r="AH68" i="14"/>
  <c r="AC69" i="14"/>
  <c r="AD69" i="14"/>
  <c r="AE69" i="14"/>
  <c r="AF69" i="14"/>
  <c r="AG69" i="14"/>
  <c r="AH69" i="14"/>
  <c r="AC70" i="14"/>
  <c r="AD70" i="14"/>
  <c r="AE70" i="14"/>
  <c r="AF70" i="14"/>
  <c r="AG70" i="14"/>
  <c r="AH70" i="14"/>
  <c r="AC71" i="14"/>
  <c r="AD71" i="14"/>
  <c r="AE71" i="14"/>
  <c r="AF71" i="14"/>
  <c r="AG71" i="14"/>
  <c r="AH71" i="14"/>
  <c r="AC72" i="14"/>
  <c r="AD72" i="14"/>
  <c r="AE72" i="14"/>
  <c r="AF72" i="14"/>
  <c r="AG72" i="14"/>
  <c r="AH72" i="14"/>
  <c r="AC73" i="14"/>
  <c r="AD73" i="14"/>
  <c r="AE73" i="14"/>
  <c r="AF73" i="14"/>
  <c r="AG73" i="14"/>
  <c r="AH73" i="14"/>
  <c r="AC74" i="14"/>
  <c r="AD74" i="14"/>
  <c r="AE74" i="14"/>
  <c r="AF74" i="14"/>
  <c r="AG74" i="14"/>
  <c r="AH74" i="14"/>
  <c r="AC75" i="14"/>
  <c r="AD75" i="14"/>
  <c r="AE75" i="14"/>
  <c r="AF75" i="14"/>
  <c r="AG75" i="14"/>
  <c r="AH75" i="14"/>
  <c r="AC76" i="14"/>
  <c r="AD76" i="14"/>
  <c r="AE76" i="14"/>
  <c r="AF76" i="14"/>
  <c r="AG76" i="14"/>
  <c r="AH76" i="14"/>
  <c r="AC77" i="14"/>
  <c r="AD77" i="14"/>
  <c r="AE77" i="14"/>
  <c r="AF77" i="14"/>
  <c r="AG77" i="14"/>
  <c r="AH77" i="14"/>
  <c r="AC78" i="14"/>
  <c r="AD78" i="14"/>
  <c r="AE78" i="14"/>
  <c r="AF78" i="14"/>
  <c r="AG78" i="14"/>
  <c r="AH78" i="14"/>
  <c r="AC79" i="14"/>
  <c r="AD79" i="14"/>
  <c r="AE79" i="14"/>
  <c r="AF79" i="14"/>
  <c r="AG79" i="14"/>
  <c r="AH79" i="14"/>
  <c r="AC80" i="14"/>
  <c r="AD80" i="14"/>
  <c r="AE80" i="14"/>
  <c r="AF80" i="14"/>
  <c r="AG80" i="14"/>
  <c r="AH80" i="14"/>
  <c r="AC81" i="14"/>
  <c r="AD81" i="14"/>
  <c r="AE81" i="14"/>
  <c r="AF81" i="14"/>
  <c r="AG81" i="14"/>
  <c r="AH81" i="14"/>
  <c r="AC82" i="14"/>
  <c r="AD82" i="14"/>
  <c r="AE82" i="14"/>
  <c r="AF82" i="14"/>
  <c r="AG82" i="14"/>
  <c r="AH82" i="14"/>
  <c r="AC83" i="14"/>
  <c r="AD83" i="14"/>
  <c r="AE83" i="14"/>
  <c r="AF83" i="14"/>
  <c r="AG83" i="14"/>
  <c r="AH83" i="14"/>
  <c r="AC84" i="14"/>
  <c r="AD84" i="14"/>
  <c r="AE84" i="14"/>
  <c r="AF84" i="14"/>
  <c r="AG84" i="14"/>
  <c r="AH84" i="14"/>
  <c r="AC85" i="14"/>
  <c r="AD85" i="14"/>
  <c r="AE85" i="14"/>
  <c r="AF85" i="14"/>
  <c r="AG85" i="14"/>
  <c r="AH85" i="14"/>
  <c r="AC86" i="14"/>
  <c r="AD86" i="14"/>
  <c r="AE86" i="14"/>
  <c r="AF86" i="14"/>
  <c r="AG86" i="14"/>
  <c r="AH86" i="14"/>
  <c r="AC87" i="14"/>
  <c r="AD87" i="14"/>
  <c r="AE87" i="14"/>
  <c r="AF87" i="14"/>
  <c r="AG87" i="14"/>
  <c r="AH87" i="14"/>
  <c r="AC88" i="14"/>
  <c r="AD88" i="14"/>
  <c r="AE88" i="14"/>
  <c r="AF88" i="14"/>
  <c r="AG88" i="14"/>
  <c r="AH88" i="14"/>
  <c r="AC89" i="14"/>
  <c r="AD89" i="14"/>
  <c r="AE89" i="14"/>
  <c r="AF89" i="14"/>
  <c r="AG89" i="14"/>
  <c r="AH89" i="14"/>
  <c r="AC90" i="14"/>
  <c r="AD90" i="14"/>
  <c r="AE90" i="14"/>
  <c r="AF90" i="14"/>
  <c r="AG90" i="14"/>
  <c r="AH90" i="14"/>
  <c r="AC91" i="14"/>
  <c r="AD91" i="14"/>
  <c r="AE91" i="14"/>
  <c r="AF91" i="14"/>
  <c r="AG91" i="14"/>
  <c r="AH91" i="14"/>
  <c r="AC92" i="14"/>
  <c r="AD92" i="14"/>
  <c r="AE92" i="14"/>
  <c r="AF92" i="14"/>
  <c r="AG92" i="14"/>
  <c r="AH92" i="14"/>
  <c r="AC93" i="14"/>
  <c r="AD93" i="14"/>
  <c r="AE93" i="14"/>
  <c r="AF93" i="14"/>
  <c r="AG93" i="14"/>
  <c r="AH93" i="14"/>
  <c r="AC94" i="14"/>
  <c r="AD94" i="14"/>
  <c r="AE94" i="14"/>
  <c r="AF94" i="14"/>
  <c r="AG94" i="14"/>
  <c r="AH94" i="14"/>
  <c r="AC95" i="14"/>
  <c r="AD95" i="14"/>
  <c r="AE95" i="14"/>
  <c r="AF95" i="14"/>
  <c r="AG95" i="14"/>
  <c r="AH95" i="14"/>
  <c r="AC96" i="14"/>
  <c r="AD96" i="14"/>
  <c r="AE96" i="14"/>
  <c r="AF96" i="14"/>
  <c r="AG96" i="14"/>
  <c r="AH96" i="14"/>
  <c r="AC97" i="14"/>
  <c r="AD97" i="14"/>
  <c r="AE97" i="14"/>
  <c r="AF97" i="14"/>
  <c r="AG97" i="14"/>
  <c r="AH97" i="14"/>
  <c r="AC98" i="14"/>
  <c r="AD98" i="14"/>
  <c r="AE98" i="14"/>
  <c r="AF98" i="14"/>
  <c r="AG98" i="14"/>
  <c r="AH98" i="14"/>
  <c r="AC99" i="14"/>
  <c r="AD99" i="14"/>
  <c r="AE99" i="14"/>
  <c r="AF99" i="14"/>
  <c r="AG99" i="14"/>
  <c r="AH99" i="14"/>
  <c r="AC100" i="14"/>
  <c r="AD100" i="14"/>
  <c r="AE100" i="14"/>
  <c r="AF100" i="14"/>
  <c r="AG100" i="14"/>
  <c r="AH100" i="14"/>
  <c r="AC101" i="14"/>
  <c r="AD101" i="14"/>
  <c r="AE101" i="14"/>
  <c r="AF101" i="14"/>
  <c r="AG101" i="14"/>
  <c r="AH101" i="14"/>
  <c r="AC102" i="14"/>
  <c r="AD102" i="14"/>
  <c r="AE102" i="14"/>
  <c r="AF102" i="14"/>
  <c r="AG102" i="14"/>
  <c r="AH102" i="14"/>
  <c r="AC103" i="14"/>
  <c r="AD103" i="14"/>
  <c r="AE103" i="14"/>
  <c r="AF103" i="14"/>
  <c r="AG103" i="14"/>
  <c r="AH103" i="14"/>
  <c r="AC104" i="14"/>
  <c r="AD104" i="14"/>
  <c r="AE104" i="14"/>
  <c r="AF104" i="14"/>
  <c r="AG104" i="14"/>
  <c r="AH104" i="14"/>
  <c r="AC105" i="14"/>
  <c r="AD105" i="14"/>
  <c r="AE105" i="14"/>
  <c r="AF105" i="14"/>
  <c r="AG105" i="14"/>
  <c r="AH105" i="14"/>
  <c r="AC106" i="14"/>
  <c r="AD106" i="14"/>
  <c r="AE106" i="14"/>
  <c r="AF106" i="14"/>
  <c r="AG106" i="14"/>
  <c r="AH106" i="14"/>
  <c r="AC107" i="14"/>
  <c r="AD107" i="14"/>
  <c r="AE107" i="14"/>
  <c r="AF107" i="14"/>
  <c r="AG107" i="14"/>
  <c r="AH107" i="14"/>
  <c r="AC108" i="14"/>
  <c r="AD108" i="14"/>
  <c r="AE108" i="14"/>
  <c r="AF108" i="14"/>
  <c r="AG108" i="14"/>
  <c r="AH108" i="14"/>
  <c r="AC109" i="14"/>
  <c r="AD109" i="14"/>
  <c r="AE109" i="14"/>
  <c r="AF109" i="14"/>
  <c r="AG109" i="14"/>
  <c r="AH109" i="14"/>
  <c r="AC110" i="14"/>
  <c r="AD110" i="14"/>
  <c r="AE110" i="14"/>
  <c r="AF110" i="14"/>
  <c r="AG110" i="14"/>
  <c r="AH110" i="14"/>
  <c r="AC111" i="14"/>
  <c r="AD111" i="14"/>
  <c r="AE111" i="14"/>
  <c r="AF111" i="14"/>
  <c r="AG111" i="14"/>
  <c r="AH111" i="14"/>
  <c r="AC112" i="14"/>
  <c r="AD112" i="14"/>
  <c r="AE112" i="14"/>
  <c r="AF112" i="14"/>
  <c r="AG112" i="14"/>
  <c r="AH112" i="14"/>
  <c r="AC113" i="14"/>
  <c r="AD113" i="14"/>
  <c r="AE113" i="14"/>
  <c r="AF113" i="14"/>
  <c r="AG113" i="14"/>
  <c r="AH113" i="14"/>
  <c r="AC114" i="14"/>
  <c r="AD114" i="14"/>
  <c r="AE114" i="14"/>
  <c r="AF114" i="14"/>
  <c r="AG114" i="14"/>
  <c r="AH114" i="14"/>
  <c r="AC115" i="14"/>
  <c r="AD115" i="14"/>
  <c r="AE115" i="14"/>
  <c r="AF115" i="14"/>
  <c r="AG115" i="14"/>
  <c r="AH115" i="14"/>
  <c r="AC116" i="14"/>
  <c r="AD116" i="14"/>
  <c r="AE116" i="14"/>
  <c r="AF116" i="14"/>
  <c r="AG116" i="14"/>
  <c r="AH116" i="14"/>
  <c r="AC117" i="14"/>
  <c r="AD117" i="14"/>
  <c r="AE117" i="14"/>
  <c r="AF117" i="14"/>
  <c r="AG117" i="14"/>
  <c r="AH117" i="14"/>
  <c r="AC118" i="14"/>
  <c r="AD118" i="14"/>
  <c r="AE118" i="14"/>
  <c r="AF118" i="14"/>
  <c r="AG118" i="14"/>
  <c r="AH118" i="14"/>
  <c r="AC119" i="14"/>
  <c r="AD119" i="14"/>
  <c r="AE119" i="14"/>
  <c r="AF119" i="14"/>
  <c r="AG119" i="14"/>
  <c r="AH119" i="14"/>
  <c r="AC120" i="14"/>
  <c r="AD120" i="14"/>
  <c r="AE120" i="14"/>
  <c r="AF120" i="14"/>
  <c r="AG120" i="14"/>
  <c r="AH120" i="14"/>
  <c r="AC121" i="14"/>
  <c r="AD121" i="14"/>
  <c r="AE121" i="14"/>
  <c r="AF121" i="14"/>
  <c r="AG121" i="14"/>
  <c r="AH121" i="14"/>
  <c r="AC122" i="14"/>
  <c r="AD122" i="14"/>
  <c r="AE122" i="14"/>
  <c r="AF122" i="14"/>
  <c r="AG122" i="14"/>
  <c r="AH122" i="14"/>
  <c r="AC123" i="14"/>
  <c r="AD123" i="14"/>
  <c r="AE123" i="14"/>
  <c r="AF123" i="14"/>
  <c r="AG123" i="14"/>
  <c r="AH123" i="14"/>
  <c r="AC124" i="14"/>
  <c r="AD124" i="14"/>
  <c r="AE124" i="14"/>
  <c r="AF124" i="14"/>
  <c r="AG124" i="14"/>
  <c r="AH124" i="14"/>
  <c r="AC125" i="14"/>
  <c r="AD125" i="14"/>
  <c r="AE125" i="14"/>
  <c r="AF125" i="14"/>
  <c r="AG125" i="14"/>
  <c r="AH125" i="14"/>
  <c r="AC126" i="14"/>
  <c r="AD126" i="14"/>
  <c r="AE126" i="14"/>
  <c r="AF126" i="14"/>
  <c r="AG126" i="14"/>
  <c r="AH126" i="14"/>
  <c r="AC127" i="14"/>
  <c r="AD127" i="14"/>
  <c r="AE127" i="14"/>
  <c r="AF127" i="14"/>
  <c r="AG127" i="14"/>
  <c r="AH127" i="14"/>
  <c r="AC128" i="14"/>
  <c r="AD128" i="14"/>
  <c r="AE128" i="14"/>
  <c r="AF128" i="14"/>
  <c r="AG128" i="14"/>
  <c r="AH128" i="14"/>
  <c r="AC129" i="14"/>
  <c r="AD129" i="14"/>
  <c r="AE129" i="14"/>
  <c r="AF129" i="14"/>
  <c r="AG129" i="14"/>
  <c r="AH129" i="14"/>
  <c r="AC130" i="14"/>
  <c r="AD130" i="14"/>
  <c r="AE130" i="14"/>
  <c r="AF130" i="14"/>
  <c r="AG130" i="14"/>
  <c r="AH130" i="14"/>
  <c r="AC131" i="14"/>
  <c r="AD131" i="14"/>
  <c r="AE131" i="14"/>
  <c r="AF131" i="14"/>
  <c r="AG131" i="14"/>
  <c r="AH131" i="14"/>
  <c r="AC132" i="14"/>
  <c r="AD132" i="14"/>
  <c r="AE132" i="14"/>
  <c r="AF132" i="14"/>
  <c r="AG132" i="14"/>
  <c r="AH132" i="14"/>
  <c r="AC133" i="14"/>
  <c r="AD133" i="14"/>
  <c r="AE133" i="14"/>
  <c r="AF133" i="14"/>
  <c r="AG133" i="14"/>
  <c r="AH133" i="14"/>
  <c r="AC134" i="14"/>
  <c r="AD134" i="14"/>
  <c r="AE134" i="14"/>
  <c r="AF134" i="14"/>
  <c r="AG134" i="14"/>
  <c r="AH134" i="14"/>
  <c r="AC135" i="14"/>
  <c r="AD135" i="14"/>
  <c r="AE135" i="14"/>
  <c r="AF135" i="14"/>
  <c r="AG135" i="14"/>
  <c r="AH135" i="14"/>
  <c r="AC136" i="14"/>
  <c r="AD136" i="14"/>
  <c r="AE136" i="14"/>
  <c r="AF136" i="14"/>
  <c r="AG136" i="14"/>
  <c r="AH136" i="14"/>
  <c r="AC137" i="14"/>
  <c r="AD137" i="14"/>
  <c r="AE137" i="14"/>
  <c r="AF137" i="14"/>
  <c r="AG137" i="14"/>
  <c r="AH137" i="14"/>
  <c r="AC138" i="14"/>
  <c r="AD138" i="14"/>
  <c r="AE138" i="14"/>
  <c r="AF138" i="14"/>
  <c r="AG138" i="14"/>
  <c r="AH138" i="14"/>
  <c r="AC139" i="14"/>
  <c r="AD139" i="14"/>
  <c r="AE139" i="14"/>
  <c r="AF139" i="14"/>
  <c r="AG139" i="14"/>
  <c r="AH139" i="14"/>
  <c r="AC140" i="14"/>
  <c r="AD140" i="14"/>
  <c r="AE140" i="14"/>
  <c r="AF140" i="14"/>
  <c r="AG140" i="14"/>
  <c r="AH140" i="14"/>
  <c r="AC141" i="14"/>
  <c r="AD141" i="14"/>
  <c r="AE141" i="14"/>
  <c r="AF141" i="14"/>
  <c r="AG141" i="14"/>
  <c r="AH141" i="14"/>
  <c r="AC142" i="14"/>
  <c r="AD142" i="14"/>
  <c r="AE142" i="14"/>
  <c r="AF142" i="14"/>
  <c r="AG142" i="14"/>
  <c r="AH142" i="14"/>
  <c r="AC143" i="14"/>
  <c r="AD143" i="14"/>
  <c r="AE143" i="14"/>
  <c r="AF143" i="14"/>
  <c r="AG143" i="14"/>
  <c r="AH143" i="14"/>
  <c r="AC144" i="14"/>
  <c r="AD144" i="14"/>
  <c r="AE144" i="14"/>
  <c r="AF144" i="14"/>
  <c r="AG144" i="14"/>
  <c r="AH144" i="14"/>
  <c r="AC145" i="14"/>
  <c r="AD145" i="14"/>
  <c r="AE145" i="14"/>
  <c r="AF145" i="14"/>
  <c r="AG145" i="14"/>
  <c r="AH145" i="14"/>
  <c r="AC146" i="14"/>
  <c r="AD146" i="14"/>
  <c r="AE146" i="14"/>
  <c r="AF146" i="14"/>
  <c r="AG146" i="14"/>
  <c r="AH146" i="14"/>
  <c r="AC147" i="14"/>
  <c r="AD147" i="14"/>
  <c r="AE147" i="14"/>
  <c r="AF147" i="14"/>
  <c r="AG147" i="14"/>
  <c r="AH147" i="14"/>
  <c r="AC148" i="14"/>
  <c r="AD148" i="14"/>
  <c r="AE148" i="14"/>
  <c r="AF148" i="14"/>
  <c r="AG148" i="14"/>
  <c r="AH148" i="14"/>
  <c r="AC149" i="14"/>
  <c r="AD149" i="14"/>
  <c r="AE149" i="14"/>
  <c r="AF149" i="14"/>
  <c r="AG149" i="14"/>
  <c r="AH149" i="14"/>
  <c r="AC150" i="14"/>
  <c r="AD150" i="14"/>
  <c r="AE150" i="14"/>
  <c r="AF150" i="14"/>
  <c r="AG150" i="14"/>
  <c r="AH150" i="14"/>
  <c r="AC151" i="14"/>
  <c r="AD151" i="14"/>
  <c r="AE151" i="14"/>
  <c r="AF151" i="14"/>
  <c r="AG151" i="14"/>
  <c r="AH151" i="14"/>
  <c r="AC152" i="14"/>
  <c r="AD152" i="14"/>
  <c r="AE152" i="14"/>
  <c r="AF152" i="14"/>
  <c r="AG152" i="14"/>
  <c r="AH152" i="14"/>
  <c r="AC153" i="14"/>
  <c r="AD153" i="14"/>
  <c r="AE153" i="14"/>
  <c r="AF153" i="14"/>
  <c r="AG153" i="14"/>
  <c r="AH153" i="14"/>
  <c r="AC154" i="14"/>
  <c r="AD154" i="14"/>
  <c r="AE154" i="14"/>
  <c r="AF154" i="14"/>
  <c r="AG154" i="14"/>
  <c r="AH154" i="14"/>
  <c r="AC155" i="14"/>
  <c r="AD155" i="14"/>
  <c r="AE155" i="14"/>
  <c r="AF155" i="14"/>
  <c r="AG155" i="14"/>
  <c r="AH155" i="14"/>
  <c r="AC156" i="14"/>
  <c r="AD156" i="14"/>
  <c r="AE156" i="14"/>
  <c r="AF156" i="14"/>
  <c r="AG156" i="14"/>
  <c r="AH156" i="14"/>
  <c r="AC157" i="14"/>
  <c r="AD157" i="14"/>
  <c r="AE157" i="14"/>
  <c r="AF157" i="14"/>
  <c r="AG157" i="14"/>
  <c r="AH157" i="14"/>
  <c r="AC158" i="14"/>
  <c r="AD158" i="14"/>
  <c r="AE158" i="14"/>
  <c r="AF158" i="14"/>
  <c r="AG158" i="14"/>
  <c r="AH158" i="14"/>
  <c r="AC159" i="14"/>
  <c r="AD159" i="14"/>
  <c r="AE159" i="14"/>
  <c r="AF159" i="14"/>
  <c r="AG159" i="14"/>
  <c r="AH159" i="14"/>
  <c r="AC160" i="14"/>
  <c r="AD160" i="14"/>
  <c r="AE160" i="14"/>
  <c r="AF160" i="14"/>
  <c r="AG160" i="14"/>
  <c r="AH160" i="14"/>
  <c r="AC161" i="14"/>
  <c r="AD161" i="14"/>
  <c r="AE161" i="14"/>
  <c r="AF161" i="14"/>
  <c r="AG161" i="14"/>
  <c r="AH161" i="14"/>
  <c r="AC162" i="14"/>
  <c r="AD162" i="14"/>
  <c r="AE162" i="14"/>
  <c r="AF162" i="14"/>
  <c r="AG162" i="14"/>
  <c r="AH162" i="14"/>
  <c r="AC163" i="14"/>
  <c r="AD163" i="14"/>
  <c r="AE163" i="14"/>
  <c r="AF163" i="14"/>
  <c r="AG163" i="14"/>
  <c r="AH163" i="14"/>
  <c r="AC164" i="14"/>
  <c r="AD164" i="14"/>
  <c r="AE164" i="14"/>
  <c r="AF164" i="14"/>
  <c r="AG164" i="14"/>
  <c r="AH164" i="14"/>
  <c r="AC165" i="14"/>
  <c r="AD165" i="14"/>
  <c r="AE165" i="14"/>
  <c r="AF165" i="14"/>
  <c r="AG165" i="14"/>
  <c r="AH165" i="14"/>
  <c r="AC166" i="14"/>
  <c r="AD166" i="14"/>
  <c r="AE166" i="14"/>
  <c r="AF166" i="14"/>
  <c r="AG166" i="14"/>
  <c r="AH166" i="14"/>
  <c r="AC167" i="14"/>
  <c r="AD167" i="14"/>
  <c r="AE167" i="14"/>
  <c r="AF167" i="14"/>
  <c r="AG167" i="14"/>
  <c r="AH167" i="14"/>
  <c r="AC168" i="14"/>
  <c r="AD168" i="14"/>
  <c r="AE168" i="14"/>
  <c r="AF168" i="14"/>
  <c r="AG168" i="14"/>
  <c r="AH168" i="14"/>
  <c r="AC169" i="14"/>
  <c r="AD169" i="14"/>
  <c r="AE169" i="14"/>
  <c r="AF169" i="14"/>
  <c r="AG169" i="14"/>
  <c r="AH169" i="14"/>
  <c r="AC170" i="14"/>
  <c r="AD170" i="14"/>
  <c r="AE170" i="14"/>
  <c r="AF170" i="14"/>
  <c r="AG170" i="14"/>
  <c r="AH170" i="14"/>
  <c r="AC171" i="14"/>
  <c r="AD171" i="14"/>
  <c r="AE171" i="14"/>
  <c r="AF171" i="14"/>
  <c r="AG171" i="14"/>
  <c r="AH171" i="14"/>
  <c r="AC172" i="14"/>
  <c r="AD172" i="14"/>
  <c r="AE172" i="14"/>
  <c r="AF172" i="14"/>
  <c r="AG172" i="14"/>
  <c r="AH172" i="14"/>
  <c r="AC173" i="14"/>
  <c r="AD173" i="14"/>
  <c r="AE173" i="14"/>
  <c r="AF173" i="14"/>
  <c r="AG173" i="14"/>
  <c r="AH173" i="14"/>
  <c r="AC174" i="14"/>
  <c r="AD174" i="14"/>
  <c r="AE174" i="14"/>
  <c r="AF174" i="14"/>
  <c r="AG174" i="14"/>
  <c r="AH174" i="14"/>
  <c r="AC175" i="14"/>
  <c r="AD175" i="14"/>
  <c r="AE175" i="14"/>
  <c r="AF175" i="14"/>
  <c r="AG175" i="14"/>
  <c r="AH175" i="14"/>
  <c r="AC176" i="14"/>
  <c r="AD176" i="14"/>
  <c r="AE176" i="14"/>
  <c r="AF176" i="14"/>
  <c r="AG176" i="14"/>
  <c r="AH176" i="14"/>
  <c r="AC177" i="14"/>
  <c r="AD177" i="14"/>
  <c r="AE177" i="14"/>
  <c r="AF177" i="14"/>
  <c r="AG177" i="14"/>
  <c r="AH177" i="14"/>
  <c r="AC178" i="14"/>
  <c r="AD178" i="14"/>
  <c r="AE178" i="14"/>
  <c r="AF178" i="14"/>
  <c r="AG178" i="14"/>
  <c r="AH178" i="14"/>
  <c r="AC179" i="14"/>
  <c r="AD179" i="14"/>
  <c r="AE179" i="14"/>
  <c r="AF179" i="14"/>
  <c r="AG179" i="14"/>
  <c r="AH179" i="14"/>
  <c r="AC180" i="14"/>
  <c r="AD180" i="14"/>
  <c r="AE180" i="14"/>
  <c r="AF180" i="14"/>
  <c r="AG180" i="14"/>
  <c r="AH180" i="14"/>
  <c r="AC181" i="14"/>
  <c r="AD181" i="14"/>
  <c r="AE181" i="14"/>
  <c r="AF181" i="14"/>
  <c r="AG181" i="14"/>
  <c r="AH181" i="14"/>
  <c r="AC182" i="14"/>
  <c r="AD182" i="14"/>
  <c r="AE182" i="14"/>
  <c r="AF182" i="14"/>
  <c r="AG182" i="14"/>
  <c r="AH182" i="14"/>
  <c r="AC183" i="14"/>
  <c r="AD183" i="14"/>
  <c r="AE183" i="14"/>
  <c r="AF183" i="14"/>
  <c r="AG183" i="14"/>
  <c r="AH183" i="14"/>
  <c r="AC184" i="14"/>
  <c r="AD184" i="14"/>
  <c r="AE184" i="14"/>
  <c r="AF184" i="14"/>
  <c r="AG184" i="14"/>
  <c r="AH184" i="14"/>
  <c r="AC185" i="14"/>
  <c r="AD185" i="14"/>
  <c r="AE185" i="14"/>
  <c r="AF185" i="14"/>
  <c r="AG185" i="14"/>
  <c r="AH185" i="14"/>
  <c r="AC186" i="14"/>
  <c r="AD186" i="14"/>
  <c r="AE186" i="14"/>
  <c r="AF186" i="14"/>
  <c r="AG186" i="14"/>
  <c r="AH186" i="14"/>
  <c r="AC187" i="14"/>
  <c r="AD187" i="14"/>
  <c r="AE187" i="14"/>
  <c r="AF187" i="14"/>
  <c r="AG187" i="14"/>
  <c r="AH187" i="14"/>
  <c r="AC188" i="14"/>
  <c r="AD188" i="14"/>
  <c r="AE188" i="14"/>
  <c r="AF188" i="14"/>
  <c r="AG188" i="14"/>
  <c r="AH188" i="14"/>
  <c r="AC189" i="14"/>
  <c r="AD189" i="14"/>
  <c r="AE189" i="14"/>
  <c r="AF189" i="14"/>
  <c r="AG189" i="14"/>
  <c r="AH189" i="14"/>
  <c r="AC190" i="14"/>
  <c r="AD190" i="14"/>
  <c r="AE190" i="14"/>
  <c r="AF190" i="14"/>
  <c r="AG190" i="14"/>
  <c r="AH190" i="14"/>
  <c r="AC191" i="14"/>
  <c r="AD191" i="14"/>
  <c r="AE191" i="14"/>
  <c r="AF191" i="14"/>
  <c r="AG191" i="14"/>
  <c r="AH191" i="14"/>
  <c r="AC192" i="14"/>
  <c r="AD192" i="14"/>
  <c r="AE192" i="14"/>
  <c r="AF192" i="14"/>
  <c r="AG192" i="14"/>
  <c r="AH192" i="14"/>
  <c r="AC193" i="14"/>
  <c r="AD193" i="14"/>
  <c r="AE193" i="14"/>
  <c r="AF193" i="14"/>
  <c r="AG193" i="14"/>
  <c r="AH193" i="14"/>
  <c r="AC194" i="14"/>
  <c r="AD194" i="14"/>
  <c r="AE194" i="14"/>
  <c r="AF194" i="14"/>
  <c r="AG194" i="14"/>
  <c r="AH194" i="14"/>
  <c r="AC195" i="14"/>
  <c r="AD195" i="14"/>
  <c r="AE195" i="14"/>
  <c r="AF195" i="14"/>
  <c r="AG195" i="14"/>
  <c r="AH195" i="14"/>
  <c r="AC196" i="14"/>
  <c r="AD196" i="14"/>
  <c r="AE196" i="14"/>
  <c r="AF196" i="14"/>
  <c r="AG196" i="14"/>
  <c r="AH196" i="14"/>
  <c r="AC197" i="14"/>
  <c r="AD197" i="14"/>
  <c r="AE197" i="14"/>
  <c r="AF197" i="14"/>
  <c r="AG197" i="14"/>
  <c r="AH197" i="14"/>
  <c r="AC198" i="14"/>
  <c r="AD198" i="14"/>
  <c r="AE198" i="14"/>
  <c r="AF198" i="14"/>
  <c r="AG198" i="14"/>
  <c r="AH198" i="14"/>
  <c r="AC199" i="14"/>
  <c r="AD199" i="14"/>
  <c r="AE199" i="14"/>
  <c r="AF199" i="14"/>
  <c r="AG199" i="14"/>
  <c r="AH199" i="14"/>
  <c r="AC200" i="14"/>
  <c r="AD200" i="14"/>
  <c r="AE200" i="14"/>
  <c r="AF200" i="14"/>
  <c r="AG200" i="14"/>
  <c r="AH200" i="14"/>
  <c r="AC201" i="14"/>
  <c r="AD201" i="14"/>
  <c r="AE201" i="14"/>
  <c r="AF201" i="14"/>
  <c r="AG201" i="14"/>
  <c r="AH201" i="14"/>
  <c r="AC202" i="14"/>
  <c r="AD202" i="14"/>
  <c r="AE202" i="14"/>
  <c r="AF202" i="14"/>
  <c r="AG202" i="14"/>
  <c r="AH202" i="14"/>
  <c r="AC203" i="14"/>
  <c r="AD203" i="14"/>
  <c r="AE203" i="14"/>
  <c r="AF203" i="14"/>
  <c r="AG203" i="14"/>
  <c r="AH203" i="14"/>
  <c r="AC204" i="14"/>
  <c r="AD204" i="14"/>
  <c r="AE204" i="14"/>
  <c r="AF204" i="14"/>
  <c r="AG204" i="14"/>
  <c r="AH204" i="14"/>
  <c r="AC205" i="14"/>
  <c r="AD205" i="14"/>
  <c r="AE205" i="14"/>
  <c r="AF205" i="14"/>
  <c r="AG205" i="14"/>
  <c r="AH205" i="14"/>
  <c r="AC206" i="14"/>
  <c r="AD206" i="14"/>
  <c r="AE206" i="14"/>
  <c r="AF206" i="14"/>
  <c r="AG206" i="14"/>
  <c r="AH206" i="14"/>
  <c r="AC207" i="14"/>
  <c r="AD207" i="14"/>
  <c r="AE207" i="14"/>
  <c r="AF207" i="14"/>
  <c r="AG207" i="14"/>
  <c r="AH207" i="14"/>
  <c r="AC208" i="14"/>
  <c r="AD208" i="14"/>
  <c r="AE208" i="14"/>
  <c r="AF208" i="14"/>
  <c r="AG208" i="14"/>
  <c r="AH208" i="14"/>
  <c r="AC209" i="14"/>
  <c r="AD209" i="14"/>
  <c r="AE209" i="14"/>
  <c r="AF209" i="14"/>
  <c r="AG209" i="14"/>
  <c r="AH209" i="14"/>
  <c r="AC210" i="14"/>
  <c r="AD210" i="14"/>
  <c r="AE210" i="14"/>
  <c r="AF210" i="14"/>
  <c r="AG210" i="14"/>
  <c r="AH210" i="14"/>
  <c r="AC211" i="14"/>
  <c r="AD211" i="14"/>
  <c r="AE211" i="14"/>
  <c r="AF211" i="14"/>
  <c r="AG211" i="14"/>
  <c r="AH211" i="14"/>
  <c r="AC212" i="14"/>
  <c r="AD212" i="14"/>
  <c r="AE212" i="14"/>
  <c r="AF212" i="14"/>
  <c r="AG212" i="14"/>
  <c r="AH212" i="14"/>
  <c r="AC213" i="14"/>
  <c r="AD213" i="14"/>
  <c r="AE213" i="14"/>
  <c r="AF213" i="14"/>
  <c r="AG213" i="14"/>
  <c r="AH213" i="14"/>
  <c r="AC214" i="14"/>
  <c r="AD214" i="14"/>
  <c r="AE214" i="14"/>
  <c r="AF214" i="14"/>
  <c r="AG214" i="14"/>
  <c r="AH214" i="14"/>
  <c r="AC215" i="14"/>
  <c r="AD215" i="14"/>
  <c r="AE215" i="14"/>
  <c r="AF215" i="14"/>
  <c r="AG215" i="14"/>
  <c r="AH215" i="14"/>
  <c r="AC216" i="14"/>
  <c r="AD216" i="14"/>
  <c r="AE216" i="14"/>
  <c r="AF216" i="14"/>
  <c r="AG216" i="14"/>
  <c r="AH216" i="14"/>
  <c r="AC217" i="14"/>
  <c r="AD217" i="14"/>
  <c r="AE217" i="14"/>
  <c r="AF217" i="14"/>
  <c r="AG217" i="14"/>
  <c r="AH217" i="14"/>
  <c r="AC218" i="14"/>
  <c r="AD218" i="14"/>
  <c r="AE218" i="14"/>
  <c r="AF218" i="14"/>
  <c r="AG218" i="14"/>
  <c r="AH218" i="14"/>
  <c r="AC219" i="14"/>
  <c r="AD219" i="14"/>
  <c r="AE219" i="14"/>
  <c r="AF219" i="14"/>
  <c r="AG219" i="14"/>
  <c r="AH219" i="14"/>
  <c r="AC220" i="14"/>
  <c r="AD220" i="14"/>
  <c r="AE220" i="14"/>
  <c r="AF220" i="14"/>
  <c r="AG220" i="14"/>
  <c r="AH220" i="14"/>
  <c r="AC221" i="14"/>
  <c r="AD221" i="14"/>
  <c r="AE221" i="14"/>
  <c r="AF221" i="14"/>
  <c r="AG221" i="14"/>
  <c r="AH221" i="14"/>
  <c r="AC222" i="14"/>
  <c r="AD222" i="14"/>
  <c r="AE222" i="14"/>
  <c r="AF222" i="14"/>
  <c r="AG222" i="14"/>
  <c r="AH222" i="14"/>
  <c r="AC223" i="14"/>
  <c r="AD223" i="14"/>
  <c r="AE223" i="14"/>
  <c r="AF223" i="14"/>
  <c r="AG223" i="14"/>
  <c r="AH223" i="14"/>
  <c r="AC224" i="14"/>
  <c r="AD224" i="14"/>
  <c r="AE224" i="14"/>
  <c r="AF224" i="14"/>
  <c r="AG224" i="14"/>
  <c r="AH224" i="14"/>
  <c r="AC225" i="14"/>
  <c r="AD225" i="14"/>
  <c r="AE225" i="14"/>
  <c r="AF225" i="14"/>
  <c r="AG225" i="14"/>
  <c r="AH225" i="14"/>
  <c r="AC226" i="14"/>
  <c r="AD226" i="14"/>
  <c r="AE226" i="14"/>
  <c r="AF226" i="14"/>
  <c r="AG226" i="14"/>
  <c r="AH226" i="14"/>
  <c r="AC227" i="14"/>
  <c r="AD227" i="14"/>
  <c r="AE227" i="14"/>
  <c r="AF227" i="14"/>
  <c r="AG227" i="14"/>
  <c r="AH227" i="14"/>
  <c r="AC228" i="14"/>
  <c r="AD228" i="14"/>
  <c r="AE228" i="14"/>
  <c r="AF228" i="14"/>
  <c r="AG228" i="14"/>
  <c r="AH228" i="14"/>
  <c r="AC229" i="14"/>
  <c r="AD229" i="14"/>
  <c r="AE229" i="14"/>
  <c r="AF229" i="14"/>
  <c r="AG229" i="14"/>
  <c r="AH229" i="14"/>
  <c r="AC230" i="14"/>
  <c r="AD230" i="14"/>
  <c r="AE230" i="14"/>
  <c r="AF230" i="14"/>
  <c r="AG230" i="14"/>
  <c r="AH230" i="14"/>
  <c r="AC231" i="14"/>
  <c r="AD231" i="14"/>
  <c r="AE231" i="14"/>
  <c r="AF231" i="14"/>
  <c r="AG231" i="14"/>
  <c r="AH231" i="14"/>
  <c r="AC232" i="14"/>
  <c r="AD232" i="14"/>
  <c r="AE232" i="14"/>
  <c r="AF232" i="14"/>
  <c r="AG232" i="14"/>
  <c r="AH232" i="14"/>
  <c r="AC233" i="14"/>
  <c r="AD233" i="14"/>
  <c r="AE233" i="14"/>
  <c r="AF233" i="14"/>
  <c r="AG233" i="14"/>
  <c r="AH233" i="14"/>
  <c r="AC234" i="14"/>
  <c r="AD234" i="14"/>
  <c r="AE234" i="14"/>
  <c r="AF234" i="14"/>
  <c r="AG234" i="14"/>
  <c r="AH234" i="14"/>
  <c r="AC235" i="14"/>
  <c r="AD235" i="14"/>
  <c r="AE235" i="14"/>
  <c r="AF235" i="14"/>
  <c r="AG235" i="14"/>
  <c r="AH235" i="14"/>
  <c r="AC236" i="14"/>
  <c r="AD236" i="14"/>
  <c r="AE236" i="14"/>
  <c r="AF236" i="14"/>
  <c r="AG236" i="14"/>
  <c r="AH236" i="14"/>
  <c r="AC237" i="14"/>
  <c r="AD237" i="14"/>
  <c r="AE237" i="14"/>
  <c r="AF237" i="14"/>
  <c r="AG237" i="14"/>
  <c r="AH237" i="14"/>
  <c r="AC238" i="14"/>
  <c r="AD238" i="14"/>
  <c r="AE238" i="14"/>
  <c r="AF238" i="14"/>
  <c r="AG238" i="14"/>
  <c r="AH238" i="14"/>
  <c r="AC239" i="14"/>
  <c r="AD239" i="14"/>
  <c r="AE239" i="14"/>
  <c r="AF239" i="14"/>
  <c r="AG239" i="14"/>
  <c r="AH239" i="14"/>
  <c r="AC240" i="14"/>
  <c r="AD240" i="14"/>
  <c r="AE240" i="14"/>
  <c r="AF240" i="14"/>
  <c r="AG240" i="14"/>
  <c r="AH240" i="14"/>
  <c r="AC241" i="14"/>
  <c r="AD241" i="14"/>
  <c r="AE241" i="14"/>
  <c r="AF241" i="14"/>
  <c r="AG241" i="14"/>
  <c r="AH241" i="14"/>
  <c r="AC242" i="14"/>
  <c r="AD242" i="14"/>
  <c r="AE242" i="14"/>
  <c r="AF242" i="14"/>
  <c r="AG242" i="14"/>
  <c r="AH242" i="14"/>
  <c r="AC243" i="14"/>
  <c r="AD243" i="14"/>
  <c r="AE243" i="14"/>
  <c r="AF243" i="14"/>
  <c r="AG243" i="14"/>
  <c r="AH243" i="14"/>
  <c r="AC244" i="14"/>
  <c r="AD244" i="14"/>
  <c r="AE244" i="14"/>
  <c r="AF244" i="14"/>
  <c r="AG244" i="14"/>
  <c r="AH244" i="14"/>
  <c r="AC245" i="14"/>
  <c r="AD245" i="14"/>
  <c r="AE245" i="14"/>
  <c r="AF245" i="14"/>
  <c r="AG245" i="14"/>
  <c r="AH245" i="14"/>
  <c r="AC246" i="14"/>
  <c r="AD246" i="14"/>
  <c r="AE246" i="14"/>
  <c r="AF246" i="14"/>
  <c r="AG246" i="14"/>
  <c r="AH246" i="14"/>
  <c r="AC247" i="14"/>
  <c r="AD247" i="14"/>
  <c r="AE247" i="14"/>
  <c r="AF247" i="14"/>
  <c r="AG247" i="14"/>
  <c r="AH247" i="14"/>
  <c r="AC248" i="14"/>
  <c r="AD248" i="14"/>
  <c r="AE248" i="14"/>
  <c r="AF248" i="14"/>
  <c r="AG248" i="14"/>
  <c r="AH248" i="14"/>
  <c r="AC249" i="14"/>
  <c r="AD249" i="14"/>
  <c r="AE249" i="14"/>
  <c r="AF249" i="14"/>
  <c r="AG249" i="14"/>
  <c r="AH249" i="14"/>
  <c r="AC250" i="14"/>
  <c r="AD250" i="14"/>
  <c r="AE250" i="14"/>
  <c r="AF250" i="14"/>
  <c r="AG250" i="14"/>
  <c r="AH250" i="14"/>
  <c r="AC251" i="14"/>
  <c r="AD251" i="14"/>
  <c r="AE251" i="14"/>
  <c r="AF251" i="14"/>
  <c r="AG251" i="14"/>
  <c r="AH251" i="14"/>
  <c r="AC252" i="14"/>
  <c r="AD252" i="14"/>
  <c r="AE252" i="14"/>
  <c r="AF252" i="14"/>
  <c r="AG252" i="14"/>
  <c r="AH252" i="14"/>
  <c r="AC253" i="14"/>
  <c r="AD253" i="14"/>
  <c r="AE253" i="14"/>
  <c r="AF253" i="14"/>
  <c r="AG253" i="14"/>
  <c r="AH253" i="14"/>
  <c r="AC254" i="14"/>
  <c r="AD254" i="14"/>
  <c r="AE254" i="14"/>
  <c r="AF254" i="14"/>
  <c r="AG254" i="14"/>
  <c r="AH254" i="14"/>
  <c r="AC255" i="14"/>
  <c r="AD255" i="14"/>
  <c r="AE255" i="14"/>
  <c r="AF255" i="14"/>
  <c r="AG255" i="14"/>
  <c r="AH255" i="14"/>
  <c r="AC256" i="14"/>
  <c r="AD256" i="14"/>
  <c r="AE256" i="14"/>
  <c r="AF256" i="14"/>
  <c r="AG256" i="14"/>
  <c r="AH256" i="14"/>
  <c r="AC257" i="14"/>
  <c r="AD257" i="14"/>
  <c r="AE257" i="14"/>
  <c r="AF257" i="14"/>
  <c r="AG257" i="14"/>
  <c r="AH257" i="14"/>
  <c r="AC258" i="14"/>
  <c r="AD258" i="14"/>
  <c r="AE258" i="14"/>
  <c r="AF258" i="14"/>
  <c r="AG258" i="14"/>
  <c r="AH258" i="14"/>
  <c r="AC259" i="14"/>
  <c r="AD259" i="14"/>
  <c r="AE259" i="14"/>
  <c r="AF259" i="14"/>
  <c r="AG259" i="14"/>
  <c r="AH259" i="14"/>
  <c r="AC260" i="14"/>
  <c r="AD260" i="14"/>
  <c r="AE260" i="14"/>
  <c r="AF260" i="14"/>
  <c r="AG260" i="14"/>
  <c r="AH260" i="14"/>
  <c r="AC261" i="14"/>
  <c r="AD261" i="14"/>
  <c r="AE261" i="14"/>
  <c r="AF261" i="14"/>
  <c r="AG261" i="14"/>
  <c r="AH261" i="14"/>
  <c r="AC262" i="14"/>
  <c r="AD262" i="14"/>
  <c r="AE262" i="14"/>
  <c r="AF262" i="14"/>
  <c r="AG262" i="14"/>
  <c r="AH262" i="14"/>
  <c r="AC263" i="14"/>
  <c r="AD263" i="14"/>
  <c r="AE263" i="14"/>
  <c r="AF263" i="14"/>
  <c r="AG263" i="14"/>
  <c r="AH263" i="14"/>
  <c r="AC264" i="14"/>
  <c r="AD264" i="14"/>
  <c r="AE264" i="14"/>
  <c r="AF264" i="14"/>
  <c r="AG264" i="14"/>
  <c r="AH264" i="14"/>
  <c r="AC265" i="14"/>
  <c r="AD265" i="14"/>
  <c r="AE265" i="14"/>
  <c r="AF265" i="14"/>
  <c r="AG265" i="14"/>
  <c r="AH265" i="14"/>
  <c r="AC266" i="14"/>
  <c r="AD266" i="14"/>
  <c r="AE266" i="14"/>
  <c r="AF266" i="14"/>
  <c r="AG266" i="14"/>
  <c r="AH266" i="14"/>
  <c r="AC267" i="14"/>
  <c r="AD267" i="14"/>
  <c r="AE267" i="14"/>
  <c r="AF267" i="14"/>
  <c r="AG267" i="14"/>
  <c r="AH267" i="14"/>
  <c r="AC268" i="14"/>
  <c r="AD268" i="14"/>
  <c r="AE268" i="14"/>
  <c r="AF268" i="14"/>
  <c r="AG268" i="14"/>
  <c r="AH268" i="14"/>
  <c r="AC269" i="14"/>
  <c r="AD269" i="14"/>
  <c r="AE269" i="14"/>
  <c r="AF269" i="14"/>
  <c r="AG269" i="14"/>
  <c r="AH269" i="14"/>
  <c r="AC270" i="14"/>
  <c r="AD270" i="14"/>
  <c r="AE270" i="14"/>
  <c r="AF270" i="14"/>
  <c r="AG270" i="14"/>
  <c r="AH270" i="14"/>
  <c r="AC271" i="14"/>
  <c r="AD271" i="14"/>
  <c r="AE271" i="14"/>
  <c r="AF271" i="14"/>
  <c r="AG271" i="14"/>
  <c r="AH271" i="14"/>
  <c r="AC272" i="14"/>
  <c r="AD272" i="14"/>
  <c r="AE272" i="14"/>
  <c r="AF272" i="14"/>
  <c r="AG272" i="14"/>
  <c r="AH272" i="14"/>
  <c r="AC273" i="14"/>
  <c r="AD273" i="14"/>
  <c r="AE273" i="14"/>
  <c r="AF273" i="14"/>
  <c r="AG273" i="14"/>
  <c r="AH273" i="14"/>
  <c r="AC274" i="14"/>
  <c r="AD274" i="14"/>
  <c r="AE274" i="14"/>
  <c r="AF274" i="14"/>
  <c r="AG274" i="14"/>
  <c r="AH274" i="14"/>
  <c r="AC275" i="14"/>
  <c r="AD275" i="14"/>
  <c r="AE275" i="14"/>
  <c r="AF275" i="14"/>
  <c r="AG275" i="14"/>
  <c r="AH275" i="14"/>
  <c r="AC276" i="14"/>
  <c r="AD276" i="14"/>
  <c r="AE276" i="14"/>
  <c r="AF276" i="14"/>
  <c r="AG276" i="14"/>
  <c r="AH276" i="14"/>
  <c r="AC277" i="14"/>
  <c r="AD277" i="14"/>
  <c r="AE277" i="14"/>
  <c r="AF277" i="14"/>
  <c r="AG277" i="14"/>
  <c r="AH277" i="14"/>
  <c r="AC278" i="14"/>
  <c r="AD278" i="14"/>
  <c r="AE278" i="14"/>
  <c r="AF278" i="14"/>
  <c r="AG278" i="14"/>
  <c r="AH278" i="14"/>
  <c r="AC279" i="14"/>
  <c r="AD279" i="14"/>
  <c r="AE279" i="14"/>
  <c r="AF279" i="14"/>
  <c r="AG279" i="14"/>
  <c r="AH279" i="14"/>
  <c r="AC280" i="14"/>
  <c r="AD280" i="14"/>
  <c r="AE280" i="14"/>
  <c r="AF280" i="14"/>
  <c r="AG280" i="14"/>
  <c r="AH280" i="14"/>
  <c r="AC281" i="14"/>
  <c r="AD281" i="14"/>
  <c r="AE281" i="14"/>
  <c r="AF281" i="14"/>
  <c r="AG281" i="14"/>
  <c r="AH281" i="14"/>
  <c r="AC282" i="14"/>
  <c r="AD282" i="14"/>
  <c r="AE282" i="14"/>
  <c r="AF282" i="14"/>
  <c r="AG282" i="14"/>
  <c r="AH282" i="14"/>
  <c r="AC283" i="14"/>
  <c r="AD283" i="14"/>
  <c r="AE283" i="14"/>
  <c r="AF283" i="14"/>
  <c r="AG283" i="14"/>
  <c r="AH283" i="14"/>
  <c r="AC284" i="14"/>
  <c r="AD284" i="14"/>
  <c r="AE284" i="14"/>
  <c r="AF284" i="14"/>
  <c r="AG284" i="14"/>
  <c r="AH284" i="14"/>
  <c r="AC285" i="14"/>
  <c r="AD285" i="14"/>
  <c r="AE285" i="14"/>
  <c r="AF285" i="14"/>
  <c r="AG285" i="14"/>
  <c r="AH285" i="14"/>
  <c r="AC286" i="14"/>
  <c r="AD286" i="14"/>
  <c r="AE286" i="14"/>
  <c r="AF286" i="14"/>
  <c r="AG286" i="14"/>
  <c r="AH286" i="14"/>
  <c r="AC287" i="14"/>
  <c r="AD287" i="14"/>
  <c r="AE287" i="14"/>
  <c r="AF287" i="14"/>
  <c r="AG287" i="14"/>
  <c r="AH287" i="14"/>
  <c r="AC288" i="14"/>
  <c r="AD288" i="14"/>
  <c r="AE288" i="14"/>
  <c r="AF288" i="14"/>
  <c r="AG288" i="14"/>
  <c r="AH288" i="14"/>
  <c r="AC289" i="14"/>
  <c r="AD289" i="14"/>
  <c r="AE289" i="14"/>
  <c r="AF289" i="14"/>
  <c r="AG289" i="14"/>
  <c r="AH289" i="14"/>
  <c r="AC290" i="14"/>
  <c r="AD290" i="14"/>
  <c r="AE290" i="14"/>
  <c r="AF290" i="14"/>
  <c r="AG290" i="14"/>
  <c r="AH290" i="14"/>
  <c r="AC291" i="14"/>
  <c r="AD291" i="14"/>
  <c r="AE291" i="14"/>
  <c r="AF291" i="14"/>
  <c r="AG291" i="14"/>
  <c r="AH291" i="14"/>
  <c r="AC292" i="14"/>
  <c r="AD292" i="14"/>
  <c r="AE292" i="14"/>
  <c r="AF292" i="14"/>
  <c r="AG292" i="14"/>
  <c r="AH292" i="14"/>
  <c r="AC293" i="14"/>
  <c r="AD293" i="14"/>
  <c r="AE293" i="14"/>
  <c r="AF293" i="14"/>
  <c r="AG293" i="14"/>
  <c r="AH293" i="14"/>
  <c r="AC294" i="14"/>
  <c r="AD294" i="14"/>
  <c r="AE294" i="14"/>
  <c r="AF294" i="14"/>
  <c r="AG294" i="14"/>
  <c r="AH294" i="14"/>
  <c r="AC295" i="14"/>
  <c r="AD295" i="14"/>
  <c r="AE295" i="14"/>
  <c r="AF295" i="14"/>
  <c r="AG295" i="14"/>
  <c r="AH295" i="14"/>
  <c r="AC296" i="14"/>
  <c r="AD296" i="14"/>
  <c r="AE296" i="14"/>
  <c r="AF296" i="14"/>
  <c r="AG296" i="14"/>
  <c r="AH296" i="14"/>
  <c r="AC297" i="14"/>
  <c r="AD297" i="14"/>
  <c r="AE297" i="14"/>
  <c r="AF297" i="14"/>
  <c r="AG297" i="14"/>
  <c r="AH297" i="14"/>
  <c r="AC298" i="14"/>
  <c r="AD298" i="14"/>
  <c r="AE298" i="14"/>
  <c r="AF298" i="14"/>
  <c r="AG298" i="14"/>
  <c r="AH298" i="14"/>
  <c r="AC299" i="14"/>
  <c r="AD299" i="14"/>
  <c r="AE299" i="14"/>
  <c r="AF299" i="14"/>
  <c r="AG299" i="14"/>
  <c r="AH299" i="14"/>
  <c r="AC300" i="14"/>
  <c r="AD300" i="14"/>
  <c r="AE300" i="14"/>
  <c r="AF300" i="14"/>
  <c r="AG300" i="14"/>
  <c r="AH300" i="14"/>
  <c r="AC301" i="14"/>
  <c r="AD301" i="14"/>
  <c r="AE301" i="14"/>
  <c r="AF301" i="14"/>
  <c r="AG301" i="14"/>
  <c r="AH301" i="14"/>
  <c r="AC302" i="14"/>
  <c r="AD302" i="14"/>
  <c r="AE302" i="14"/>
  <c r="AF302" i="14"/>
  <c r="AG302" i="14"/>
  <c r="AH302" i="14"/>
  <c r="AC303" i="14"/>
  <c r="AD303" i="14"/>
  <c r="AE303" i="14"/>
  <c r="AF303" i="14"/>
  <c r="AG303" i="14"/>
  <c r="AH303" i="14"/>
  <c r="AC304" i="14"/>
  <c r="AD304" i="14"/>
  <c r="AE304" i="14"/>
  <c r="AF304" i="14"/>
  <c r="AG304" i="14"/>
  <c r="AH304" i="14"/>
  <c r="AC305" i="14"/>
  <c r="AD305" i="14"/>
  <c r="AE305" i="14"/>
  <c r="AF305" i="14"/>
  <c r="AG305" i="14"/>
  <c r="AH305" i="14"/>
  <c r="AC306" i="14"/>
  <c r="AD306" i="14"/>
  <c r="AE306" i="14"/>
  <c r="AF306" i="14"/>
  <c r="AG306" i="14"/>
  <c r="AH306" i="14"/>
  <c r="AC307" i="14"/>
  <c r="AD307" i="14"/>
  <c r="AE307" i="14"/>
  <c r="AF307" i="14"/>
  <c r="AG307" i="14"/>
  <c r="AH307" i="14"/>
  <c r="AC308" i="14"/>
  <c r="AD308" i="14"/>
  <c r="AE308" i="14"/>
  <c r="AF308" i="14"/>
  <c r="AG308" i="14"/>
  <c r="AH308" i="14"/>
  <c r="AC309" i="14"/>
  <c r="AD309" i="14"/>
  <c r="AE309" i="14"/>
  <c r="AF309" i="14"/>
  <c r="AG309" i="14"/>
  <c r="AH309" i="14"/>
  <c r="AC310" i="14"/>
  <c r="AD310" i="14"/>
  <c r="AE310" i="14"/>
  <c r="AF310" i="14"/>
  <c r="AG310" i="14"/>
  <c r="AH310" i="14"/>
  <c r="AC311" i="14"/>
  <c r="AD311" i="14"/>
  <c r="AE311" i="14"/>
  <c r="AF311" i="14"/>
  <c r="AG311" i="14"/>
  <c r="AH311" i="14"/>
  <c r="AC312" i="14"/>
  <c r="AD312" i="14"/>
  <c r="AE312" i="14"/>
  <c r="AF312" i="14"/>
  <c r="AG312" i="14"/>
  <c r="AH312" i="14"/>
  <c r="AC313" i="14"/>
  <c r="AD313" i="14"/>
  <c r="AE313" i="14"/>
  <c r="AF313" i="14"/>
  <c r="AG313" i="14"/>
  <c r="AH313" i="14"/>
  <c r="AC314" i="14"/>
  <c r="AD314" i="14"/>
  <c r="AE314" i="14"/>
  <c r="AF314" i="14"/>
  <c r="AG314" i="14"/>
  <c r="AH314" i="14"/>
  <c r="AC315" i="14"/>
  <c r="AD315" i="14"/>
  <c r="AE315" i="14"/>
  <c r="AF315" i="14"/>
  <c r="AG315" i="14"/>
  <c r="AH315" i="14"/>
  <c r="AC316" i="14"/>
  <c r="AD316" i="14"/>
  <c r="AE316" i="14"/>
  <c r="AF316" i="14"/>
  <c r="AG316" i="14"/>
  <c r="AH316" i="14"/>
  <c r="AC317" i="14"/>
  <c r="AD317" i="14"/>
  <c r="AE317" i="14"/>
  <c r="AF317" i="14"/>
  <c r="AG317" i="14"/>
  <c r="AH317" i="14"/>
  <c r="AC318" i="14"/>
  <c r="AD318" i="14"/>
  <c r="AE318" i="14"/>
  <c r="AF318" i="14"/>
  <c r="AG318" i="14"/>
  <c r="AH318" i="14"/>
  <c r="AC319" i="14"/>
  <c r="AD319" i="14"/>
  <c r="AE319" i="14"/>
  <c r="AF319" i="14"/>
  <c r="AG319" i="14"/>
  <c r="AH319" i="14"/>
  <c r="AC320" i="14"/>
  <c r="AD320" i="14"/>
  <c r="AE320" i="14"/>
  <c r="AF320" i="14"/>
  <c r="AG320" i="14"/>
  <c r="AH320" i="14"/>
  <c r="AC321" i="14"/>
  <c r="AD321" i="14"/>
  <c r="AE321" i="14"/>
  <c r="AF321" i="14"/>
  <c r="AG321" i="14"/>
  <c r="AH321" i="14"/>
  <c r="AC322" i="14"/>
  <c r="AD322" i="14"/>
  <c r="AE322" i="14"/>
  <c r="AF322" i="14"/>
  <c r="AG322" i="14"/>
  <c r="AH322" i="14"/>
  <c r="AC323" i="14"/>
  <c r="AD323" i="14"/>
  <c r="AE323" i="14"/>
  <c r="AF323" i="14"/>
  <c r="AG323" i="14"/>
  <c r="AH323" i="14"/>
  <c r="AC324" i="14"/>
  <c r="AD324" i="14"/>
  <c r="AE324" i="14"/>
  <c r="AF324" i="14"/>
  <c r="AG324" i="14"/>
  <c r="AH324" i="14"/>
  <c r="AC325" i="14"/>
  <c r="AD325" i="14"/>
  <c r="AE325" i="14"/>
  <c r="AF325" i="14"/>
  <c r="AG325" i="14"/>
  <c r="AH325" i="14"/>
  <c r="AC326" i="14"/>
  <c r="AD326" i="14"/>
  <c r="AE326" i="14"/>
  <c r="AF326" i="14"/>
  <c r="AG326" i="14"/>
  <c r="AH326" i="14"/>
  <c r="AC327" i="14"/>
  <c r="AD327" i="14"/>
  <c r="AE327" i="14"/>
  <c r="AF327" i="14"/>
  <c r="AG327" i="14"/>
  <c r="AH327" i="14"/>
  <c r="AC328" i="14"/>
  <c r="AD328" i="14"/>
  <c r="AE328" i="14"/>
  <c r="AF328" i="14"/>
  <c r="AG328" i="14"/>
  <c r="AH328" i="14"/>
  <c r="AC329" i="14"/>
  <c r="AD329" i="14"/>
  <c r="AE329" i="14"/>
  <c r="AF329" i="14"/>
  <c r="AG329" i="14"/>
  <c r="AH329" i="14"/>
  <c r="AC330" i="14"/>
  <c r="AD330" i="14"/>
  <c r="AE330" i="14"/>
  <c r="AF330" i="14"/>
  <c r="AG330" i="14"/>
  <c r="AH330" i="14"/>
  <c r="AC331" i="14"/>
  <c r="AD331" i="14"/>
  <c r="AE331" i="14"/>
  <c r="AF331" i="14"/>
  <c r="AG331" i="14"/>
  <c r="AH331" i="14"/>
  <c r="AC332" i="14"/>
  <c r="AD332" i="14"/>
  <c r="AE332" i="14"/>
  <c r="AF332" i="14"/>
  <c r="AG332" i="14"/>
  <c r="AH332" i="14"/>
  <c r="AC333" i="14"/>
  <c r="AD333" i="14"/>
  <c r="AE333" i="14"/>
  <c r="AF333" i="14"/>
  <c r="AG333" i="14"/>
  <c r="AH333" i="14"/>
  <c r="AC334" i="14"/>
  <c r="AD334" i="14"/>
  <c r="AE334" i="14"/>
  <c r="AF334" i="14"/>
  <c r="AG334" i="14"/>
  <c r="AH334" i="14"/>
  <c r="AC335" i="14"/>
  <c r="AD335" i="14"/>
  <c r="AE335" i="14"/>
  <c r="AF335" i="14"/>
  <c r="AG335" i="14"/>
  <c r="AH335" i="14"/>
  <c r="AC336" i="14"/>
  <c r="AD336" i="14"/>
  <c r="AE336" i="14"/>
  <c r="AF336" i="14"/>
  <c r="AG336" i="14"/>
  <c r="AH336" i="14"/>
  <c r="AC337" i="14"/>
  <c r="AD337" i="14"/>
  <c r="AE337" i="14"/>
  <c r="AF337" i="14"/>
  <c r="AG337" i="14"/>
  <c r="AH337" i="14"/>
  <c r="AC338" i="14"/>
  <c r="AD338" i="14"/>
  <c r="AE338" i="14"/>
  <c r="AF338" i="14"/>
  <c r="AG338" i="14"/>
  <c r="AH338" i="14"/>
  <c r="AC339" i="14"/>
  <c r="AD339" i="14"/>
  <c r="AE339" i="14"/>
  <c r="AF339" i="14"/>
  <c r="AG339" i="14"/>
  <c r="AH339" i="14"/>
  <c r="AC340" i="14"/>
  <c r="AD340" i="14"/>
  <c r="AE340" i="14"/>
  <c r="AF340" i="14"/>
  <c r="AG340" i="14"/>
  <c r="AH340" i="14"/>
  <c r="AC341" i="14"/>
  <c r="AD341" i="14"/>
  <c r="AE341" i="14"/>
  <c r="AF341" i="14"/>
  <c r="AG341" i="14"/>
  <c r="AH341" i="14"/>
  <c r="AC342" i="14"/>
  <c r="AD342" i="14"/>
  <c r="AE342" i="14"/>
  <c r="AF342" i="14"/>
  <c r="AG342" i="14"/>
  <c r="AH342" i="14"/>
  <c r="AC343" i="14"/>
  <c r="AD343" i="14"/>
  <c r="AE343" i="14"/>
  <c r="AF343" i="14"/>
  <c r="AG343" i="14"/>
  <c r="AH343" i="14"/>
  <c r="AC344" i="14"/>
  <c r="AD344" i="14"/>
  <c r="AE344" i="14"/>
  <c r="AF344" i="14"/>
  <c r="AG344" i="14"/>
  <c r="AH344" i="14"/>
  <c r="AC345" i="14"/>
  <c r="AD345" i="14"/>
  <c r="AE345" i="14"/>
  <c r="AF345" i="14"/>
  <c r="AG345" i="14"/>
  <c r="AH345" i="14"/>
  <c r="AC346" i="14"/>
  <c r="AD346" i="14"/>
  <c r="AE346" i="14"/>
  <c r="AF346" i="14"/>
  <c r="AG346" i="14"/>
  <c r="AH346" i="14"/>
  <c r="AC347" i="14"/>
  <c r="AD347" i="14"/>
  <c r="AE347" i="14"/>
  <c r="AF347" i="14"/>
  <c r="AG347" i="14"/>
  <c r="AH347" i="14"/>
  <c r="AC348" i="14"/>
  <c r="AD348" i="14"/>
  <c r="AE348" i="14"/>
  <c r="AF348" i="14"/>
  <c r="AG348" i="14"/>
  <c r="AH348" i="14"/>
  <c r="AC349" i="14"/>
  <c r="AD349" i="14"/>
  <c r="AE349" i="14"/>
  <c r="AF349" i="14"/>
  <c r="AG349" i="14"/>
  <c r="AH349" i="14"/>
  <c r="AC350" i="14"/>
  <c r="AD350" i="14"/>
  <c r="AE350" i="14"/>
  <c r="AF350" i="14"/>
  <c r="AG350" i="14"/>
  <c r="AH350" i="14"/>
  <c r="AC351" i="14"/>
  <c r="AD351" i="14"/>
  <c r="AE351" i="14"/>
  <c r="AF351" i="14"/>
  <c r="AG351" i="14"/>
  <c r="AH351" i="14"/>
  <c r="AC352" i="14"/>
  <c r="AD352" i="14"/>
  <c r="AE352" i="14"/>
  <c r="AF352" i="14"/>
  <c r="AG352" i="14"/>
  <c r="AH352" i="14"/>
  <c r="AC353" i="14"/>
  <c r="AD353" i="14"/>
  <c r="AE353" i="14"/>
  <c r="AF353" i="14"/>
  <c r="AG353" i="14"/>
  <c r="AH353" i="14"/>
  <c r="AC354" i="14"/>
  <c r="AD354" i="14"/>
  <c r="AE354" i="14"/>
  <c r="AF354" i="14"/>
  <c r="AG354" i="14"/>
  <c r="AH354" i="14"/>
  <c r="AC355" i="14"/>
  <c r="AD355" i="14"/>
  <c r="AE355" i="14"/>
  <c r="AF355" i="14"/>
  <c r="AG355" i="14"/>
  <c r="AH355" i="14"/>
  <c r="AC356" i="14"/>
  <c r="AD356" i="14"/>
  <c r="AE356" i="14"/>
  <c r="AF356" i="14"/>
  <c r="AG356" i="14"/>
  <c r="AH356" i="14"/>
  <c r="AC357" i="14"/>
  <c r="AD357" i="14"/>
  <c r="AE357" i="14"/>
  <c r="AF357" i="14"/>
  <c r="AG357" i="14"/>
  <c r="AH357" i="14"/>
  <c r="AC358" i="14"/>
  <c r="AD358" i="14"/>
  <c r="AE358" i="14"/>
  <c r="AF358" i="14"/>
  <c r="AG358" i="14"/>
  <c r="AH358" i="14"/>
  <c r="AC359" i="14"/>
  <c r="AD359" i="14"/>
  <c r="AE359" i="14"/>
  <c r="AF359" i="14"/>
  <c r="AG359" i="14"/>
  <c r="AH359" i="14"/>
  <c r="AC360" i="14"/>
  <c r="AD360" i="14"/>
  <c r="AE360" i="14"/>
  <c r="AF360" i="14"/>
  <c r="AG360" i="14"/>
  <c r="AH360" i="14"/>
  <c r="AC361" i="14"/>
  <c r="AD361" i="14"/>
  <c r="AE361" i="14"/>
  <c r="AF361" i="14"/>
  <c r="AG361" i="14"/>
  <c r="AH361" i="14"/>
  <c r="AC362" i="14"/>
  <c r="AD362" i="14"/>
  <c r="AE362" i="14"/>
  <c r="AF362" i="14"/>
  <c r="AG362" i="14"/>
  <c r="AH362" i="14"/>
  <c r="AC363" i="14"/>
  <c r="AD363" i="14"/>
  <c r="AE363" i="14"/>
  <c r="AF363" i="14"/>
  <c r="AG363" i="14"/>
  <c r="AH363" i="14"/>
  <c r="AC364" i="14"/>
  <c r="AD364" i="14"/>
  <c r="AE364" i="14"/>
  <c r="AF364" i="14"/>
  <c r="AG364" i="14"/>
  <c r="AH364" i="14"/>
  <c r="AC365" i="14"/>
  <c r="AD365" i="14"/>
  <c r="AE365" i="14"/>
  <c r="AF365" i="14"/>
  <c r="AG365" i="14"/>
  <c r="AH365" i="14"/>
  <c r="AC366" i="14"/>
  <c r="AD366" i="14"/>
  <c r="AE366" i="14"/>
  <c r="AF366" i="14"/>
  <c r="AG366" i="14"/>
  <c r="AH366" i="14"/>
  <c r="AC367" i="14"/>
  <c r="AD367" i="14"/>
  <c r="AE367" i="14"/>
  <c r="AF367" i="14"/>
  <c r="AG367" i="14"/>
  <c r="AH367" i="14"/>
  <c r="AC368" i="14"/>
  <c r="AD368" i="14"/>
  <c r="AE368" i="14"/>
  <c r="AF368" i="14"/>
  <c r="AG368" i="14"/>
  <c r="AH368" i="14"/>
  <c r="AC369" i="14"/>
  <c r="AD369" i="14"/>
  <c r="AE369" i="14"/>
  <c r="AF369" i="14"/>
  <c r="AG369" i="14"/>
  <c r="AH369" i="14"/>
  <c r="AC370" i="14"/>
  <c r="AD370" i="14"/>
  <c r="AE370" i="14"/>
  <c r="AF370" i="14"/>
  <c r="AG370" i="14"/>
  <c r="AH370" i="14"/>
  <c r="AC371" i="14"/>
  <c r="AD371" i="14"/>
  <c r="AE371" i="14"/>
  <c r="AF371" i="14"/>
  <c r="AG371" i="14"/>
  <c r="AH371" i="14"/>
  <c r="AC372" i="14"/>
  <c r="AD372" i="14"/>
  <c r="AE372" i="14"/>
  <c r="AF372" i="14"/>
  <c r="AG372" i="14"/>
  <c r="AH372" i="14"/>
  <c r="AC373" i="14"/>
  <c r="AD373" i="14"/>
  <c r="AE373" i="14"/>
  <c r="AF373" i="14"/>
  <c r="AG373" i="14"/>
  <c r="AH373" i="14"/>
  <c r="AC374" i="14"/>
  <c r="AD374" i="14"/>
  <c r="AE374" i="14"/>
  <c r="AF374" i="14"/>
  <c r="AG374" i="14"/>
  <c r="AH374" i="14"/>
  <c r="AC375" i="14"/>
  <c r="AD375" i="14"/>
  <c r="AE375" i="14"/>
  <c r="AF375" i="14"/>
  <c r="AG375" i="14"/>
  <c r="AH375" i="14"/>
  <c r="AC376" i="14"/>
  <c r="AD376" i="14"/>
  <c r="AE376" i="14"/>
  <c r="AF376" i="14"/>
  <c r="AG376" i="14"/>
  <c r="AH376" i="14"/>
  <c r="AC377" i="14"/>
  <c r="AD377" i="14"/>
  <c r="AE377" i="14"/>
  <c r="AF377" i="14"/>
  <c r="AG377" i="14"/>
  <c r="AH377" i="14"/>
  <c r="AC378" i="14"/>
  <c r="AD378" i="14"/>
  <c r="AE378" i="14"/>
  <c r="AF378" i="14"/>
  <c r="AG378" i="14"/>
  <c r="AH378" i="14"/>
  <c r="AC379" i="14"/>
  <c r="AD379" i="14"/>
  <c r="AE379" i="14"/>
  <c r="AF379" i="14"/>
  <c r="AG379" i="14"/>
  <c r="AH379" i="14"/>
  <c r="AC380" i="14"/>
  <c r="AD380" i="14"/>
  <c r="AE380" i="14"/>
  <c r="AF380" i="14"/>
  <c r="AG380" i="14"/>
  <c r="AH380" i="14"/>
  <c r="AC381" i="14"/>
  <c r="AD381" i="14"/>
  <c r="AE381" i="14"/>
  <c r="AF381" i="14"/>
  <c r="AG381" i="14"/>
  <c r="AH381" i="14"/>
  <c r="AC382" i="14"/>
  <c r="AD382" i="14"/>
  <c r="AE382" i="14"/>
  <c r="AF382" i="14"/>
  <c r="AG382" i="14"/>
  <c r="AH382" i="14"/>
  <c r="AC383" i="14"/>
  <c r="AD383" i="14"/>
  <c r="AE383" i="14"/>
  <c r="AF383" i="14"/>
  <c r="AG383" i="14"/>
  <c r="AH383" i="14"/>
  <c r="AC384" i="14"/>
  <c r="AD384" i="14"/>
  <c r="AE384" i="14"/>
  <c r="AF384" i="14"/>
  <c r="AG384" i="14"/>
  <c r="AH384" i="14"/>
  <c r="AC385" i="14"/>
  <c r="AD385" i="14"/>
  <c r="AE385" i="14"/>
  <c r="AF385" i="14"/>
  <c r="AG385" i="14"/>
  <c r="AH385" i="14"/>
  <c r="AC386" i="14"/>
  <c r="AD386" i="14"/>
  <c r="AE386" i="14"/>
  <c r="AF386" i="14"/>
  <c r="AG386" i="14"/>
  <c r="AH386" i="14"/>
  <c r="AC387" i="14"/>
  <c r="AD387" i="14"/>
  <c r="AE387" i="14"/>
  <c r="AF387" i="14"/>
  <c r="AG387" i="14"/>
  <c r="AH387" i="14"/>
  <c r="AC388" i="14"/>
  <c r="AD388" i="14"/>
  <c r="AE388" i="14"/>
  <c r="AF388" i="14"/>
  <c r="AG388" i="14"/>
  <c r="AH388" i="14"/>
  <c r="AC389" i="14"/>
  <c r="AD389" i="14"/>
  <c r="AE389" i="14"/>
  <c r="AF389" i="14"/>
  <c r="AG389" i="14"/>
  <c r="AH389" i="14"/>
  <c r="AC390" i="14"/>
  <c r="AD390" i="14"/>
  <c r="AE390" i="14"/>
  <c r="AF390" i="14"/>
  <c r="AG390" i="14"/>
  <c r="AH390" i="14"/>
  <c r="AC391" i="14"/>
  <c r="AD391" i="14"/>
  <c r="AE391" i="14"/>
  <c r="AF391" i="14"/>
  <c r="AG391" i="14"/>
  <c r="AH391" i="14"/>
  <c r="AC392" i="14"/>
  <c r="AD392" i="14"/>
  <c r="AE392" i="14"/>
  <c r="AF392" i="14"/>
  <c r="AG392" i="14"/>
  <c r="AH392" i="14"/>
  <c r="AC393" i="14"/>
  <c r="AD393" i="14"/>
  <c r="AE393" i="14"/>
  <c r="AF393" i="14"/>
  <c r="AG393" i="14"/>
  <c r="AH393" i="14"/>
  <c r="AC394" i="14"/>
  <c r="AD394" i="14"/>
  <c r="AE394" i="14"/>
  <c r="AF394" i="14"/>
  <c r="AG394" i="14"/>
  <c r="AH394" i="14"/>
  <c r="AC395" i="14"/>
  <c r="AD395" i="14"/>
  <c r="AE395" i="14"/>
  <c r="AF395" i="14"/>
  <c r="AG395" i="14"/>
  <c r="AH395" i="14"/>
  <c r="AC396" i="14"/>
  <c r="AD396" i="14"/>
  <c r="AE396" i="14"/>
  <c r="AF396" i="14"/>
  <c r="AG396" i="14"/>
  <c r="AH396" i="14"/>
  <c r="AC397" i="14"/>
  <c r="AD397" i="14"/>
  <c r="AE397" i="14"/>
  <c r="AF397" i="14"/>
  <c r="AG397" i="14"/>
  <c r="AH397" i="14"/>
  <c r="AC398" i="14"/>
  <c r="AD398" i="14"/>
  <c r="AE398" i="14"/>
  <c r="AF398" i="14"/>
  <c r="AG398" i="14"/>
  <c r="AH398" i="14"/>
  <c r="AC399" i="14"/>
  <c r="AD399" i="14"/>
  <c r="AE399" i="14"/>
  <c r="AF399" i="14"/>
  <c r="AG399" i="14"/>
  <c r="AH399" i="14"/>
  <c r="AC400" i="14"/>
  <c r="AD400" i="14"/>
  <c r="AE400" i="14"/>
  <c r="AF400" i="14"/>
  <c r="AG400" i="14"/>
  <c r="AH400" i="14"/>
  <c r="AC401" i="14"/>
  <c r="AD401" i="14"/>
  <c r="AE401" i="14"/>
  <c r="AF401" i="14"/>
  <c r="AG401" i="14"/>
  <c r="AH401" i="14"/>
  <c r="AC402" i="14"/>
  <c r="AD402" i="14"/>
  <c r="AE402" i="14"/>
  <c r="AF402" i="14"/>
  <c r="AG402" i="14"/>
  <c r="AH402" i="14"/>
  <c r="AC403" i="14"/>
  <c r="AD403" i="14"/>
  <c r="AE403" i="14"/>
  <c r="AF403" i="14"/>
  <c r="AG403" i="14"/>
  <c r="AH403" i="14"/>
  <c r="AC404" i="14"/>
  <c r="AD404" i="14"/>
  <c r="AE404" i="14"/>
  <c r="AF404" i="14"/>
  <c r="AG404" i="14"/>
  <c r="AH404" i="14"/>
  <c r="AC405" i="14"/>
  <c r="AD405" i="14"/>
  <c r="AE405" i="14"/>
  <c r="AF405" i="14"/>
  <c r="AG405" i="14"/>
  <c r="AH405" i="14"/>
  <c r="AC406" i="14"/>
  <c r="AD406" i="14"/>
  <c r="AE406" i="14"/>
  <c r="AF406" i="14"/>
  <c r="AG406" i="14"/>
  <c r="AH406" i="14"/>
  <c r="AC407" i="14"/>
  <c r="AD407" i="14"/>
  <c r="AE407" i="14"/>
  <c r="AF407" i="14"/>
  <c r="AG407" i="14"/>
  <c r="AH407" i="14"/>
  <c r="AC408" i="14"/>
  <c r="AD408" i="14"/>
  <c r="AE408" i="14"/>
  <c r="AF408" i="14"/>
  <c r="AG408" i="14"/>
  <c r="AH408" i="14"/>
  <c r="AC409" i="14"/>
  <c r="AD409" i="14"/>
  <c r="AE409" i="14"/>
  <c r="AF409" i="14"/>
  <c r="AG409" i="14"/>
  <c r="AH409" i="14"/>
  <c r="AC410" i="14"/>
  <c r="AD410" i="14"/>
  <c r="AE410" i="14"/>
  <c r="AF410" i="14"/>
  <c r="AG410" i="14"/>
  <c r="AH410" i="14"/>
  <c r="AC411" i="14"/>
  <c r="AD411" i="14"/>
  <c r="AE411" i="14"/>
  <c r="AF411" i="14"/>
  <c r="AG411" i="14"/>
  <c r="AH411" i="14"/>
  <c r="AC412" i="14"/>
  <c r="AD412" i="14"/>
  <c r="AE412" i="14"/>
  <c r="AF412" i="14"/>
  <c r="AG412" i="14"/>
  <c r="AH412" i="14"/>
  <c r="AC413" i="14"/>
  <c r="AD413" i="14"/>
  <c r="AE413" i="14"/>
  <c r="AF413" i="14"/>
  <c r="AG413" i="14"/>
  <c r="AH413" i="14"/>
  <c r="AC414" i="14"/>
  <c r="AD414" i="14"/>
  <c r="AE414" i="14"/>
  <c r="AF414" i="14"/>
  <c r="AG414" i="14"/>
  <c r="AH414" i="14"/>
  <c r="AC415" i="14"/>
  <c r="AD415" i="14"/>
  <c r="AE415" i="14"/>
  <c r="AF415" i="14"/>
  <c r="AG415" i="14"/>
  <c r="AH415" i="14"/>
  <c r="AC416" i="14"/>
  <c r="AD416" i="14"/>
  <c r="AE416" i="14"/>
  <c r="AF416" i="14"/>
  <c r="AG416" i="14"/>
  <c r="AH416" i="14"/>
  <c r="AC417" i="14"/>
  <c r="AD417" i="14"/>
  <c r="AE417" i="14"/>
  <c r="AF417" i="14"/>
  <c r="AG417" i="14"/>
  <c r="AH417" i="14"/>
  <c r="AC418" i="14"/>
  <c r="AD418" i="14"/>
  <c r="AE418" i="14"/>
  <c r="AF418" i="14"/>
  <c r="AG418" i="14"/>
  <c r="AH418" i="14"/>
  <c r="AC419" i="14"/>
  <c r="AD419" i="14"/>
  <c r="AE419" i="14"/>
  <c r="AF419" i="14"/>
  <c r="AG419" i="14"/>
  <c r="AH419" i="14"/>
  <c r="AC420" i="14"/>
  <c r="AD420" i="14"/>
  <c r="AE420" i="14"/>
  <c r="AF420" i="14"/>
  <c r="AG420" i="14"/>
  <c r="AH420" i="14"/>
  <c r="AC421" i="14"/>
  <c r="AD421" i="14"/>
  <c r="AE421" i="14"/>
  <c r="AF421" i="14"/>
  <c r="AG421" i="14"/>
  <c r="AH421" i="14"/>
  <c r="AC422" i="14"/>
  <c r="AD422" i="14"/>
  <c r="AE422" i="14"/>
  <c r="AF422" i="14"/>
  <c r="AG422" i="14"/>
  <c r="AH422" i="14"/>
  <c r="AC423" i="14"/>
  <c r="AD423" i="14"/>
  <c r="AE423" i="14"/>
  <c r="AF423" i="14"/>
  <c r="AG423" i="14"/>
  <c r="AH423" i="14"/>
  <c r="AC424" i="14"/>
  <c r="AD424" i="14"/>
  <c r="AE424" i="14"/>
  <c r="AF424" i="14"/>
  <c r="AG424" i="14"/>
  <c r="AH424" i="14"/>
  <c r="AC425" i="14"/>
  <c r="AD425" i="14"/>
  <c r="AE425" i="14"/>
  <c r="AF425" i="14"/>
  <c r="AG425" i="14"/>
  <c r="AH425" i="14"/>
  <c r="AC426" i="14"/>
  <c r="AD426" i="14"/>
  <c r="AE426" i="14"/>
  <c r="AF426" i="14"/>
  <c r="AG426" i="14"/>
  <c r="AH426" i="14"/>
  <c r="AC427" i="14"/>
  <c r="AD427" i="14"/>
  <c r="AE427" i="14"/>
  <c r="AF427" i="14"/>
  <c r="AG427" i="14"/>
  <c r="AH427" i="14"/>
  <c r="AC428" i="14"/>
  <c r="AD428" i="14"/>
  <c r="AE428" i="14"/>
  <c r="AF428" i="14"/>
  <c r="AG428" i="14"/>
  <c r="AH428" i="14"/>
  <c r="AC429" i="14"/>
  <c r="AD429" i="14"/>
  <c r="AE429" i="14"/>
  <c r="AF429" i="14"/>
  <c r="AG429" i="14"/>
  <c r="AH429" i="14"/>
  <c r="AC430" i="14"/>
  <c r="AD430" i="14"/>
  <c r="AE430" i="14"/>
  <c r="AF430" i="14"/>
  <c r="AG430" i="14"/>
  <c r="AH430" i="14"/>
  <c r="AC431" i="14"/>
  <c r="AD431" i="14"/>
  <c r="AE431" i="14"/>
  <c r="AF431" i="14"/>
  <c r="AG431" i="14"/>
  <c r="AH431" i="14"/>
  <c r="AC432" i="14"/>
  <c r="AD432" i="14"/>
  <c r="AE432" i="14"/>
  <c r="AF432" i="14"/>
  <c r="AG432" i="14"/>
  <c r="AH432" i="14"/>
  <c r="AC433" i="14"/>
  <c r="AD433" i="14"/>
  <c r="AE433" i="14"/>
  <c r="AF433" i="14"/>
  <c r="AG433" i="14"/>
  <c r="AH433" i="14"/>
  <c r="AC434" i="14"/>
  <c r="AD434" i="14"/>
  <c r="AE434" i="14"/>
  <c r="AF434" i="14"/>
  <c r="AG434" i="14"/>
  <c r="AH434" i="14"/>
  <c r="AC435" i="14"/>
  <c r="AD435" i="14"/>
  <c r="AE435" i="14"/>
  <c r="AF435" i="14"/>
  <c r="AG435" i="14"/>
  <c r="AH435" i="14"/>
  <c r="AC436" i="14"/>
  <c r="AD436" i="14"/>
  <c r="AE436" i="14"/>
  <c r="AF436" i="14"/>
  <c r="AG436" i="14"/>
  <c r="AH436" i="14"/>
  <c r="AC437" i="14"/>
  <c r="AD437" i="14"/>
  <c r="AE437" i="14"/>
  <c r="AF437" i="14"/>
  <c r="AG437" i="14"/>
  <c r="AH437" i="14"/>
  <c r="AC438" i="14"/>
  <c r="AD438" i="14"/>
  <c r="AE438" i="14"/>
  <c r="AF438" i="14"/>
  <c r="AG438" i="14"/>
  <c r="AH438" i="14"/>
  <c r="AC439" i="14"/>
  <c r="AD439" i="14"/>
  <c r="AE439" i="14"/>
  <c r="AF439" i="14"/>
  <c r="AG439" i="14"/>
  <c r="AH439" i="14"/>
  <c r="AC440" i="14"/>
  <c r="AD440" i="14"/>
  <c r="AE440" i="14"/>
  <c r="AF440" i="14"/>
  <c r="AG440" i="14"/>
  <c r="AH440" i="14"/>
  <c r="AC441" i="14"/>
  <c r="AD441" i="14"/>
  <c r="AE441" i="14"/>
  <c r="AF441" i="14"/>
  <c r="AG441" i="14"/>
  <c r="AH441" i="14"/>
  <c r="AC442" i="14"/>
  <c r="AD442" i="14"/>
  <c r="AE442" i="14"/>
  <c r="AF442" i="14"/>
  <c r="AG442" i="14"/>
  <c r="AH442" i="14"/>
  <c r="AC443" i="14"/>
  <c r="AD443" i="14"/>
  <c r="AE443" i="14"/>
  <c r="AF443" i="14"/>
  <c r="AG443" i="14"/>
  <c r="AH443" i="14"/>
  <c r="AC444" i="14"/>
  <c r="AD444" i="14"/>
  <c r="AE444" i="14"/>
  <c r="AF444" i="14"/>
  <c r="AG444" i="14"/>
  <c r="AH444" i="14"/>
  <c r="AC445" i="14"/>
  <c r="AD445" i="14"/>
  <c r="AE445" i="14"/>
  <c r="AF445" i="14"/>
  <c r="AG445" i="14"/>
  <c r="AH445" i="14"/>
  <c r="AC446" i="14"/>
  <c r="AD446" i="14"/>
  <c r="AE446" i="14"/>
  <c r="AF446" i="14"/>
  <c r="AG446" i="14"/>
  <c r="AH446" i="14"/>
  <c r="AC447" i="14"/>
  <c r="AD447" i="14"/>
  <c r="AE447" i="14"/>
  <c r="AF447" i="14"/>
  <c r="AG447" i="14"/>
  <c r="AH447" i="14"/>
  <c r="AC448" i="14"/>
  <c r="AD448" i="14"/>
  <c r="AE448" i="14"/>
  <c r="AF448" i="14"/>
  <c r="AG448" i="14"/>
  <c r="AH448" i="14"/>
  <c r="AC449" i="14"/>
  <c r="AD449" i="14"/>
  <c r="AE449" i="14"/>
  <c r="AF449" i="14"/>
  <c r="AG449" i="14"/>
  <c r="AH449" i="14"/>
  <c r="AC450" i="14"/>
  <c r="AD450" i="14"/>
  <c r="AE450" i="14"/>
  <c r="AF450" i="14"/>
  <c r="AG450" i="14"/>
  <c r="AH450" i="14"/>
  <c r="AC451" i="14"/>
  <c r="AD451" i="14"/>
  <c r="AE451" i="14"/>
  <c r="AF451" i="14"/>
  <c r="AG451" i="14"/>
  <c r="AH451" i="14"/>
  <c r="AC452" i="14"/>
  <c r="AD452" i="14"/>
  <c r="AE452" i="14"/>
  <c r="AF452" i="14"/>
  <c r="AG452" i="14"/>
  <c r="AH452" i="14"/>
  <c r="AC453" i="14"/>
  <c r="AD453" i="14"/>
  <c r="AE453" i="14"/>
  <c r="AF453" i="14"/>
  <c r="AG453" i="14"/>
  <c r="AH453" i="14"/>
  <c r="AC454" i="14"/>
  <c r="AD454" i="14"/>
  <c r="AE454" i="14"/>
  <c r="AF454" i="14"/>
  <c r="AG454" i="14"/>
  <c r="AH454" i="14"/>
  <c r="AC455" i="14"/>
  <c r="AD455" i="14"/>
  <c r="AE455" i="14"/>
  <c r="AF455" i="14"/>
  <c r="AG455" i="14"/>
  <c r="AH455" i="14"/>
  <c r="AC456" i="14"/>
  <c r="AD456" i="14"/>
  <c r="AE456" i="14"/>
  <c r="AF456" i="14"/>
  <c r="AG456" i="14"/>
  <c r="AH456" i="14"/>
  <c r="AC457" i="14"/>
  <c r="AD457" i="14"/>
  <c r="AE457" i="14"/>
  <c r="AF457" i="14"/>
  <c r="AG457" i="14"/>
  <c r="AH457" i="14"/>
  <c r="AC458" i="14"/>
  <c r="AD458" i="14"/>
  <c r="AE458" i="14"/>
  <c r="AF458" i="14"/>
  <c r="AG458" i="14"/>
  <c r="AH458" i="14"/>
  <c r="AC459" i="14"/>
  <c r="AD459" i="14"/>
  <c r="AE459" i="14"/>
  <c r="AF459" i="14"/>
  <c r="AG459" i="14"/>
  <c r="AH459" i="14"/>
  <c r="AC460" i="14"/>
  <c r="AD460" i="14"/>
  <c r="AE460" i="14"/>
  <c r="AF460" i="14"/>
  <c r="AG460" i="14"/>
  <c r="AH460" i="14"/>
  <c r="AC461" i="14"/>
  <c r="AD461" i="14"/>
  <c r="AE461" i="14"/>
  <c r="AF461" i="14"/>
  <c r="AG461" i="14"/>
  <c r="AH461" i="14"/>
  <c r="AC462" i="14"/>
  <c r="AD462" i="14"/>
  <c r="AE462" i="14"/>
  <c r="AF462" i="14"/>
  <c r="AG462" i="14"/>
  <c r="AH462" i="14"/>
  <c r="AC463" i="14"/>
  <c r="AD463" i="14"/>
  <c r="AE463" i="14"/>
  <c r="AF463" i="14"/>
  <c r="AG463" i="14"/>
  <c r="AH463" i="14"/>
  <c r="AC464" i="14"/>
  <c r="AD464" i="14"/>
  <c r="AE464" i="14"/>
  <c r="AF464" i="14"/>
  <c r="AG464" i="14"/>
  <c r="AH464" i="14"/>
  <c r="AC465" i="14"/>
  <c r="AD465" i="14"/>
  <c r="AE465" i="14"/>
  <c r="AF465" i="14"/>
  <c r="AG465" i="14"/>
  <c r="AH465" i="14"/>
  <c r="AC466" i="14"/>
  <c r="AD466" i="14"/>
  <c r="AE466" i="14"/>
  <c r="AF466" i="14"/>
  <c r="AG466" i="14"/>
  <c r="AH466" i="14"/>
  <c r="AC467" i="14"/>
  <c r="AD467" i="14"/>
  <c r="AE467" i="14"/>
  <c r="AF467" i="14"/>
  <c r="AG467" i="14"/>
  <c r="AH467" i="14"/>
  <c r="AC468" i="14"/>
  <c r="AD468" i="14"/>
  <c r="AE468" i="14"/>
  <c r="AF468" i="14"/>
  <c r="AG468" i="14"/>
  <c r="AH468" i="14"/>
  <c r="AC469" i="14"/>
  <c r="AD469" i="14"/>
  <c r="AE469" i="14"/>
  <c r="AF469" i="14"/>
  <c r="AG469" i="14"/>
  <c r="AH469" i="14"/>
  <c r="AC470" i="14"/>
  <c r="AD470" i="14"/>
  <c r="AE470" i="14"/>
  <c r="AF470" i="14"/>
  <c r="AG470" i="14"/>
  <c r="AH470" i="14"/>
  <c r="AC471" i="14"/>
  <c r="AD471" i="14"/>
  <c r="AE471" i="14"/>
  <c r="AF471" i="14"/>
  <c r="AG471" i="14"/>
  <c r="AH471" i="14"/>
  <c r="AC472" i="14"/>
  <c r="AD472" i="14"/>
  <c r="AE472" i="14"/>
  <c r="AF472" i="14"/>
  <c r="AG472" i="14"/>
  <c r="AH472" i="14"/>
  <c r="AC473" i="14"/>
  <c r="AD473" i="14"/>
  <c r="AE473" i="14"/>
  <c r="AF473" i="14"/>
  <c r="AG473" i="14"/>
  <c r="AH473" i="14"/>
  <c r="AC474" i="14"/>
  <c r="AD474" i="14"/>
  <c r="AE474" i="14"/>
  <c r="AF474" i="14"/>
  <c r="AG474" i="14"/>
  <c r="AH474" i="14"/>
  <c r="AC475" i="14"/>
  <c r="AD475" i="14"/>
  <c r="AE475" i="14"/>
  <c r="AF475" i="14"/>
  <c r="AG475" i="14"/>
  <c r="AH475" i="14"/>
  <c r="AC476" i="14"/>
  <c r="AD476" i="14"/>
  <c r="AE476" i="14"/>
  <c r="AF476" i="14"/>
  <c r="AG476" i="14"/>
  <c r="AH476" i="14"/>
  <c r="AC477" i="14"/>
  <c r="AD477" i="14"/>
  <c r="AE477" i="14"/>
  <c r="AF477" i="14"/>
  <c r="AG477" i="14"/>
  <c r="AH477" i="14"/>
  <c r="AC478" i="14"/>
  <c r="AD478" i="14"/>
  <c r="AE478" i="14"/>
  <c r="AF478" i="14"/>
  <c r="AG478" i="14"/>
  <c r="AH478" i="14"/>
  <c r="AC479" i="14"/>
  <c r="AD479" i="14"/>
  <c r="AE479" i="14"/>
  <c r="AF479" i="14"/>
  <c r="AG479" i="14"/>
  <c r="AH479" i="14"/>
  <c r="AC480" i="14"/>
  <c r="AD480" i="14"/>
  <c r="AE480" i="14"/>
  <c r="AF480" i="14"/>
  <c r="AG480" i="14"/>
  <c r="AH480" i="14"/>
  <c r="AC481" i="14"/>
  <c r="AD481" i="14"/>
  <c r="AE481" i="14"/>
  <c r="AF481" i="14"/>
  <c r="AG481" i="14"/>
  <c r="AH481" i="14"/>
  <c r="AC482" i="14"/>
  <c r="AD482" i="14"/>
  <c r="AE482" i="14"/>
  <c r="AF482" i="14"/>
  <c r="AG482" i="14"/>
  <c r="AH482" i="14"/>
  <c r="AC483" i="14"/>
  <c r="AD483" i="14"/>
  <c r="AE483" i="14"/>
  <c r="AF483" i="14"/>
  <c r="AG483" i="14"/>
  <c r="AH483" i="14"/>
  <c r="AC484" i="14"/>
  <c r="AD484" i="14"/>
  <c r="AE484" i="14"/>
  <c r="AF484" i="14"/>
  <c r="AG484" i="14"/>
  <c r="AH484" i="14"/>
  <c r="AC485" i="14"/>
  <c r="AD485" i="14"/>
  <c r="AE485" i="14"/>
  <c r="AF485" i="14"/>
  <c r="AG485" i="14"/>
  <c r="AH485" i="14"/>
  <c r="AC486" i="14"/>
  <c r="AD486" i="14"/>
  <c r="AE486" i="14"/>
  <c r="AF486" i="14"/>
  <c r="AG486" i="14"/>
  <c r="AH486" i="14"/>
  <c r="AC487" i="14"/>
  <c r="AD487" i="14"/>
  <c r="AE487" i="14"/>
  <c r="AF487" i="14"/>
  <c r="AG487" i="14"/>
  <c r="AH487" i="14"/>
  <c r="AC488" i="14"/>
  <c r="AD488" i="14"/>
  <c r="AE488" i="14"/>
  <c r="AF488" i="14"/>
  <c r="AG488" i="14"/>
  <c r="AH488" i="14"/>
  <c r="AC489" i="14"/>
  <c r="AD489" i="14"/>
  <c r="AE489" i="14"/>
  <c r="AF489" i="14"/>
  <c r="AG489" i="14"/>
  <c r="AH489" i="14"/>
  <c r="AC490" i="14"/>
  <c r="AD490" i="14"/>
  <c r="AE490" i="14"/>
  <c r="AF490" i="14"/>
  <c r="AG490" i="14"/>
  <c r="AH490" i="14"/>
  <c r="AC491" i="14"/>
  <c r="AD491" i="14"/>
  <c r="AE491" i="14"/>
  <c r="AF491" i="14"/>
  <c r="AG491" i="14"/>
  <c r="AH491" i="14"/>
  <c r="AC492" i="14"/>
  <c r="AD492" i="14"/>
  <c r="AE492" i="14"/>
  <c r="AF492" i="14"/>
  <c r="AG492" i="14"/>
  <c r="AH492" i="14"/>
  <c r="AC493" i="14"/>
  <c r="AD493" i="14"/>
  <c r="AE493" i="14"/>
  <c r="AF493" i="14"/>
  <c r="AG493" i="14"/>
  <c r="AH493" i="14"/>
  <c r="AC494" i="14"/>
  <c r="AD494" i="14"/>
  <c r="AE494" i="14"/>
  <c r="AF494" i="14"/>
  <c r="AG494" i="14"/>
  <c r="AH494" i="14"/>
  <c r="AC495" i="14"/>
  <c r="AD495" i="14"/>
  <c r="AE495" i="14"/>
  <c r="AF495" i="14"/>
  <c r="AG495" i="14"/>
  <c r="AH495" i="14"/>
  <c r="AC496" i="14"/>
  <c r="AD496" i="14"/>
  <c r="AE496" i="14"/>
  <c r="AF496" i="14"/>
  <c r="AG496" i="14"/>
  <c r="AH496" i="14"/>
  <c r="AC497" i="14"/>
  <c r="AD497" i="14"/>
  <c r="AE497" i="14"/>
  <c r="AF497" i="14"/>
  <c r="AG497" i="14"/>
  <c r="AH497" i="14"/>
  <c r="AC498" i="14"/>
  <c r="AD498" i="14"/>
  <c r="AE498" i="14"/>
  <c r="AF498" i="14"/>
  <c r="AG498" i="14"/>
  <c r="AH498" i="14"/>
  <c r="AC499" i="14"/>
  <c r="AD499" i="14"/>
  <c r="AE499" i="14"/>
  <c r="AF499" i="14"/>
  <c r="AG499" i="14"/>
  <c r="AH499" i="14"/>
  <c r="AC500" i="14"/>
  <c r="AD500" i="14"/>
  <c r="AE500" i="14"/>
  <c r="AF500" i="14"/>
  <c r="AG500" i="14"/>
  <c r="AH500" i="14"/>
  <c r="AC501" i="14"/>
  <c r="AD501" i="14"/>
  <c r="AE501" i="14"/>
  <c r="AF501" i="14"/>
  <c r="AG501" i="14"/>
  <c r="AH501" i="14"/>
  <c r="AC502" i="14"/>
  <c r="AD502" i="14"/>
  <c r="AE502" i="14"/>
  <c r="AF502" i="14"/>
  <c r="AG502" i="14"/>
  <c r="AH502" i="14"/>
  <c r="AC503" i="14"/>
  <c r="AD503" i="14"/>
  <c r="AE503" i="14"/>
  <c r="AF503" i="14"/>
  <c r="AG503" i="14"/>
  <c r="AH503" i="14"/>
  <c r="AC504" i="14"/>
  <c r="AD504" i="14"/>
  <c r="AE504" i="14"/>
  <c r="AF504" i="14"/>
  <c r="AG504" i="14"/>
  <c r="AH504" i="14"/>
  <c r="AC505" i="14"/>
  <c r="AD505" i="14"/>
  <c r="AE505" i="14"/>
  <c r="AF505" i="14"/>
  <c r="AG505" i="14"/>
  <c r="AH505" i="14"/>
  <c r="AC506" i="14"/>
  <c r="AD506" i="14"/>
  <c r="AE506" i="14"/>
  <c r="AF506" i="14"/>
  <c r="AG506" i="14"/>
  <c r="AH506" i="14"/>
  <c r="AC507" i="14"/>
  <c r="AD507" i="14"/>
  <c r="AE507" i="14"/>
  <c r="AF507" i="14"/>
  <c r="AG507" i="14"/>
  <c r="AH507" i="14"/>
  <c r="AC508" i="14"/>
  <c r="AD508" i="14"/>
  <c r="AE508" i="14"/>
  <c r="AF508" i="14"/>
  <c r="AG508" i="14"/>
  <c r="AH508" i="14"/>
  <c r="AC509" i="14"/>
  <c r="AD509" i="14"/>
  <c r="AE509" i="14"/>
  <c r="AF509" i="14"/>
  <c r="AG509" i="14"/>
  <c r="AH509" i="14"/>
  <c r="AC510" i="14"/>
  <c r="AD510" i="14"/>
  <c r="AE510" i="14"/>
  <c r="AF510" i="14"/>
  <c r="AG510" i="14"/>
  <c r="AH510" i="14"/>
  <c r="AC511" i="14"/>
  <c r="AD511" i="14"/>
  <c r="AE511" i="14"/>
  <c r="AF511" i="14"/>
  <c r="AG511" i="14"/>
  <c r="AH511" i="14"/>
  <c r="AC512" i="14"/>
  <c r="AD512" i="14"/>
  <c r="AE512" i="14"/>
  <c r="AF512" i="14"/>
  <c r="AG512" i="14"/>
  <c r="AH512" i="14"/>
  <c r="AC513" i="14"/>
  <c r="AD513" i="14"/>
  <c r="AE513" i="14"/>
  <c r="AF513" i="14"/>
  <c r="AG513" i="14"/>
  <c r="AH513" i="14"/>
  <c r="AC514" i="14"/>
  <c r="AD514" i="14"/>
  <c r="AE514" i="14"/>
  <c r="AF514" i="14"/>
  <c r="AG514" i="14"/>
  <c r="AH514" i="14"/>
  <c r="AC515" i="14"/>
  <c r="AD515" i="14"/>
  <c r="AE515" i="14"/>
  <c r="AF515" i="14"/>
  <c r="AG515" i="14"/>
  <c r="AH515" i="14"/>
  <c r="AC516" i="14"/>
  <c r="AD516" i="14"/>
  <c r="AE516" i="14"/>
  <c r="AF516" i="14"/>
  <c r="AG516" i="14"/>
  <c r="AH516" i="14"/>
  <c r="AC517" i="14"/>
  <c r="AD517" i="14"/>
  <c r="AE517" i="14"/>
  <c r="AF517" i="14"/>
  <c r="AG517" i="14"/>
  <c r="AH517" i="14"/>
  <c r="AC518" i="14"/>
  <c r="AD518" i="14"/>
  <c r="AE518" i="14"/>
  <c r="AF518" i="14"/>
  <c r="AG518" i="14"/>
  <c r="AH518" i="14"/>
  <c r="AC519" i="14"/>
  <c r="AD519" i="14"/>
  <c r="AE519" i="14"/>
  <c r="AF519" i="14"/>
  <c r="AG519" i="14"/>
  <c r="AH519" i="14"/>
  <c r="AC520" i="14"/>
  <c r="AD520" i="14"/>
  <c r="AE520" i="14"/>
  <c r="AF520" i="14"/>
  <c r="AG520" i="14"/>
  <c r="AH520" i="14"/>
  <c r="AC521" i="14"/>
  <c r="AD521" i="14"/>
  <c r="AE521" i="14"/>
  <c r="AF521" i="14"/>
  <c r="AG521" i="14"/>
  <c r="AH521" i="14"/>
  <c r="AC522" i="14"/>
  <c r="AD522" i="14"/>
  <c r="AE522" i="14"/>
  <c r="AF522" i="14"/>
  <c r="AG522" i="14"/>
  <c r="AH522" i="14"/>
  <c r="AC523" i="14"/>
  <c r="AD523" i="14"/>
  <c r="AE523" i="14"/>
  <c r="AF523" i="14"/>
  <c r="AG523" i="14"/>
  <c r="AH523" i="14"/>
  <c r="AC524" i="14"/>
  <c r="AD524" i="14"/>
  <c r="AE524" i="14"/>
  <c r="AF524" i="14"/>
  <c r="AG524" i="14"/>
  <c r="AH524" i="14"/>
  <c r="AC525" i="14"/>
  <c r="AD525" i="14"/>
  <c r="AE525" i="14"/>
  <c r="AF525" i="14"/>
  <c r="AG525" i="14"/>
  <c r="AH525" i="14"/>
  <c r="AC526" i="14"/>
  <c r="AD526" i="14"/>
  <c r="AE526" i="14"/>
  <c r="AF526" i="14"/>
  <c r="AG526" i="14"/>
  <c r="AH526" i="14"/>
  <c r="AC527" i="14"/>
  <c r="AD527" i="14"/>
  <c r="AE527" i="14"/>
  <c r="AF527" i="14"/>
  <c r="AG527" i="14"/>
  <c r="AH527" i="14"/>
  <c r="AC528" i="14"/>
  <c r="AD528" i="14"/>
  <c r="AE528" i="14"/>
  <c r="AF528" i="14"/>
  <c r="AG528" i="14"/>
  <c r="AH528" i="14"/>
  <c r="AC529" i="14"/>
  <c r="AD529" i="14"/>
  <c r="AE529" i="14"/>
  <c r="AF529" i="14"/>
  <c r="AG529" i="14"/>
  <c r="AH529" i="14"/>
  <c r="AC530" i="14"/>
  <c r="AD530" i="14"/>
  <c r="AE530" i="14"/>
  <c r="AF530" i="14"/>
  <c r="AG530" i="14"/>
  <c r="AH530" i="14"/>
  <c r="AC531" i="14"/>
  <c r="AD531" i="14"/>
  <c r="AE531" i="14"/>
  <c r="AF531" i="14"/>
  <c r="AG531" i="14"/>
  <c r="AH531" i="14"/>
  <c r="AC532" i="14"/>
  <c r="AD532" i="14"/>
  <c r="AE532" i="14"/>
  <c r="AF532" i="14"/>
  <c r="AG532" i="14"/>
  <c r="AH532" i="14"/>
  <c r="AC533" i="14"/>
  <c r="AD533" i="14"/>
  <c r="AE533" i="14"/>
  <c r="AF533" i="14"/>
  <c r="AG533" i="14"/>
  <c r="AH533" i="14"/>
  <c r="AC534" i="14"/>
  <c r="AD534" i="14"/>
  <c r="AE534" i="14"/>
  <c r="AF534" i="14"/>
  <c r="AG534" i="14"/>
  <c r="AH534" i="14"/>
  <c r="AC535" i="14"/>
  <c r="AD535" i="14"/>
  <c r="AE535" i="14"/>
  <c r="AF535" i="14"/>
  <c r="AG535" i="14"/>
  <c r="AH535" i="14"/>
  <c r="AC536" i="14"/>
  <c r="AD536" i="14"/>
  <c r="AE536" i="14"/>
  <c r="AF536" i="14"/>
  <c r="AG536" i="14"/>
  <c r="AH536" i="14"/>
  <c r="AC537" i="14"/>
  <c r="AD537" i="14"/>
  <c r="AE537" i="14"/>
  <c r="AF537" i="14"/>
  <c r="AG537" i="14"/>
  <c r="AH537" i="14"/>
  <c r="AC538" i="14"/>
  <c r="AD538" i="14"/>
  <c r="AE538" i="14"/>
  <c r="AF538" i="14"/>
  <c r="AG538" i="14"/>
  <c r="AH538" i="14"/>
  <c r="AC539" i="14"/>
  <c r="AD539" i="14"/>
  <c r="AE539" i="14"/>
  <c r="AF539" i="14"/>
  <c r="AG539" i="14"/>
  <c r="AH539" i="14"/>
  <c r="AC540" i="14"/>
  <c r="AD540" i="14"/>
  <c r="AE540" i="14"/>
  <c r="AF540" i="14"/>
  <c r="AG540" i="14"/>
  <c r="AH540" i="14"/>
  <c r="AC541" i="14"/>
  <c r="AD541" i="14"/>
  <c r="AE541" i="14"/>
  <c r="AF541" i="14"/>
  <c r="AG541" i="14"/>
  <c r="AH541" i="14"/>
  <c r="AC542" i="14"/>
  <c r="AD542" i="14"/>
  <c r="AE542" i="14"/>
  <c r="AF542" i="14"/>
  <c r="AG542" i="14"/>
  <c r="AH542" i="14"/>
  <c r="AC543" i="14"/>
  <c r="AD543" i="14"/>
  <c r="AE543" i="14"/>
  <c r="AF543" i="14"/>
  <c r="AG543" i="14"/>
  <c r="AH543" i="14"/>
  <c r="AH44" i="14"/>
  <c r="U44" i="14"/>
  <c r="AG44" i="14"/>
  <c r="T44" i="14"/>
  <c r="AF44" i="14"/>
  <c r="S44" i="14"/>
  <c r="AE44" i="14"/>
  <c r="R44" i="14"/>
  <c r="AD44" i="14"/>
  <c r="Q44" i="14"/>
  <c r="AC44" i="14"/>
  <c r="P44" i="14"/>
  <c r="R352" i="14"/>
  <c r="Q45" i="14"/>
  <c r="R45" i="14"/>
  <c r="S45" i="14"/>
  <c r="T45" i="14"/>
  <c r="U45" i="14"/>
  <c r="Q46" i="14"/>
  <c r="R46" i="14"/>
  <c r="S46" i="14"/>
  <c r="T46" i="14"/>
  <c r="U46" i="14"/>
  <c r="Q47" i="14"/>
  <c r="R47" i="14"/>
  <c r="S47" i="14"/>
  <c r="T47" i="14"/>
  <c r="U47" i="14"/>
  <c r="Q48" i="14"/>
  <c r="R48" i="14"/>
  <c r="S48" i="14"/>
  <c r="T48" i="14"/>
  <c r="U48" i="14"/>
  <c r="Q49" i="14"/>
  <c r="R49" i="14"/>
  <c r="S49" i="14"/>
  <c r="T49" i="14"/>
  <c r="U49" i="14"/>
  <c r="Q50" i="14"/>
  <c r="R50" i="14"/>
  <c r="S50" i="14"/>
  <c r="T50" i="14"/>
  <c r="U50" i="14"/>
  <c r="Q51" i="14"/>
  <c r="R51" i="14"/>
  <c r="S51" i="14"/>
  <c r="T51" i="14"/>
  <c r="U51" i="14"/>
  <c r="Q52" i="14"/>
  <c r="R52" i="14"/>
  <c r="S52" i="14"/>
  <c r="T52" i="14"/>
  <c r="U52" i="14"/>
  <c r="Q53" i="14"/>
  <c r="R53" i="14"/>
  <c r="S53" i="14"/>
  <c r="T53" i="14"/>
  <c r="U53" i="14"/>
  <c r="Q54" i="14"/>
  <c r="R54" i="14"/>
  <c r="S54" i="14"/>
  <c r="T54" i="14"/>
  <c r="U54" i="14"/>
  <c r="Q55" i="14"/>
  <c r="R55" i="14"/>
  <c r="S55" i="14"/>
  <c r="T55" i="14"/>
  <c r="U55" i="14"/>
  <c r="Q56" i="14"/>
  <c r="R56" i="14"/>
  <c r="S56" i="14"/>
  <c r="T56" i="14"/>
  <c r="U56" i="14"/>
  <c r="Q57" i="14"/>
  <c r="R57" i="14"/>
  <c r="S57" i="14"/>
  <c r="T57" i="14"/>
  <c r="U57" i="14"/>
  <c r="Q58" i="14"/>
  <c r="R58" i="14"/>
  <c r="S58" i="14"/>
  <c r="T58" i="14"/>
  <c r="U58" i="14"/>
  <c r="Q59" i="14"/>
  <c r="R59" i="14"/>
  <c r="S59" i="14"/>
  <c r="T59" i="14"/>
  <c r="U59" i="14"/>
  <c r="Q60" i="14"/>
  <c r="R60" i="14"/>
  <c r="S60" i="14"/>
  <c r="T60" i="14"/>
  <c r="U60" i="14"/>
  <c r="Q61" i="14"/>
  <c r="R61" i="14"/>
  <c r="S61" i="14"/>
  <c r="T61" i="14"/>
  <c r="U61" i="14"/>
  <c r="Q62" i="14"/>
  <c r="R62" i="14"/>
  <c r="S62" i="14"/>
  <c r="T62" i="14"/>
  <c r="U62" i="14"/>
  <c r="Q63" i="14"/>
  <c r="R63" i="14"/>
  <c r="S63" i="14"/>
  <c r="T63" i="14"/>
  <c r="U63" i="14"/>
  <c r="Q64" i="14"/>
  <c r="R64" i="14"/>
  <c r="S64" i="14"/>
  <c r="T64" i="14"/>
  <c r="U64" i="14"/>
  <c r="Q65" i="14"/>
  <c r="R65" i="14"/>
  <c r="S65" i="14"/>
  <c r="T65" i="14"/>
  <c r="U65" i="14"/>
  <c r="Q66" i="14"/>
  <c r="R66" i="14"/>
  <c r="S66" i="14"/>
  <c r="T66" i="14"/>
  <c r="U66" i="14"/>
  <c r="Q67" i="14"/>
  <c r="R67" i="14"/>
  <c r="S67" i="14"/>
  <c r="T67" i="14"/>
  <c r="U67" i="14"/>
  <c r="Q68" i="14"/>
  <c r="R68" i="14"/>
  <c r="S68" i="14"/>
  <c r="T68" i="14"/>
  <c r="U68" i="14"/>
  <c r="Q69" i="14"/>
  <c r="R69" i="14"/>
  <c r="S69" i="14"/>
  <c r="T69" i="14"/>
  <c r="U69" i="14"/>
  <c r="Q70" i="14"/>
  <c r="R70" i="14"/>
  <c r="S70" i="14"/>
  <c r="T70" i="14"/>
  <c r="U70" i="14"/>
  <c r="Q71" i="14"/>
  <c r="R71" i="14"/>
  <c r="S71" i="14"/>
  <c r="T71" i="14"/>
  <c r="U71" i="14"/>
  <c r="Q72" i="14"/>
  <c r="R72" i="14"/>
  <c r="S72" i="14"/>
  <c r="T72" i="14"/>
  <c r="U72" i="14"/>
  <c r="Q73" i="14"/>
  <c r="R73" i="14"/>
  <c r="S73" i="14"/>
  <c r="T73" i="14"/>
  <c r="U73" i="14"/>
  <c r="Q74" i="14"/>
  <c r="R74" i="14"/>
  <c r="S74" i="14"/>
  <c r="T74" i="14"/>
  <c r="U74" i="14"/>
  <c r="Q75" i="14"/>
  <c r="R75" i="14"/>
  <c r="S75" i="14"/>
  <c r="T75" i="14"/>
  <c r="U75" i="14"/>
  <c r="Q76" i="14"/>
  <c r="R76" i="14"/>
  <c r="S76" i="14"/>
  <c r="T76" i="14"/>
  <c r="U76" i="14"/>
  <c r="Q77" i="14"/>
  <c r="R77" i="14"/>
  <c r="S77" i="14"/>
  <c r="T77" i="14"/>
  <c r="U77" i="14"/>
  <c r="Q78" i="14"/>
  <c r="R78" i="14"/>
  <c r="S78" i="14"/>
  <c r="T78" i="14"/>
  <c r="U78" i="14"/>
  <c r="Q79" i="14"/>
  <c r="R79" i="14"/>
  <c r="S79" i="14"/>
  <c r="T79" i="14"/>
  <c r="U79" i="14"/>
  <c r="Q80" i="14"/>
  <c r="R80" i="14"/>
  <c r="S80" i="14"/>
  <c r="T80" i="14"/>
  <c r="U80" i="14"/>
  <c r="Q81" i="14"/>
  <c r="R81" i="14"/>
  <c r="S81" i="14"/>
  <c r="T81" i="14"/>
  <c r="U81" i="14"/>
  <c r="Q82" i="14"/>
  <c r="R82" i="14"/>
  <c r="S82" i="14"/>
  <c r="T82" i="14"/>
  <c r="U82" i="14"/>
  <c r="Q83" i="14"/>
  <c r="R83" i="14"/>
  <c r="S83" i="14"/>
  <c r="T83" i="14"/>
  <c r="U83" i="14"/>
  <c r="Q84" i="14"/>
  <c r="R84" i="14"/>
  <c r="S84" i="14"/>
  <c r="T84" i="14"/>
  <c r="U84" i="14"/>
  <c r="Q85" i="14"/>
  <c r="R85" i="14"/>
  <c r="S85" i="14"/>
  <c r="T85" i="14"/>
  <c r="U85" i="14"/>
  <c r="Q86" i="14"/>
  <c r="R86" i="14"/>
  <c r="S86" i="14"/>
  <c r="T86" i="14"/>
  <c r="U86" i="14"/>
  <c r="Q87" i="14"/>
  <c r="R87" i="14"/>
  <c r="S87" i="14"/>
  <c r="T87" i="14"/>
  <c r="U87" i="14"/>
  <c r="Q88" i="14"/>
  <c r="R88" i="14"/>
  <c r="S88" i="14"/>
  <c r="T88" i="14"/>
  <c r="U88" i="14"/>
  <c r="Q89" i="14"/>
  <c r="R89" i="14"/>
  <c r="S89" i="14"/>
  <c r="T89" i="14"/>
  <c r="U89" i="14"/>
  <c r="Q90" i="14"/>
  <c r="R90" i="14"/>
  <c r="S90" i="14"/>
  <c r="T90" i="14"/>
  <c r="U90" i="14"/>
  <c r="Q91" i="14"/>
  <c r="R91" i="14"/>
  <c r="S91" i="14"/>
  <c r="T91" i="14"/>
  <c r="U91" i="14"/>
  <c r="Q92" i="14"/>
  <c r="R92" i="14"/>
  <c r="S92" i="14"/>
  <c r="T92" i="14"/>
  <c r="U92" i="14"/>
  <c r="Q93" i="14"/>
  <c r="R93" i="14"/>
  <c r="S93" i="14"/>
  <c r="T93" i="14"/>
  <c r="U93" i="14"/>
  <c r="Q94" i="14"/>
  <c r="R94" i="14"/>
  <c r="S94" i="14"/>
  <c r="T94" i="14"/>
  <c r="U94" i="14"/>
  <c r="Q95" i="14"/>
  <c r="R95" i="14"/>
  <c r="S95" i="14"/>
  <c r="T95" i="14"/>
  <c r="U95" i="14"/>
  <c r="Q96" i="14"/>
  <c r="R96" i="14"/>
  <c r="S96" i="14"/>
  <c r="T96" i="14"/>
  <c r="U96" i="14"/>
  <c r="Q97" i="14"/>
  <c r="R97" i="14"/>
  <c r="S97" i="14"/>
  <c r="T97" i="14"/>
  <c r="U97" i="14"/>
  <c r="Q98" i="14"/>
  <c r="R98" i="14"/>
  <c r="S98" i="14"/>
  <c r="T98" i="14"/>
  <c r="U98" i="14"/>
  <c r="Q99" i="14"/>
  <c r="R99" i="14"/>
  <c r="S99" i="14"/>
  <c r="T99" i="14"/>
  <c r="U99" i="14"/>
  <c r="Q100" i="14"/>
  <c r="R100" i="14"/>
  <c r="S100" i="14"/>
  <c r="T100" i="14"/>
  <c r="U100" i="14"/>
  <c r="Q101" i="14"/>
  <c r="R101" i="14"/>
  <c r="S101" i="14"/>
  <c r="T101" i="14"/>
  <c r="U101" i="14"/>
  <c r="Q102" i="14"/>
  <c r="R102" i="14"/>
  <c r="S102" i="14"/>
  <c r="T102" i="14"/>
  <c r="U102" i="14"/>
  <c r="Q103" i="14"/>
  <c r="R103" i="14"/>
  <c r="S103" i="14"/>
  <c r="T103" i="14"/>
  <c r="U103" i="14"/>
  <c r="Q104" i="14"/>
  <c r="R104" i="14"/>
  <c r="S104" i="14"/>
  <c r="T104" i="14"/>
  <c r="U104" i="14"/>
  <c r="Q105" i="14"/>
  <c r="R105" i="14"/>
  <c r="S105" i="14"/>
  <c r="T105" i="14"/>
  <c r="U105" i="14"/>
  <c r="Q106" i="14"/>
  <c r="R106" i="14"/>
  <c r="S106" i="14"/>
  <c r="T106" i="14"/>
  <c r="U106" i="14"/>
  <c r="Q107" i="14"/>
  <c r="R107" i="14"/>
  <c r="S107" i="14"/>
  <c r="T107" i="14"/>
  <c r="U107" i="14"/>
  <c r="Q108" i="14"/>
  <c r="R108" i="14"/>
  <c r="S108" i="14"/>
  <c r="T108" i="14"/>
  <c r="U108" i="14"/>
  <c r="Q109" i="14"/>
  <c r="R109" i="14"/>
  <c r="S109" i="14"/>
  <c r="T109" i="14"/>
  <c r="U109" i="14"/>
  <c r="Q110" i="14"/>
  <c r="R110" i="14"/>
  <c r="S110" i="14"/>
  <c r="T110" i="14"/>
  <c r="U110" i="14"/>
  <c r="Q111" i="14"/>
  <c r="R111" i="14"/>
  <c r="S111" i="14"/>
  <c r="T111" i="14"/>
  <c r="U111" i="14"/>
  <c r="Q112" i="14"/>
  <c r="R112" i="14"/>
  <c r="S112" i="14"/>
  <c r="T112" i="14"/>
  <c r="U112" i="14"/>
  <c r="Q113" i="14"/>
  <c r="R113" i="14"/>
  <c r="S113" i="14"/>
  <c r="T113" i="14"/>
  <c r="U113" i="14"/>
  <c r="Q114" i="14"/>
  <c r="R114" i="14"/>
  <c r="S114" i="14"/>
  <c r="T114" i="14"/>
  <c r="U114" i="14"/>
  <c r="Q115" i="14"/>
  <c r="R115" i="14"/>
  <c r="S115" i="14"/>
  <c r="T115" i="14"/>
  <c r="U115" i="14"/>
  <c r="Q116" i="14"/>
  <c r="R116" i="14"/>
  <c r="S116" i="14"/>
  <c r="T116" i="14"/>
  <c r="U116" i="14"/>
  <c r="Q117" i="14"/>
  <c r="R117" i="14"/>
  <c r="S117" i="14"/>
  <c r="T117" i="14"/>
  <c r="U117" i="14"/>
  <c r="Q118" i="14"/>
  <c r="R118" i="14"/>
  <c r="S118" i="14"/>
  <c r="T118" i="14"/>
  <c r="U118" i="14"/>
  <c r="Q119" i="14"/>
  <c r="R119" i="14"/>
  <c r="S119" i="14"/>
  <c r="T119" i="14"/>
  <c r="U119" i="14"/>
  <c r="Q120" i="14"/>
  <c r="R120" i="14"/>
  <c r="S120" i="14"/>
  <c r="T120" i="14"/>
  <c r="U120" i="14"/>
  <c r="Q121" i="14"/>
  <c r="R121" i="14"/>
  <c r="S121" i="14"/>
  <c r="T121" i="14"/>
  <c r="U121" i="14"/>
  <c r="Q122" i="14"/>
  <c r="R122" i="14"/>
  <c r="S122" i="14"/>
  <c r="T122" i="14"/>
  <c r="U122" i="14"/>
  <c r="Q123" i="14"/>
  <c r="R123" i="14"/>
  <c r="S123" i="14"/>
  <c r="T123" i="14"/>
  <c r="U123" i="14"/>
  <c r="Q124" i="14"/>
  <c r="R124" i="14"/>
  <c r="S124" i="14"/>
  <c r="T124" i="14"/>
  <c r="U124" i="14"/>
  <c r="Q125" i="14"/>
  <c r="R125" i="14"/>
  <c r="S125" i="14"/>
  <c r="T125" i="14"/>
  <c r="U125" i="14"/>
  <c r="Q126" i="14"/>
  <c r="R126" i="14"/>
  <c r="S126" i="14"/>
  <c r="T126" i="14"/>
  <c r="U126" i="14"/>
  <c r="Q127" i="14"/>
  <c r="R127" i="14"/>
  <c r="S127" i="14"/>
  <c r="T127" i="14"/>
  <c r="U127" i="14"/>
  <c r="Q128" i="14"/>
  <c r="R128" i="14"/>
  <c r="S128" i="14"/>
  <c r="T128" i="14"/>
  <c r="U128" i="14"/>
  <c r="Q129" i="14"/>
  <c r="R129" i="14"/>
  <c r="S129" i="14"/>
  <c r="T129" i="14"/>
  <c r="U129" i="14"/>
  <c r="Q130" i="14"/>
  <c r="R130" i="14"/>
  <c r="S130" i="14"/>
  <c r="T130" i="14"/>
  <c r="U130" i="14"/>
  <c r="Q131" i="14"/>
  <c r="R131" i="14"/>
  <c r="S131" i="14"/>
  <c r="T131" i="14"/>
  <c r="U131" i="14"/>
  <c r="Q132" i="14"/>
  <c r="R132" i="14"/>
  <c r="S132" i="14"/>
  <c r="T132" i="14"/>
  <c r="U132" i="14"/>
  <c r="Q133" i="14"/>
  <c r="R133" i="14"/>
  <c r="S133" i="14"/>
  <c r="T133" i="14"/>
  <c r="U133" i="14"/>
  <c r="Q134" i="14"/>
  <c r="R134" i="14"/>
  <c r="S134" i="14"/>
  <c r="T134" i="14"/>
  <c r="U134" i="14"/>
  <c r="Q135" i="14"/>
  <c r="R135" i="14"/>
  <c r="S135" i="14"/>
  <c r="T135" i="14"/>
  <c r="U135" i="14"/>
  <c r="Q136" i="14"/>
  <c r="R136" i="14"/>
  <c r="S136" i="14"/>
  <c r="T136" i="14"/>
  <c r="U136" i="14"/>
  <c r="Q137" i="14"/>
  <c r="R137" i="14"/>
  <c r="S137" i="14"/>
  <c r="T137" i="14"/>
  <c r="U137" i="14"/>
  <c r="Q138" i="14"/>
  <c r="R138" i="14"/>
  <c r="S138" i="14"/>
  <c r="T138" i="14"/>
  <c r="U138" i="14"/>
  <c r="Q139" i="14"/>
  <c r="R139" i="14"/>
  <c r="S139" i="14"/>
  <c r="T139" i="14"/>
  <c r="U139" i="14"/>
  <c r="Q140" i="14"/>
  <c r="R140" i="14"/>
  <c r="S140" i="14"/>
  <c r="T140" i="14"/>
  <c r="U140" i="14"/>
  <c r="Q141" i="14"/>
  <c r="R141" i="14"/>
  <c r="S141" i="14"/>
  <c r="T141" i="14"/>
  <c r="U141" i="14"/>
  <c r="Q142" i="14"/>
  <c r="R142" i="14"/>
  <c r="S142" i="14"/>
  <c r="T142" i="14"/>
  <c r="U142" i="14"/>
  <c r="Q143" i="14"/>
  <c r="R143" i="14"/>
  <c r="S143" i="14"/>
  <c r="T143" i="14"/>
  <c r="U143" i="14"/>
  <c r="Q144" i="14"/>
  <c r="R144" i="14"/>
  <c r="S144" i="14"/>
  <c r="T144" i="14"/>
  <c r="U144" i="14"/>
  <c r="Q145" i="14"/>
  <c r="R145" i="14"/>
  <c r="S145" i="14"/>
  <c r="T145" i="14"/>
  <c r="U145" i="14"/>
  <c r="Q146" i="14"/>
  <c r="R146" i="14"/>
  <c r="S146" i="14"/>
  <c r="T146" i="14"/>
  <c r="U146" i="14"/>
  <c r="Q147" i="14"/>
  <c r="R147" i="14"/>
  <c r="S147" i="14"/>
  <c r="T147" i="14"/>
  <c r="U147" i="14"/>
  <c r="Q148" i="14"/>
  <c r="R148" i="14"/>
  <c r="S148" i="14"/>
  <c r="T148" i="14"/>
  <c r="U148" i="14"/>
  <c r="Q149" i="14"/>
  <c r="R149" i="14"/>
  <c r="S149" i="14"/>
  <c r="T149" i="14"/>
  <c r="U149" i="14"/>
  <c r="Q150" i="14"/>
  <c r="R150" i="14"/>
  <c r="S150" i="14"/>
  <c r="T150" i="14"/>
  <c r="U150" i="14"/>
  <c r="Q151" i="14"/>
  <c r="R151" i="14"/>
  <c r="S151" i="14"/>
  <c r="T151" i="14"/>
  <c r="U151" i="14"/>
  <c r="Q152" i="14"/>
  <c r="R152" i="14"/>
  <c r="S152" i="14"/>
  <c r="T152" i="14"/>
  <c r="U152" i="14"/>
  <c r="Q153" i="14"/>
  <c r="R153" i="14"/>
  <c r="S153" i="14"/>
  <c r="T153" i="14"/>
  <c r="U153" i="14"/>
  <c r="Q154" i="14"/>
  <c r="R154" i="14"/>
  <c r="S154" i="14"/>
  <c r="T154" i="14"/>
  <c r="U154" i="14"/>
  <c r="Q155" i="14"/>
  <c r="R155" i="14"/>
  <c r="S155" i="14"/>
  <c r="T155" i="14"/>
  <c r="U155" i="14"/>
  <c r="Q156" i="14"/>
  <c r="R156" i="14"/>
  <c r="S156" i="14"/>
  <c r="T156" i="14"/>
  <c r="U156" i="14"/>
  <c r="Q157" i="14"/>
  <c r="R157" i="14"/>
  <c r="S157" i="14"/>
  <c r="T157" i="14"/>
  <c r="U157" i="14"/>
  <c r="Q158" i="14"/>
  <c r="R158" i="14"/>
  <c r="S158" i="14"/>
  <c r="T158" i="14"/>
  <c r="U158" i="14"/>
  <c r="Q159" i="14"/>
  <c r="R159" i="14"/>
  <c r="S159" i="14"/>
  <c r="T159" i="14"/>
  <c r="U159" i="14"/>
  <c r="Q160" i="14"/>
  <c r="R160" i="14"/>
  <c r="S160" i="14"/>
  <c r="T160" i="14"/>
  <c r="U160" i="14"/>
  <c r="Q161" i="14"/>
  <c r="R161" i="14"/>
  <c r="S161" i="14"/>
  <c r="T161" i="14"/>
  <c r="U161" i="14"/>
  <c r="Q162" i="14"/>
  <c r="R162" i="14"/>
  <c r="S162" i="14"/>
  <c r="T162" i="14"/>
  <c r="U162" i="14"/>
  <c r="Q163" i="14"/>
  <c r="R163" i="14"/>
  <c r="S163" i="14"/>
  <c r="T163" i="14"/>
  <c r="U163" i="14"/>
  <c r="Q164" i="14"/>
  <c r="R164" i="14"/>
  <c r="S164" i="14"/>
  <c r="T164" i="14"/>
  <c r="U164" i="14"/>
  <c r="Q165" i="14"/>
  <c r="R165" i="14"/>
  <c r="S165" i="14"/>
  <c r="T165" i="14"/>
  <c r="U165" i="14"/>
  <c r="Q166" i="14"/>
  <c r="R166" i="14"/>
  <c r="S166" i="14"/>
  <c r="T166" i="14"/>
  <c r="U166" i="14"/>
  <c r="Q167" i="14"/>
  <c r="R167" i="14"/>
  <c r="S167" i="14"/>
  <c r="T167" i="14"/>
  <c r="U167" i="14"/>
  <c r="Q168" i="14"/>
  <c r="R168" i="14"/>
  <c r="S168" i="14"/>
  <c r="T168" i="14"/>
  <c r="U168" i="14"/>
  <c r="Q169" i="14"/>
  <c r="R169" i="14"/>
  <c r="S169" i="14"/>
  <c r="T169" i="14"/>
  <c r="U169" i="14"/>
  <c r="Q170" i="14"/>
  <c r="R170" i="14"/>
  <c r="S170" i="14"/>
  <c r="T170" i="14"/>
  <c r="U170" i="14"/>
  <c r="Q171" i="14"/>
  <c r="R171" i="14"/>
  <c r="S171" i="14"/>
  <c r="T171" i="14"/>
  <c r="U171" i="14"/>
  <c r="Q172" i="14"/>
  <c r="R172" i="14"/>
  <c r="S172" i="14"/>
  <c r="T172" i="14"/>
  <c r="U172" i="14"/>
  <c r="Q173" i="14"/>
  <c r="R173" i="14"/>
  <c r="S173" i="14"/>
  <c r="T173" i="14"/>
  <c r="U173" i="14"/>
  <c r="Q174" i="14"/>
  <c r="R174" i="14"/>
  <c r="S174" i="14"/>
  <c r="T174" i="14"/>
  <c r="U174" i="14"/>
  <c r="Q175" i="14"/>
  <c r="R175" i="14"/>
  <c r="S175" i="14"/>
  <c r="T175" i="14"/>
  <c r="U175" i="14"/>
  <c r="Q176" i="14"/>
  <c r="R176" i="14"/>
  <c r="S176" i="14"/>
  <c r="T176" i="14"/>
  <c r="U176" i="14"/>
  <c r="Q177" i="14"/>
  <c r="R177" i="14"/>
  <c r="S177" i="14"/>
  <c r="T177" i="14"/>
  <c r="U177" i="14"/>
  <c r="Q178" i="14"/>
  <c r="R178" i="14"/>
  <c r="S178" i="14"/>
  <c r="T178" i="14"/>
  <c r="U178" i="14"/>
  <c r="Q179" i="14"/>
  <c r="R179" i="14"/>
  <c r="S179" i="14"/>
  <c r="T179" i="14"/>
  <c r="U179" i="14"/>
  <c r="Q180" i="14"/>
  <c r="R180" i="14"/>
  <c r="S180" i="14"/>
  <c r="T180" i="14"/>
  <c r="U180" i="14"/>
  <c r="Q181" i="14"/>
  <c r="R181" i="14"/>
  <c r="S181" i="14"/>
  <c r="T181" i="14"/>
  <c r="U181" i="14"/>
  <c r="Q182" i="14"/>
  <c r="R182" i="14"/>
  <c r="S182" i="14"/>
  <c r="T182" i="14"/>
  <c r="U182" i="14"/>
  <c r="Q183" i="14"/>
  <c r="R183" i="14"/>
  <c r="S183" i="14"/>
  <c r="T183" i="14"/>
  <c r="U183" i="14"/>
  <c r="Q184" i="14"/>
  <c r="R184" i="14"/>
  <c r="S184" i="14"/>
  <c r="T184" i="14"/>
  <c r="U184" i="14"/>
  <c r="Q185" i="14"/>
  <c r="R185" i="14"/>
  <c r="S185" i="14"/>
  <c r="T185" i="14"/>
  <c r="U185" i="14"/>
  <c r="Q186" i="14"/>
  <c r="R186" i="14"/>
  <c r="S186" i="14"/>
  <c r="T186" i="14"/>
  <c r="U186" i="14"/>
  <c r="Q187" i="14"/>
  <c r="R187" i="14"/>
  <c r="S187" i="14"/>
  <c r="T187" i="14"/>
  <c r="U187" i="14"/>
  <c r="Q188" i="14"/>
  <c r="R188" i="14"/>
  <c r="S188" i="14"/>
  <c r="T188" i="14"/>
  <c r="U188" i="14"/>
  <c r="Q189" i="14"/>
  <c r="R189" i="14"/>
  <c r="S189" i="14"/>
  <c r="T189" i="14"/>
  <c r="U189" i="14"/>
  <c r="Q190" i="14"/>
  <c r="R190" i="14"/>
  <c r="S190" i="14"/>
  <c r="T190" i="14"/>
  <c r="U190" i="14"/>
  <c r="Q191" i="14"/>
  <c r="R191" i="14"/>
  <c r="S191" i="14"/>
  <c r="T191" i="14"/>
  <c r="U191" i="14"/>
  <c r="Q192" i="14"/>
  <c r="R192" i="14"/>
  <c r="S192" i="14"/>
  <c r="T192" i="14"/>
  <c r="U192" i="14"/>
  <c r="Q193" i="14"/>
  <c r="R193" i="14"/>
  <c r="S193" i="14"/>
  <c r="T193" i="14"/>
  <c r="U193" i="14"/>
  <c r="Q194" i="14"/>
  <c r="R194" i="14"/>
  <c r="S194" i="14"/>
  <c r="T194" i="14"/>
  <c r="U194" i="14"/>
  <c r="Q195" i="14"/>
  <c r="R195" i="14"/>
  <c r="S195" i="14"/>
  <c r="T195" i="14"/>
  <c r="U195" i="14"/>
  <c r="Q196" i="14"/>
  <c r="R196" i="14"/>
  <c r="S196" i="14"/>
  <c r="T196" i="14"/>
  <c r="U196" i="14"/>
  <c r="Q197" i="14"/>
  <c r="R197" i="14"/>
  <c r="S197" i="14"/>
  <c r="T197" i="14"/>
  <c r="U197" i="14"/>
  <c r="Q198" i="14"/>
  <c r="R198" i="14"/>
  <c r="S198" i="14"/>
  <c r="T198" i="14"/>
  <c r="U198" i="14"/>
  <c r="Q199" i="14"/>
  <c r="R199" i="14"/>
  <c r="S199" i="14"/>
  <c r="T199" i="14"/>
  <c r="U199" i="14"/>
  <c r="Q200" i="14"/>
  <c r="R200" i="14"/>
  <c r="S200" i="14"/>
  <c r="T200" i="14"/>
  <c r="U200" i="14"/>
  <c r="Q201" i="14"/>
  <c r="R201" i="14"/>
  <c r="S201" i="14"/>
  <c r="T201" i="14"/>
  <c r="U201" i="14"/>
  <c r="Q202" i="14"/>
  <c r="R202" i="14"/>
  <c r="S202" i="14"/>
  <c r="T202" i="14"/>
  <c r="U202" i="14"/>
  <c r="Q203" i="14"/>
  <c r="R203" i="14"/>
  <c r="S203" i="14"/>
  <c r="T203" i="14"/>
  <c r="U203" i="14"/>
  <c r="Q204" i="14"/>
  <c r="R204" i="14"/>
  <c r="S204" i="14"/>
  <c r="T204" i="14"/>
  <c r="U204" i="14"/>
  <c r="Q205" i="14"/>
  <c r="R205" i="14"/>
  <c r="S205" i="14"/>
  <c r="T205" i="14"/>
  <c r="U205" i="14"/>
  <c r="Q206" i="14"/>
  <c r="R206" i="14"/>
  <c r="S206" i="14"/>
  <c r="T206" i="14"/>
  <c r="U206" i="14"/>
  <c r="Q207" i="14"/>
  <c r="R207" i="14"/>
  <c r="S207" i="14"/>
  <c r="T207" i="14"/>
  <c r="U207" i="14"/>
  <c r="Q208" i="14"/>
  <c r="R208" i="14"/>
  <c r="S208" i="14"/>
  <c r="T208" i="14"/>
  <c r="U208" i="14"/>
  <c r="Q209" i="14"/>
  <c r="R209" i="14"/>
  <c r="S209" i="14"/>
  <c r="T209" i="14"/>
  <c r="U209" i="14"/>
  <c r="Q210" i="14"/>
  <c r="R210" i="14"/>
  <c r="S210" i="14"/>
  <c r="T210" i="14"/>
  <c r="U210" i="14"/>
  <c r="Q211" i="14"/>
  <c r="R211" i="14"/>
  <c r="S211" i="14"/>
  <c r="T211" i="14"/>
  <c r="U211" i="14"/>
  <c r="Q212" i="14"/>
  <c r="R212" i="14"/>
  <c r="S212" i="14"/>
  <c r="T212" i="14"/>
  <c r="U212" i="14"/>
  <c r="Q213" i="14"/>
  <c r="R213" i="14"/>
  <c r="S213" i="14"/>
  <c r="T213" i="14"/>
  <c r="U213" i="14"/>
  <c r="Q214" i="14"/>
  <c r="R214" i="14"/>
  <c r="S214" i="14"/>
  <c r="T214" i="14"/>
  <c r="U214" i="14"/>
  <c r="Q215" i="14"/>
  <c r="R215" i="14"/>
  <c r="S215" i="14"/>
  <c r="T215" i="14"/>
  <c r="U215" i="14"/>
  <c r="Q216" i="14"/>
  <c r="R216" i="14"/>
  <c r="S216" i="14"/>
  <c r="T216" i="14"/>
  <c r="U216" i="14"/>
  <c r="Q217" i="14"/>
  <c r="R217" i="14"/>
  <c r="S217" i="14"/>
  <c r="T217" i="14"/>
  <c r="U217" i="14"/>
  <c r="Q218" i="14"/>
  <c r="R218" i="14"/>
  <c r="S218" i="14"/>
  <c r="T218" i="14"/>
  <c r="U218" i="14"/>
  <c r="Q219" i="14"/>
  <c r="R219" i="14"/>
  <c r="S219" i="14"/>
  <c r="T219" i="14"/>
  <c r="U219" i="14"/>
  <c r="Q220" i="14"/>
  <c r="R220" i="14"/>
  <c r="S220" i="14"/>
  <c r="T220" i="14"/>
  <c r="U220" i="14"/>
  <c r="Q221" i="14"/>
  <c r="R221" i="14"/>
  <c r="S221" i="14"/>
  <c r="T221" i="14"/>
  <c r="U221" i="14"/>
  <c r="Q222" i="14"/>
  <c r="R222" i="14"/>
  <c r="S222" i="14"/>
  <c r="T222" i="14"/>
  <c r="U222" i="14"/>
  <c r="Q223" i="14"/>
  <c r="R223" i="14"/>
  <c r="S223" i="14"/>
  <c r="T223" i="14"/>
  <c r="U223" i="14"/>
  <c r="Q224" i="14"/>
  <c r="R224" i="14"/>
  <c r="S224" i="14"/>
  <c r="T224" i="14"/>
  <c r="U224" i="14"/>
  <c r="Q225" i="14"/>
  <c r="R225" i="14"/>
  <c r="S225" i="14"/>
  <c r="T225" i="14"/>
  <c r="U225" i="14"/>
  <c r="Q226" i="14"/>
  <c r="R226" i="14"/>
  <c r="S226" i="14"/>
  <c r="T226" i="14"/>
  <c r="U226" i="14"/>
  <c r="Q227" i="14"/>
  <c r="R227" i="14"/>
  <c r="S227" i="14"/>
  <c r="T227" i="14"/>
  <c r="U227" i="14"/>
  <c r="Q228" i="14"/>
  <c r="R228" i="14"/>
  <c r="S228" i="14"/>
  <c r="T228" i="14"/>
  <c r="U228" i="14"/>
  <c r="Q229" i="14"/>
  <c r="R229" i="14"/>
  <c r="S229" i="14"/>
  <c r="T229" i="14"/>
  <c r="U229" i="14"/>
  <c r="Q230" i="14"/>
  <c r="R230" i="14"/>
  <c r="S230" i="14"/>
  <c r="T230" i="14"/>
  <c r="U230" i="14"/>
  <c r="Q231" i="14"/>
  <c r="R231" i="14"/>
  <c r="S231" i="14"/>
  <c r="T231" i="14"/>
  <c r="U231" i="14"/>
  <c r="Q232" i="14"/>
  <c r="R232" i="14"/>
  <c r="S232" i="14"/>
  <c r="T232" i="14"/>
  <c r="U232" i="14"/>
  <c r="Q233" i="14"/>
  <c r="R233" i="14"/>
  <c r="S233" i="14"/>
  <c r="T233" i="14"/>
  <c r="U233" i="14"/>
  <c r="Q234" i="14"/>
  <c r="R234" i="14"/>
  <c r="S234" i="14"/>
  <c r="T234" i="14"/>
  <c r="U234" i="14"/>
  <c r="Q235" i="14"/>
  <c r="R235" i="14"/>
  <c r="S235" i="14"/>
  <c r="T235" i="14"/>
  <c r="U235" i="14"/>
  <c r="Q236" i="14"/>
  <c r="R236" i="14"/>
  <c r="S236" i="14"/>
  <c r="T236" i="14"/>
  <c r="U236" i="14"/>
  <c r="Q237" i="14"/>
  <c r="R237" i="14"/>
  <c r="S237" i="14"/>
  <c r="T237" i="14"/>
  <c r="U237" i="14"/>
  <c r="Q238" i="14"/>
  <c r="R238" i="14"/>
  <c r="S238" i="14"/>
  <c r="T238" i="14"/>
  <c r="U238" i="14"/>
  <c r="Q239" i="14"/>
  <c r="R239" i="14"/>
  <c r="S239" i="14"/>
  <c r="T239" i="14"/>
  <c r="U239" i="14"/>
  <c r="Q240" i="14"/>
  <c r="R240" i="14"/>
  <c r="S240" i="14"/>
  <c r="T240" i="14"/>
  <c r="U240" i="14"/>
  <c r="Q241" i="14"/>
  <c r="R241" i="14"/>
  <c r="S241" i="14"/>
  <c r="T241" i="14"/>
  <c r="U241" i="14"/>
  <c r="Q242" i="14"/>
  <c r="R242" i="14"/>
  <c r="S242" i="14"/>
  <c r="T242" i="14"/>
  <c r="U242" i="14"/>
  <c r="Q243" i="14"/>
  <c r="R243" i="14"/>
  <c r="S243" i="14"/>
  <c r="T243" i="14"/>
  <c r="U243" i="14"/>
  <c r="Q244" i="14"/>
  <c r="R244" i="14"/>
  <c r="S244" i="14"/>
  <c r="T244" i="14"/>
  <c r="U244" i="14"/>
  <c r="Q245" i="14"/>
  <c r="R245" i="14"/>
  <c r="S245" i="14"/>
  <c r="T245" i="14"/>
  <c r="U245" i="14"/>
  <c r="Q246" i="14"/>
  <c r="R246" i="14"/>
  <c r="S246" i="14"/>
  <c r="T246" i="14"/>
  <c r="U246" i="14"/>
  <c r="Q247" i="14"/>
  <c r="R247" i="14"/>
  <c r="S247" i="14"/>
  <c r="T247" i="14"/>
  <c r="U247" i="14"/>
  <c r="Q248" i="14"/>
  <c r="R248" i="14"/>
  <c r="S248" i="14"/>
  <c r="T248" i="14"/>
  <c r="U248" i="14"/>
  <c r="Q249" i="14"/>
  <c r="R249" i="14"/>
  <c r="S249" i="14"/>
  <c r="T249" i="14"/>
  <c r="U249" i="14"/>
  <c r="Q250" i="14"/>
  <c r="R250" i="14"/>
  <c r="S250" i="14"/>
  <c r="T250" i="14"/>
  <c r="U250" i="14"/>
  <c r="Q251" i="14"/>
  <c r="R251" i="14"/>
  <c r="S251" i="14"/>
  <c r="T251" i="14"/>
  <c r="U251" i="14"/>
  <c r="Q252" i="14"/>
  <c r="R252" i="14"/>
  <c r="S252" i="14"/>
  <c r="T252" i="14"/>
  <c r="U252" i="14"/>
  <c r="Q253" i="14"/>
  <c r="R253" i="14"/>
  <c r="S253" i="14"/>
  <c r="T253" i="14"/>
  <c r="U253" i="14"/>
  <c r="Q254" i="14"/>
  <c r="R254" i="14"/>
  <c r="S254" i="14"/>
  <c r="T254" i="14"/>
  <c r="U254" i="14"/>
  <c r="Q255" i="14"/>
  <c r="R255" i="14"/>
  <c r="S255" i="14"/>
  <c r="T255" i="14"/>
  <c r="U255" i="14"/>
  <c r="Q256" i="14"/>
  <c r="R256" i="14"/>
  <c r="S256" i="14"/>
  <c r="T256" i="14"/>
  <c r="U256" i="14"/>
  <c r="Q257" i="14"/>
  <c r="R257" i="14"/>
  <c r="S257" i="14"/>
  <c r="T257" i="14"/>
  <c r="U257" i="14"/>
  <c r="Q258" i="14"/>
  <c r="R258" i="14"/>
  <c r="S258" i="14"/>
  <c r="T258" i="14"/>
  <c r="U258" i="14"/>
  <c r="Q259" i="14"/>
  <c r="R259" i="14"/>
  <c r="S259" i="14"/>
  <c r="T259" i="14"/>
  <c r="U259" i="14"/>
  <c r="Q260" i="14"/>
  <c r="R260" i="14"/>
  <c r="S260" i="14"/>
  <c r="T260" i="14"/>
  <c r="U260" i="14"/>
  <c r="Q261" i="14"/>
  <c r="R261" i="14"/>
  <c r="S261" i="14"/>
  <c r="T261" i="14"/>
  <c r="U261" i="14"/>
  <c r="Q262" i="14"/>
  <c r="R262" i="14"/>
  <c r="S262" i="14"/>
  <c r="T262" i="14"/>
  <c r="U262" i="14"/>
  <c r="Q263" i="14"/>
  <c r="R263" i="14"/>
  <c r="S263" i="14"/>
  <c r="T263" i="14"/>
  <c r="U263" i="14"/>
  <c r="Q264" i="14"/>
  <c r="R264" i="14"/>
  <c r="S264" i="14"/>
  <c r="T264" i="14"/>
  <c r="U264" i="14"/>
  <c r="Q265" i="14"/>
  <c r="R265" i="14"/>
  <c r="S265" i="14"/>
  <c r="T265" i="14"/>
  <c r="U265" i="14"/>
  <c r="Q266" i="14"/>
  <c r="R266" i="14"/>
  <c r="S266" i="14"/>
  <c r="T266" i="14"/>
  <c r="U266" i="14"/>
  <c r="Q267" i="14"/>
  <c r="R267" i="14"/>
  <c r="S267" i="14"/>
  <c r="T267" i="14"/>
  <c r="U267" i="14"/>
  <c r="Q268" i="14"/>
  <c r="R268" i="14"/>
  <c r="S268" i="14"/>
  <c r="T268" i="14"/>
  <c r="U268" i="14"/>
  <c r="Q269" i="14"/>
  <c r="R269" i="14"/>
  <c r="S269" i="14"/>
  <c r="T269" i="14"/>
  <c r="U269" i="14"/>
  <c r="Q270" i="14"/>
  <c r="R270" i="14"/>
  <c r="S270" i="14"/>
  <c r="T270" i="14"/>
  <c r="U270" i="14"/>
  <c r="Q271" i="14"/>
  <c r="R271" i="14"/>
  <c r="S271" i="14"/>
  <c r="T271" i="14"/>
  <c r="U271" i="14"/>
  <c r="Q272" i="14"/>
  <c r="R272" i="14"/>
  <c r="S272" i="14"/>
  <c r="T272" i="14"/>
  <c r="U272" i="14"/>
  <c r="Q273" i="14"/>
  <c r="R273" i="14"/>
  <c r="S273" i="14"/>
  <c r="T273" i="14"/>
  <c r="U273" i="14"/>
  <c r="Q274" i="14"/>
  <c r="R274" i="14"/>
  <c r="S274" i="14"/>
  <c r="T274" i="14"/>
  <c r="U274" i="14"/>
  <c r="Q275" i="14"/>
  <c r="R275" i="14"/>
  <c r="S275" i="14"/>
  <c r="T275" i="14"/>
  <c r="U275" i="14"/>
  <c r="Q276" i="14"/>
  <c r="R276" i="14"/>
  <c r="S276" i="14"/>
  <c r="T276" i="14"/>
  <c r="U276" i="14"/>
  <c r="Q277" i="14"/>
  <c r="R277" i="14"/>
  <c r="S277" i="14"/>
  <c r="T277" i="14"/>
  <c r="U277" i="14"/>
  <c r="Q278" i="14"/>
  <c r="R278" i="14"/>
  <c r="S278" i="14"/>
  <c r="T278" i="14"/>
  <c r="U278" i="14"/>
  <c r="Q279" i="14"/>
  <c r="R279" i="14"/>
  <c r="S279" i="14"/>
  <c r="T279" i="14"/>
  <c r="U279" i="14"/>
  <c r="Q280" i="14"/>
  <c r="R280" i="14"/>
  <c r="S280" i="14"/>
  <c r="T280" i="14"/>
  <c r="U280" i="14"/>
  <c r="Q281" i="14"/>
  <c r="R281" i="14"/>
  <c r="S281" i="14"/>
  <c r="T281" i="14"/>
  <c r="U281" i="14"/>
  <c r="Q282" i="14"/>
  <c r="R282" i="14"/>
  <c r="S282" i="14"/>
  <c r="T282" i="14"/>
  <c r="U282" i="14"/>
  <c r="Q283" i="14"/>
  <c r="R283" i="14"/>
  <c r="S283" i="14"/>
  <c r="T283" i="14"/>
  <c r="U283" i="14"/>
  <c r="Q284" i="14"/>
  <c r="R284" i="14"/>
  <c r="S284" i="14"/>
  <c r="T284" i="14"/>
  <c r="U284" i="14"/>
  <c r="Q285" i="14"/>
  <c r="R285" i="14"/>
  <c r="S285" i="14"/>
  <c r="T285" i="14"/>
  <c r="U285" i="14"/>
  <c r="Q286" i="14"/>
  <c r="R286" i="14"/>
  <c r="S286" i="14"/>
  <c r="T286" i="14"/>
  <c r="U286" i="14"/>
  <c r="Q287" i="14"/>
  <c r="R287" i="14"/>
  <c r="S287" i="14"/>
  <c r="T287" i="14"/>
  <c r="U287" i="14"/>
  <c r="Q288" i="14"/>
  <c r="R288" i="14"/>
  <c r="S288" i="14"/>
  <c r="T288" i="14"/>
  <c r="U288" i="14"/>
  <c r="Q289" i="14"/>
  <c r="R289" i="14"/>
  <c r="S289" i="14"/>
  <c r="T289" i="14"/>
  <c r="U289" i="14"/>
  <c r="Q290" i="14"/>
  <c r="R290" i="14"/>
  <c r="S290" i="14"/>
  <c r="T290" i="14"/>
  <c r="U290" i="14"/>
  <c r="Q291" i="14"/>
  <c r="R291" i="14"/>
  <c r="S291" i="14"/>
  <c r="T291" i="14"/>
  <c r="U291" i="14"/>
  <c r="Q292" i="14"/>
  <c r="R292" i="14"/>
  <c r="S292" i="14"/>
  <c r="T292" i="14"/>
  <c r="U292" i="14"/>
  <c r="Q293" i="14"/>
  <c r="R293" i="14"/>
  <c r="S293" i="14"/>
  <c r="T293" i="14"/>
  <c r="U293" i="14"/>
  <c r="Q294" i="14"/>
  <c r="R294" i="14"/>
  <c r="S294" i="14"/>
  <c r="T294" i="14"/>
  <c r="U294" i="14"/>
  <c r="Q295" i="14"/>
  <c r="R295" i="14"/>
  <c r="S295" i="14"/>
  <c r="T295" i="14"/>
  <c r="U295" i="14"/>
  <c r="Q296" i="14"/>
  <c r="R296" i="14"/>
  <c r="S296" i="14"/>
  <c r="T296" i="14"/>
  <c r="U296" i="14"/>
  <c r="Q297" i="14"/>
  <c r="R297" i="14"/>
  <c r="S297" i="14"/>
  <c r="T297" i="14"/>
  <c r="U297" i="14"/>
  <c r="Q298" i="14"/>
  <c r="R298" i="14"/>
  <c r="S298" i="14"/>
  <c r="T298" i="14"/>
  <c r="U298" i="14"/>
  <c r="Q299" i="14"/>
  <c r="R299" i="14"/>
  <c r="S299" i="14"/>
  <c r="T299" i="14"/>
  <c r="U299" i="14"/>
  <c r="Q300" i="14"/>
  <c r="R300" i="14"/>
  <c r="S300" i="14"/>
  <c r="T300" i="14"/>
  <c r="U300" i="14"/>
  <c r="Q301" i="14"/>
  <c r="R301" i="14"/>
  <c r="S301" i="14"/>
  <c r="T301" i="14"/>
  <c r="U301" i="14"/>
  <c r="Q302" i="14"/>
  <c r="R302" i="14"/>
  <c r="S302" i="14"/>
  <c r="T302" i="14"/>
  <c r="U302" i="14"/>
  <c r="Q303" i="14"/>
  <c r="R303" i="14"/>
  <c r="S303" i="14"/>
  <c r="T303" i="14"/>
  <c r="U303" i="14"/>
  <c r="Q304" i="14"/>
  <c r="R304" i="14"/>
  <c r="S304" i="14"/>
  <c r="T304" i="14"/>
  <c r="U304" i="14"/>
  <c r="Q305" i="14"/>
  <c r="R305" i="14"/>
  <c r="S305" i="14"/>
  <c r="T305" i="14"/>
  <c r="U305" i="14"/>
  <c r="Q306" i="14"/>
  <c r="R306" i="14"/>
  <c r="S306" i="14"/>
  <c r="T306" i="14"/>
  <c r="U306" i="14"/>
  <c r="Q307" i="14"/>
  <c r="R307" i="14"/>
  <c r="S307" i="14"/>
  <c r="T307" i="14"/>
  <c r="U307" i="14"/>
  <c r="Q308" i="14"/>
  <c r="R308" i="14"/>
  <c r="S308" i="14"/>
  <c r="T308" i="14"/>
  <c r="U308" i="14"/>
  <c r="Q309" i="14"/>
  <c r="R309" i="14"/>
  <c r="S309" i="14"/>
  <c r="T309" i="14"/>
  <c r="U309" i="14"/>
  <c r="Q310" i="14"/>
  <c r="R310" i="14"/>
  <c r="S310" i="14"/>
  <c r="T310" i="14"/>
  <c r="U310" i="14"/>
  <c r="Q311" i="14"/>
  <c r="R311" i="14"/>
  <c r="S311" i="14"/>
  <c r="T311" i="14"/>
  <c r="U311" i="14"/>
  <c r="Q312" i="14"/>
  <c r="R312" i="14"/>
  <c r="S312" i="14"/>
  <c r="T312" i="14"/>
  <c r="U312" i="14"/>
  <c r="Q313" i="14"/>
  <c r="R313" i="14"/>
  <c r="S313" i="14"/>
  <c r="T313" i="14"/>
  <c r="U313" i="14"/>
  <c r="Q314" i="14"/>
  <c r="R314" i="14"/>
  <c r="S314" i="14"/>
  <c r="T314" i="14"/>
  <c r="U314" i="14"/>
  <c r="Q315" i="14"/>
  <c r="R315" i="14"/>
  <c r="S315" i="14"/>
  <c r="T315" i="14"/>
  <c r="U315" i="14"/>
  <c r="Q316" i="14"/>
  <c r="R316" i="14"/>
  <c r="S316" i="14"/>
  <c r="T316" i="14"/>
  <c r="U316" i="14"/>
  <c r="Q317" i="14"/>
  <c r="R317" i="14"/>
  <c r="S317" i="14"/>
  <c r="T317" i="14"/>
  <c r="U317" i="14"/>
  <c r="Q318" i="14"/>
  <c r="R318" i="14"/>
  <c r="S318" i="14"/>
  <c r="T318" i="14"/>
  <c r="U318" i="14"/>
  <c r="Q319" i="14"/>
  <c r="R319" i="14"/>
  <c r="S319" i="14"/>
  <c r="T319" i="14"/>
  <c r="U319" i="14"/>
  <c r="Q320" i="14"/>
  <c r="R320" i="14"/>
  <c r="S320" i="14"/>
  <c r="T320" i="14"/>
  <c r="U320" i="14"/>
  <c r="Q321" i="14"/>
  <c r="R321" i="14"/>
  <c r="S321" i="14"/>
  <c r="T321" i="14"/>
  <c r="U321" i="14"/>
  <c r="Q322" i="14"/>
  <c r="R322" i="14"/>
  <c r="S322" i="14"/>
  <c r="T322" i="14"/>
  <c r="U322" i="14"/>
  <c r="Q323" i="14"/>
  <c r="R323" i="14"/>
  <c r="S323" i="14"/>
  <c r="T323" i="14"/>
  <c r="U323" i="14"/>
  <c r="Q324" i="14"/>
  <c r="R324" i="14"/>
  <c r="S324" i="14"/>
  <c r="T324" i="14"/>
  <c r="U324" i="14"/>
  <c r="Q325" i="14"/>
  <c r="R325" i="14"/>
  <c r="S325" i="14"/>
  <c r="T325" i="14"/>
  <c r="U325" i="14"/>
  <c r="Q326" i="14"/>
  <c r="R326" i="14"/>
  <c r="S326" i="14"/>
  <c r="T326" i="14"/>
  <c r="U326" i="14"/>
  <c r="Q327" i="14"/>
  <c r="R327" i="14"/>
  <c r="S327" i="14"/>
  <c r="T327" i="14"/>
  <c r="U327" i="14"/>
  <c r="Q328" i="14"/>
  <c r="R328" i="14"/>
  <c r="S328" i="14"/>
  <c r="T328" i="14"/>
  <c r="U328" i="14"/>
  <c r="Q329" i="14"/>
  <c r="R329" i="14"/>
  <c r="S329" i="14"/>
  <c r="T329" i="14"/>
  <c r="U329" i="14"/>
  <c r="Q330" i="14"/>
  <c r="R330" i="14"/>
  <c r="S330" i="14"/>
  <c r="T330" i="14"/>
  <c r="U330" i="14"/>
  <c r="Q331" i="14"/>
  <c r="R331" i="14"/>
  <c r="S331" i="14"/>
  <c r="T331" i="14"/>
  <c r="U331" i="14"/>
  <c r="Q332" i="14"/>
  <c r="R332" i="14"/>
  <c r="S332" i="14"/>
  <c r="T332" i="14"/>
  <c r="U332" i="14"/>
  <c r="Q333" i="14"/>
  <c r="R333" i="14"/>
  <c r="S333" i="14"/>
  <c r="T333" i="14"/>
  <c r="U333" i="14"/>
  <c r="Q334" i="14"/>
  <c r="R334" i="14"/>
  <c r="S334" i="14"/>
  <c r="T334" i="14"/>
  <c r="U334" i="14"/>
  <c r="Q335" i="14"/>
  <c r="R335" i="14"/>
  <c r="S335" i="14"/>
  <c r="T335" i="14"/>
  <c r="U335" i="14"/>
  <c r="Q336" i="14"/>
  <c r="R336" i="14"/>
  <c r="S336" i="14"/>
  <c r="T336" i="14"/>
  <c r="U336" i="14"/>
  <c r="Q337" i="14"/>
  <c r="R337" i="14"/>
  <c r="S337" i="14"/>
  <c r="T337" i="14"/>
  <c r="U337" i="14"/>
  <c r="Q338" i="14"/>
  <c r="R338" i="14"/>
  <c r="S338" i="14"/>
  <c r="T338" i="14"/>
  <c r="U338" i="14"/>
  <c r="Q339" i="14"/>
  <c r="R339" i="14"/>
  <c r="S339" i="14"/>
  <c r="T339" i="14"/>
  <c r="U339" i="14"/>
  <c r="Q340" i="14"/>
  <c r="R340" i="14"/>
  <c r="S340" i="14"/>
  <c r="T340" i="14"/>
  <c r="U340" i="14"/>
  <c r="Q341" i="14"/>
  <c r="R341" i="14"/>
  <c r="S341" i="14"/>
  <c r="T341" i="14"/>
  <c r="U341" i="14"/>
  <c r="Q342" i="14"/>
  <c r="R342" i="14"/>
  <c r="S342" i="14"/>
  <c r="T342" i="14"/>
  <c r="U342" i="14"/>
  <c r="Q343" i="14"/>
  <c r="R343" i="14"/>
  <c r="S343" i="14"/>
  <c r="T343" i="14"/>
  <c r="U343" i="14"/>
  <c r="Q344" i="14"/>
  <c r="R344" i="14"/>
  <c r="S344" i="14"/>
  <c r="T344" i="14"/>
  <c r="U344" i="14"/>
  <c r="Q345" i="14"/>
  <c r="R345" i="14"/>
  <c r="S345" i="14"/>
  <c r="T345" i="14"/>
  <c r="U345" i="14"/>
  <c r="Q346" i="14"/>
  <c r="R346" i="14"/>
  <c r="S346" i="14"/>
  <c r="T346" i="14"/>
  <c r="U346" i="14"/>
  <c r="Q347" i="14"/>
  <c r="R347" i="14"/>
  <c r="S347" i="14"/>
  <c r="T347" i="14"/>
  <c r="U347" i="14"/>
  <c r="Q348" i="14"/>
  <c r="R348" i="14"/>
  <c r="S348" i="14"/>
  <c r="T348" i="14"/>
  <c r="U348" i="14"/>
  <c r="Q349" i="14"/>
  <c r="R349" i="14"/>
  <c r="S349" i="14"/>
  <c r="T349" i="14"/>
  <c r="U349" i="14"/>
  <c r="Q350" i="14"/>
  <c r="R350" i="14"/>
  <c r="S350" i="14"/>
  <c r="T350" i="14"/>
  <c r="U350" i="14"/>
  <c r="Q351" i="14"/>
  <c r="R351" i="14"/>
  <c r="S351" i="14"/>
  <c r="T351" i="14"/>
  <c r="U351" i="14"/>
  <c r="Q352" i="14"/>
  <c r="S352" i="14"/>
  <c r="T352" i="14"/>
  <c r="U352" i="14"/>
  <c r="Q353" i="14"/>
  <c r="R353" i="14"/>
  <c r="S353" i="14"/>
  <c r="T353" i="14"/>
  <c r="U353" i="14"/>
  <c r="Q354" i="14"/>
  <c r="R354" i="14"/>
  <c r="S354" i="14"/>
  <c r="T354" i="14"/>
  <c r="U354" i="14"/>
  <c r="Q355" i="14"/>
  <c r="R355" i="14"/>
  <c r="S355" i="14"/>
  <c r="T355" i="14"/>
  <c r="U355" i="14"/>
  <c r="Q356" i="14"/>
  <c r="R356" i="14"/>
  <c r="S356" i="14"/>
  <c r="T356" i="14"/>
  <c r="U356" i="14"/>
  <c r="Q357" i="14"/>
  <c r="R357" i="14"/>
  <c r="S357" i="14"/>
  <c r="T357" i="14"/>
  <c r="U357" i="14"/>
  <c r="Q358" i="14"/>
  <c r="R358" i="14"/>
  <c r="S358" i="14"/>
  <c r="T358" i="14"/>
  <c r="U358" i="14"/>
  <c r="Q359" i="14"/>
  <c r="R359" i="14"/>
  <c r="S359" i="14"/>
  <c r="T359" i="14"/>
  <c r="U359" i="14"/>
  <c r="Q360" i="14"/>
  <c r="R360" i="14"/>
  <c r="S360" i="14"/>
  <c r="T360" i="14"/>
  <c r="U360" i="14"/>
  <c r="Q361" i="14"/>
  <c r="R361" i="14"/>
  <c r="S361" i="14"/>
  <c r="T361" i="14"/>
  <c r="U361" i="14"/>
  <c r="Q362" i="14"/>
  <c r="R362" i="14"/>
  <c r="S362" i="14"/>
  <c r="T362" i="14"/>
  <c r="U362" i="14"/>
  <c r="Q363" i="14"/>
  <c r="R363" i="14"/>
  <c r="S363" i="14"/>
  <c r="T363" i="14"/>
  <c r="U363" i="14"/>
  <c r="Q364" i="14"/>
  <c r="R364" i="14"/>
  <c r="S364" i="14"/>
  <c r="T364" i="14"/>
  <c r="U364" i="14"/>
  <c r="Q365" i="14"/>
  <c r="R365" i="14"/>
  <c r="S365" i="14"/>
  <c r="T365" i="14"/>
  <c r="U365" i="14"/>
  <c r="Q366" i="14"/>
  <c r="R366" i="14"/>
  <c r="S366" i="14"/>
  <c r="T366" i="14"/>
  <c r="U366" i="14"/>
  <c r="Q367" i="14"/>
  <c r="R367" i="14"/>
  <c r="S367" i="14"/>
  <c r="T367" i="14"/>
  <c r="U367" i="14"/>
  <c r="Q368" i="14"/>
  <c r="R368" i="14"/>
  <c r="S368" i="14"/>
  <c r="T368" i="14"/>
  <c r="U368" i="14"/>
  <c r="Q369" i="14"/>
  <c r="R369" i="14"/>
  <c r="S369" i="14"/>
  <c r="T369" i="14"/>
  <c r="U369" i="14"/>
  <c r="Q370" i="14"/>
  <c r="R370" i="14"/>
  <c r="S370" i="14"/>
  <c r="T370" i="14"/>
  <c r="U370" i="14"/>
  <c r="Q371" i="14"/>
  <c r="R371" i="14"/>
  <c r="S371" i="14"/>
  <c r="T371" i="14"/>
  <c r="U371" i="14"/>
  <c r="Q372" i="14"/>
  <c r="R372" i="14"/>
  <c r="S372" i="14"/>
  <c r="T372" i="14"/>
  <c r="U372" i="14"/>
  <c r="Q373" i="14"/>
  <c r="R373" i="14"/>
  <c r="S373" i="14"/>
  <c r="T373" i="14"/>
  <c r="U373" i="14"/>
  <c r="Q374" i="14"/>
  <c r="R374" i="14"/>
  <c r="S374" i="14"/>
  <c r="T374" i="14"/>
  <c r="U374" i="14"/>
  <c r="Q375" i="14"/>
  <c r="R375" i="14"/>
  <c r="S375" i="14"/>
  <c r="T375" i="14"/>
  <c r="U375" i="14"/>
  <c r="Q376" i="14"/>
  <c r="R376" i="14"/>
  <c r="S376" i="14"/>
  <c r="T376" i="14"/>
  <c r="U376" i="14"/>
  <c r="Q377" i="14"/>
  <c r="R377" i="14"/>
  <c r="S377" i="14"/>
  <c r="T377" i="14"/>
  <c r="U377" i="14"/>
  <c r="Q378" i="14"/>
  <c r="R378" i="14"/>
  <c r="S378" i="14"/>
  <c r="T378" i="14"/>
  <c r="U378" i="14"/>
  <c r="Q379" i="14"/>
  <c r="R379" i="14"/>
  <c r="S379" i="14"/>
  <c r="T379" i="14"/>
  <c r="U379" i="14"/>
  <c r="Q380" i="14"/>
  <c r="R380" i="14"/>
  <c r="S380" i="14"/>
  <c r="T380" i="14"/>
  <c r="U380" i="14"/>
  <c r="Q381" i="14"/>
  <c r="R381" i="14"/>
  <c r="S381" i="14"/>
  <c r="T381" i="14"/>
  <c r="U381" i="14"/>
  <c r="Q382" i="14"/>
  <c r="R382" i="14"/>
  <c r="S382" i="14"/>
  <c r="T382" i="14"/>
  <c r="U382" i="14"/>
  <c r="Q383" i="14"/>
  <c r="R383" i="14"/>
  <c r="S383" i="14"/>
  <c r="T383" i="14"/>
  <c r="U383" i="14"/>
  <c r="Q384" i="14"/>
  <c r="R384" i="14"/>
  <c r="S384" i="14"/>
  <c r="T384" i="14"/>
  <c r="U384" i="14"/>
  <c r="Q385" i="14"/>
  <c r="R385" i="14"/>
  <c r="S385" i="14"/>
  <c r="T385" i="14"/>
  <c r="U385" i="14"/>
  <c r="Q386" i="14"/>
  <c r="R386" i="14"/>
  <c r="S386" i="14"/>
  <c r="T386" i="14"/>
  <c r="U386" i="14"/>
  <c r="Q387" i="14"/>
  <c r="R387" i="14"/>
  <c r="S387" i="14"/>
  <c r="T387" i="14"/>
  <c r="U387" i="14"/>
  <c r="Q388" i="14"/>
  <c r="R388" i="14"/>
  <c r="S388" i="14"/>
  <c r="T388" i="14"/>
  <c r="U388" i="14"/>
  <c r="Q389" i="14"/>
  <c r="R389" i="14"/>
  <c r="S389" i="14"/>
  <c r="T389" i="14"/>
  <c r="U389" i="14"/>
  <c r="Q390" i="14"/>
  <c r="R390" i="14"/>
  <c r="S390" i="14"/>
  <c r="T390" i="14"/>
  <c r="U390" i="14"/>
  <c r="Q391" i="14"/>
  <c r="R391" i="14"/>
  <c r="S391" i="14"/>
  <c r="T391" i="14"/>
  <c r="U391" i="14"/>
  <c r="Q392" i="14"/>
  <c r="R392" i="14"/>
  <c r="S392" i="14"/>
  <c r="T392" i="14"/>
  <c r="U392" i="14"/>
  <c r="Q393" i="14"/>
  <c r="R393" i="14"/>
  <c r="S393" i="14"/>
  <c r="T393" i="14"/>
  <c r="U393" i="14"/>
  <c r="Q394" i="14"/>
  <c r="R394" i="14"/>
  <c r="S394" i="14"/>
  <c r="T394" i="14"/>
  <c r="U394" i="14"/>
  <c r="Q395" i="14"/>
  <c r="R395" i="14"/>
  <c r="S395" i="14"/>
  <c r="T395" i="14"/>
  <c r="U395" i="14"/>
  <c r="Q396" i="14"/>
  <c r="R396" i="14"/>
  <c r="S396" i="14"/>
  <c r="T396" i="14"/>
  <c r="U396" i="14"/>
  <c r="Q397" i="14"/>
  <c r="R397" i="14"/>
  <c r="S397" i="14"/>
  <c r="T397" i="14"/>
  <c r="U397" i="14"/>
  <c r="Q398" i="14"/>
  <c r="R398" i="14"/>
  <c r="S398" i="14"/>
  <c r="T398" i="14"/>
  <c r="U398" i="14"/>
  <c r="Q399" i="14"/>
  <c r="R399" i="14"/>
  <c r="S399" i="14"/>
  <c r="T399" i="14"/>
  <c r="U399" i="14"/>
  <c r="Q400" i="14"/>
  <c r="R400" i="14"/>
  <c r="S400" i="14"/>
  <c r="T400" i="14"/>
  <c r="U400" i="14"/>
  <c r="Q401" i="14"/>
  <c r="R401" i="14"/>
  <c r="S401" i="14"/>
  <c r="T401" i="14"/>
  <c r="U401" i="14"/>
  <c r="Q402" i="14"/>
  <c r="R402" i="14"/>
  <c r="S402" i="14"/>
  <c r="T402" i="14"/>
  <c r="U402" i="14"/>
  <c r="Q403" i="14"/>
  <c r="R403" i="14"/>
  <c r="S403" i="14"/>
  <c r="T403" i="14"/>
  <c r="U403" i="14"/>
  <c r="Q404" i="14"/>
  <c r="R404" i="14"/>
  <c r="S404" i="14"/>
  <c r="T404" i="14"/>
  <c r="U404" i="14"/>
  <c r="Q405" i="14"/>
  <c r="R405" i="14"/>
  <c r="S405" i="14"/>
  <c r="T405" i="14"/>
  <c r="U405" i="14"/>
  <c r="Q406" i="14"/>
  <c r="R406" i="14"/>
  <c r="S406" i="14"/>
  <c r="T406" i="14"/>
  <c r="U406" i="14"/>
  <c r="Q407" i="14"/>
  <c r="R407" i="14"/>
  <c r="S407" i="14"/>
  <c r="T407" i="14"/>
  <c r="U407" i="14"/>
  <c r="Q408" i="14"/>
  <c r="R408" i="14"/>
  <c r="S408" i="14"/>
  <c r="T408" i="14"/>
  <c r="U408" i="14"/>
  <c r="Q409" i="14"/>
  <c r="R409" i="14"/>
  <c r="S409" i="14"/>
  <c r="T409" i="14"/>
  <c r="U409" i="14"/>
  <c r="Q410" i="14"/>
  <c r="R410" i="14"/>
  <c r="S410" i="14"/>
  <c r="T410" i="14"/>
  <c r="U410" i="14"/>
  <c r="Q411" i="14"/>
  <c r="R411" i="14"/>
  <c r="S411" i="14"/>
  <c r="T411" i="14"/>
  <c r="U411" i="14"/>
  <c r="Q412" i="14"/>
  <c r="R412" i="14"/>
  <c r="S412" i="14"/>
  <c r="T412" i="14"/>
  <c r="U412" i="14"/>
  <c r="Q413" i="14"/>
  <c r="R413" i="14"/>
  <c r="S413" i="14"/>
  <c r="T413" i="14"/>
  <c r="U413" i="14"/>
  <c r="Q414" i="14"/>
  <c r="R414" i="14"/>
  <c r="S414" i="14"/>
  <c r="T414" i="14"/>
  <c r="U414" i="14"/>
  <c r="Q415" i="14"/>
  <c r="R415" i="14"/>
  <c r="S415" i="14"/>
  <c r="T415" i="14"/>
  <c r="U415" i="14"/>
  <c r="Q416" i="14"/>
  <c r="R416" i="14"/>
  <c r="S416" i="14"/>
  <c r="T416" i="14"/>
  <c r="U416" i="14"/>
  <c r="Q417" i="14"/>
  <c r="R417" i="14"/>
  <c r="S417" i="14"/>
  <c r="T417" i="14"/>
  <c r="U417" i="14"/>
  <c r="Q418" i="14"/>
  <c r="R418" i="14"/>
  <c r="S418" i="14"/>
  <c r="T418" i="14"/>
  <c r="U418" i="14"/>
  <c r="Q419" i="14"/>
  <c r="R419" i="14"/>
  <c r="S419" i="14"/>
  <c r="T419" i="14"/>
  <c r="U419" i="14"/>
  <c r="Q420" i="14"/>
  <c r="R420" i="14"/>
  <c r="S420" i="14"/>
  <c r="T420" i="14"/>
  <c r="U420" i="14"/>
  <c r="Q421" i="14"/>
  <c r="R421" i="14"/>
  <c r="S421" i="14"/>
  <c r="T421" i="14"/>
  <c r="U421" i="14"/>
  <c r="Q422" i="14"/>
  <c r="R422" i="14"/>
  <c r="S422" i="14"/>
  <c r="T422" i="14"/>
  <c r="U422" i="14"/>
  <c r="Q423" i="14"/>
  <c r="R423" i="14"/>
  <c r="S423" i="14"/>
  <c r="T423" i="14"/>
  <c r="U423" i="14"/>
  <c r="Q424" i="14"/>
  <c r="R424" i="14"/>
  <c r="S424" i="14"/>
  <c r="T424" i="14"/>
  <c r="U424" i="14"/>
  <c r="Q425" i="14"/>
  <c r="R425" i="14"/>
  <c r="S425" i="14"/>
  <c r="T425" i="14"/>
  <c r="U425" i="14"/>
  <c r="Q426" i="14"/>
  <c r="R426" i="14"/>
  <c r="S426" i="14"/>
  <c r="T426" i="14"/>
  <c r="U426" i="14"/>
  <c r="Q427" i="14"/>
  <c r="R427" i="14"/>
  <c r="S427" i="14"/>
  <c r="T427" i="14"/>
  <c r="U427" i="14"/>
  <c r="Q428" i="14"/>
  <c r="R428" i="14"/>
  <c r="S428" i="14"/>
  <c r="T428" i="14"/>
  <c r="U428" i="14"/>
  <c r="Q429" i="14"/>
  <c r="R429" i="14"/>
  <c r="S429" i="14"/>
  <c r="T429" i="14"/>
  <c r="U429" i="14"/>
  <c r="Q430" i="14"/>
  <c r="R430" i="14"/>
  <c r="S430" i="14"/>
  <c r="T430" i="14"/>
  <c r="U430" i="14"/>
  <c r="Q431" i="14"/>
  <c r="R431" i="14"/>
  <c r="S431" i="14"/>
  <c r="T431" i="14"/>
  <c r="U431" i="14"/>
  <c r="Q432" i="14"/>
  <c r="R432" i="14"/>
  <c r="S432" i="14"/>
  <c r="T432" i="14"/>
  <c r="U432" i="14"/>
  <c r="Q433" i="14"/>
  <c r="R433" i="14"/>
  <c r="S433" i="14"/>
  <c r="T433" i="14"/>
  <c r="U433" i="14"/>
  <c r="Q434" i="14"/>
  <c r="R434" i="14"/>
  <c r="S434" i="14"/>
  <c r="T434" i="14"/>
  <c r="U434" i="14"/>
  <c r="Q435" i="14"/>
  <c r="R435" i="14"/>
  <c r="S435" i="14"/>
  <c r="T435" i="14"/>
  <c r="U435" i="14"/>
  <c r="Q436" i="14"/>
  <c r="R436" i="14"/>
  <c r="S436" i="14"/>
  <c r="T436" i="14"/>
  <c r="U436" i="14"/>
  <c r="Q437" i="14"/>
  <c r="R437" i="14"/>
  <c r="S437" i="14"/>
  <c r="T437" i="14"/>
  <c r="U437" i="14"/>
  <c r="Q438" i="14"/>
  <c r="R438" i="14"/>
  <c r="S438" i="14"/>
  <c r="T438" i="14"/>
  <c r="U438" i="14"/>
  <c r="Q439" i="14"/>
  <c r="R439" i="14"/>
  <c r="S439" i="14"/>
  <c r="T439" i="14"/>
  <c r="U439" i="14"/>
  <c r="Q440" i="14"/>
  <c r="R440" i="14"/>
  <c r="S440" i="14"/>
  <c r="T440" i="14"/>
  <c r="U440" i="14"/>
  <c r="Q441" i="14"/>
  <c r="R441" i="14"/>
  <c r="S441" i="14"/>
  <c r="T441" i="14"/>
  <c r="U441" i="14"/>
  <c r="Q442" i="14"/>
  <c r="R442" i="14"/>
  <c r="S442" i="14"/>
  <c r="T442" i="14"/>
  <c r="U442" i="14"/>
  <c r="Q443" i="14"/>
  <c r="R443" i="14"/>
  <c r="S443" i="14"/>
  <c r="T443" i="14"/>
  <c r="U443" i="14"/>
  <c r="Q444" i="14"/>
  <c r="R444" i="14"/>
  <c r="S444" i="14"/>
  <c r="T444" i="14"/>
  <c r="U444" i="14"/>
  <c r="Q445" i="14"/>
  <c r="R445" i="14"/>
  <c r="S445" i="14"/>
  <c r="T445" i="14"/>
  <c r="U445" i="14"/>
  <c r="Q446" i="14"/>
  <c r="R446" i="14"/>
  <c r="S446" i="14"/>
  <c r="T446" i="14"/>
  <c r="U446" i="14"/>
  <c r="Q447" i="14"/>
  <c r="R447" i="14"/>
  <c r="S447" i="14"/>
  <c r="T447" i="14"/>
  <c r="U447" i="14"/>
  <c r="Q448" i="14"/>
  <c r="R448" i="14"/>
  <c r="S448" i="14"/>
  <c r="T448" i="14"/>
  <c r="U448" i="14"/>
  <c r="Q449" i="14"/>
  <c r="R449" i="14"/>
  <c r="S449" i="14"/>
  <c r="T449" i="14"/>
  <c r="U449" i="14"/>
  <c r="Q450" i="14"/>
  <c r="R450" i="14"/>
  <c r="S450" i="14"/>
  <c r="T450" i="14"/>
  <c r="U450" i="14"/>
  <c r="Q451" i="14"/>
  <c r="R451" i="14"/>
  <c r="S451" i="14"/>
  <c r="T451" i="14"/>
  <c r="U451" i="14"/>
  <c r="Q452" i="14"/>
  <c r="R452" i="14"/>
  <c r="S452" i="14"/>
  <c r="T452" i="14"/>
  <c r="U452" i="14"/>
  <c r="Q453" i="14"/>
  <c r="R453" i="14"/>
  <c r="S453" i="14"/>
  <c r="T453" i="14"/>
  <c r="U453" i="14"/>
  <c r="Q454" i="14"/>
  <c r="R454" i="14"/>
  <c r="S454" i="14"/>
  <c r="T454" i="14"/>
  <c r="U454" i="14"/>
  <c r="Q455" i="14"/>
  <c r="R455" i="14"/>
  <c r="S455" i="14"/>
  <c r="T455" i="14"/>
  <c r="U455" i="14"/>
  <c r="Q456" i="14"/>
  <c r="R456" i="14"/>
  <c r="S456" i="14"/>
  <c r="T456" i="14"/>
  <c r="U456" i="14"/>
  <c r="Q457" i="14"/>
  <c r="R457" i="14"/>
  <c r="S457" i="14"/>
  <c r="T457" i="14"/>
  <c r="U457" i="14"/>
  <c r="Q458" i="14"/>
  <c r="R458" i="14"/>
  <c r="S458" i="14"/>
  <c r="T458" i="14"/>
  <c r="U458" i="14"/>
  <c r="Q459" i="14"/>
  <c r="R459" i="14"/>
  <c r="S459" i="14"/>
  <c r="T459" i="14"/>
  <c r="U459" i="14"/>
  <c r="Q460" i="14"/>
  <c r="R460" i="14"/>
  <c r="S460" i="14"/>
  <c r="T460" i="14"/>
  <c r="U460" i="14"/>
  <c r="Q461" i="14"/>
  <c r="R461" i="14"/>
  <c r="S461" i="14"/>
  <c r="T461" i="14"/>
  <c r="U461" i="14"/>
  <c r="Q462" i="14"/>
  <c r="R462" i="14"/>
  <c r="S462" i="14"/>
  <c r="T462" i="14"/>
  <c r="U462" i="14"/>
  <c r="Q463" i="14"/>
  <c r="R463" i="14"/>
  <c r="S463" i="14"/>
  <c r="T463" i="14"/>
  <c r="U463" i="14"/>
  <c r="Q464" i="14"/>
  <c r="R464" i="14"/>
  <c r="S464" i="14"/>
  <c r="T464" i="14"/>
  <c r="U464" i="14"/>
  <c r="Q465" i="14"/>
  <c r="R465" i="14"/>
  <c r="S465" i="14"/>
  <c r="T465" i="14"/>
  <c r="U465" i="14"/>
  <c r="Q466" i="14"/>
  <c r="R466" i="14"/>
  <c r="S466" i="14"/>
  <c r="T466" i="14"/>
  <c r="U466" i="14"/>
  <c r="Q467" i="14"/>
  <c r="R467" i="14"/>
  <c r="S467" i="14"/>
  <c r="T467" i="14"/>
  <c r="U467" i="14"/>
  <c r="Q468" i="14"/>
  <c r="R468" i="14"/>
  <c r="S468" i="14"/>
  <c r="T468" i="14"/>
  <c r="U468" i="14"/>
  <c r="Q469" i="14"/>
  <c r="R469" i="14"/>
  <c r="S469" i="14"/>
  <c r="T469" i="14"/>
  <c r="U469" i="14"/>
  <c r="Q470" i="14"/>
  <c r="R470" i="14"/>
  <c r="S470" i="14"/>
  <c r="T470" i="14"/>
  <c r="U470" i="14"/>
  <c r="Q471" i="14"/>
  <c r="R471" i="14"/>
  <c r="S471" i="14"/>
  <c r="T471" i="14"/>
  <c r="U471" i="14"/>
  <c r="Q472" i="14"/>
  <c r="R472" i="14"/>
  <c r="S472" i="14"/>
  <c r="T472" i="14"/>
  <c r="U472" i="14"/>
  <c r="Q473" i="14"/>
  <c r="R473" i="14"/>
  <c r="S473" i="14"/>
  <c r="T473" i="14"/>
  <c r="U473" i="14"/>
  <c r="Q474" i="14"/>
  <c r="R474" i="14"/>
  <c r="S474" i="14"/>
  <c r="T474" i="14"/>
  <c r="U474" i="14"/>
  <c r="Q475" i="14"/>
  <c r="R475" i="14"/>
  <c r="S475" i="14"/>
  <c r="T475" i="14"/>
  <c r="U475" i="14"/>
  <c r="Q476" i="14"/>
  <c r="R476" i="14"/>
  <c r="S476" i="14"/>
  <c r="T476" i="14"/>
  <c r="U476" i="14"/>
  <c r="Q477" i="14"/>
  <c r="R477" i="14"/>
  <c r="S477" i="14"/>
  <c r="T477" i="14"/>
  <c r="U477" i="14"/>
  <c r="Q478" i="14"/>
  <c r="R478" i="14"/>
  <c r="S478" i="14"/>
  <c r="T478" i="14"/>
  <c r="U478" i="14"/>
  <c r="Q479" i="14"/>
  <c r="R479" i="14"/>
  <c r="S479" i="14"/>
  <c r="T479" i="14"/>
  <c r="U479" i="14"/>
  <c r="Q480" i="14"/>
  <c r="R480" i="14"/>
  <c r="S480" i="14"/>
  <c r="T480" i="14"/>
  <c r="U480" i="14"/>
  <c r="Q481" i="14"/>
  <c r="R481" i="14"/>
  <c r="S481" i="14"/>
  <c r="T481" i="14"/>
  <c r="U481" i="14"/>
  <c r="Q482" i="14"/>
  <c r="R482" i="14"/>
  <c r="S482" i="14"/>
  <c r="T482" i="14"/>
  <c r="U482" i="14"/>
  <c r="Q483" i="14"/>
  <c r="R483" i="14"/>
  <c r="S483" i="14"/>
  <c r="T483" i="14"/>
  <c r="U483" i="14"/>
  <c r="Q484" i="14"/>
  <c r="R484" i="14"/>
  <c r="S484" i="14"/>
  <c r="T484" i="14"/>
  <c r="U484" i="14"/>
  <c r="Q485" i="14"/>
  <c r="R485" i="14"/>
  <c r="S485" i="14"/>
  <c r="T485" i="14"/>
  <c r="U485" i="14"/>
  <c r="Q486" i="14"/>
  <c r="R486" i="14"/>
  <c r="S486" i="14"/>
  <c r="T486" i="14"/>
  <c r="U486" i="14"/>
  <c r="Q487" i="14"/>
  <c r="R487" i="14"/>
  <c r="S487" i="14"/>
  <c r="T487" i="14"/>
  <c r="U487" i="14"/>
  <c r="Q488" i="14"/>
  <c r="R488" i="14"/>
  <c r="S488" i="14"/>
  <c r="T488" i="14"/>
  <c r="U488" i="14"/>
  <c r="Q489" i="14"/>
  <c r="R489" i="14"/>
  <c r="S489" i="14"/>
  <c r="T489" i="14"/>
  <c r="U489" i="14"/>
  <c r="Q490" i="14"/>
  <c r="R490" i="14"/>
  <c r="S490" i="14"/>
  <c r="T490" i="14"/>
  <c r="U490" i="14"/>
  <c r="Q491" i="14"/>
  <c r="R491" i="14"/>
  <c r="S491" i="14"/>
  <c r="T491" i="14"/>
  <c r="U491" i="14"/>
  <c r="Q492" i="14"/>
  <c r="R492" i="14"/>
  <c r="S492" i="14"/>
  <c r="T492" i="14"/>
  <c r="U492" i="14"/>
  <c r="Q493" i="14"/>
  <c r="R493" i="14"/>
  <c r="S493" i="14"/>
  <c r="T493" i="14"/>
  <c r="U493" i="14"/>
  <c r="Q494" i="14"/>
  <c r="R494" i="14"/>
  <c r="S494" i="14"/>
  <c r="T494" i="14"/>
  <c r="U494" i="14"/>
  <c r="Q495" i="14"/>
  <c r="R495" i="14"/>
  <c r="S495" i="14"/>
  <c r="T495" i="14"/>
  <c r="U495" i="14"/>
  <c r="Q496" i="14"/>
  <c r="R496" i="14"/>
  <c r="S496" i="14"/>
  <c r="T496" i="14"/>
  <c r="U496" i="14"/>
  <c r="Q497" i="14"/>
  <c r="R497" i="14"/>
  <c r="S497" i="14"/>
  <c r="T497" i="14"/>
  <c r="U497" i="14"/>
  <c r="Q498" i="14"/>
  <c r="R498" i="14"/>
  <c r="S498" i="14"/>
  <c r="T498" i="14"/>
  <c r="U498" i="14"/>
  <c r="Q499" i="14"/>
  <c r="R499" i="14"/>
  <c r="S499" i="14"/>
  <c r="T499" i="14"/>
  <c r="U499" i="14"/>
  <c r="Q500" i="14"/>
  <c r="R500" i="14"/>
  <c r="S500" i="14"/>
  <c r="T500" i="14"/>
  <c r="U500" i="14"/>
  <c r="Q501" i="14"/>
  <c r="R501" i="14"/>
  <c r="S501" i="14"/>
  <c r="T501" i="14"/>
  <c r="U501" i="14"/>
  <c r="Q502" i="14"/>
  <c r="R502" i="14"/>
  <c r="S502" i="14"/>
  <c r="T502" i="14"/>
  <c r="U502" i="14"/>
  <c r="Q503" i="14"/>
  <c r="R503" i="14"/>
  <c r="S503" i="14"/>
  <c r="T503" i="14"/>
  <c r="U503" i="14"/>
  <c r="Q504" i="14"/>
  <c r="R504" i="14"/>
  <c r="S504" i="14"/>
  <c r="T504" i="14"/>
  <c r="U504" i="14"/>
  <c r="Q505" i="14"/>
  <c r="R505" i="14"/>
  <c r="S505" i="14"/>
  <c r="T505" i="14"/>
  <c r="U505" i="14"/>
  <c r="Q506" i="14"/>
  <c r="R506" i="14"/>
  <c r="S506" i="14"/>
  <c r="T506" i="14"/>
  <c r="U506" i="14"/>
  <c r="Q507" i="14"/>
  <c r="R507" i="14"/>
  <c r="S507" i="14"/>
  <c r="T507" i="14"/>
  <c r="U507" i="14"/>
  <c r="Q508" i="14"/>
  <c r="R508" i="14"/>
  <c r="S508" i="14"/>
  <c r="T508" i="14"/>
  <c r="U508" i="14"/>
  <c r="Q509" i="14"/>
  <c r="R509" i="14"/>
  <c r="S509" i="14"/>
  <c r="T509" i="14"/>
  <c r="U509" i="14"/>
  <c r="Q510" i="14"/>
  <c r="R510" i="14"/>
  <c r="S510" i="14"/>
  <c r="T510" i="14"/>
  <c r="U510" i="14"/>
  <c r="Q511" i="14"/>
  <c r="R511" i="14"/>
  <c r="S511" i="14"/>
  <c r="T511" i="14"/>
  <c r="U511" i="14"/>
  <c r="Q512" i="14"/>
  <c r="R512" i="14"/>
  <c r="S512" i="14"/>
  <c r="T512" i="14"/>
  <c r="U512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P82" i="14"/>
  <c r="P83" i="14"/>
  <c r="P84" i="14"/>
  <c r="P85" i="14"/>
  <c r="P86" i="14"/>
  <c r="P87" i="14"/>
  <c r="P88" i="14"/>
  <c r="P89" i="14"/>
  <c r="P90" i="14"/>
  <c r="P91" i="14"/>
  <c r="P92" i="14"/>
  <c r="P93" i="14"/>
  <c r="P94" i="14"/>
  <c r="P95" i="14"/>
  <c r="P96" i="14"/>
  <c r="P97" i="14"/>
  <c r="P98" i="14"/>
  <c r="P99" i="14"/>
  <c r="P100" i="14"/>
  <c r="P101" i="14"/>
  <c r="P102" i="14"/>
  <c r="P103" i="14"/>
  <c r="P104" i="14"/>
  <c r="P105" i="14"/>
  <c r="P106" i="14"/>
  <c r="P107" i="14"/>
  <c r="P108" i="14"/>
  <c r="P109" i="14"/>
  <c r="P110" i="14"/>
  <c r="P111" i="14"/>
  <c r="P112" i="14"/>
  <c r="P113" i="14"/>
  <c r="P114" i="14"/>
  <c r="P115" i="14"/>
  <c r="P116" i="14"/>
  <c r="P117" i="14"/>
  <c r="P118" i="14"/>
  <c r="P119" i="14"/>
  <c r="P120" i="14"/>
  <c r="P121" i="14"/>
  <c r="P122" i="14"/>
  <c r="P123" i="14"/>
  <c r="P124" i="14"/>
  <c r="P125" i="14"/>
  <c r="P126" i="14"/>
  <c r="P127" i="14"/>
  <c r="P128" i="14"/>
  <c r="P129" i="14"/>
  <c r="P130" i="14"/>
  <c r="P131" i="14"/>
  <c r="P132" i="14"/>
  <c r="P133" i="14"/>
  <c r="P134" i="14"/>
  <c r="P135" i="14"/>
  <c r="P136" i="14"/>
  <c r="P137" i="14"/>
  <c r="P138" i="14"/>
  <c r="P139" i="14"/>
  <c r="P140" i="14"/>
  <c r="P141" i="14"/>
  <c r="P142" i="14"/>
  <c r="P143" i="14"/>
  <c r="P144" i="14"/>
  <c r="P145" i="14"/>
  <c r="P146" i="14"/>
  <c r="P147" i="14"/>
  <c r="P148" i="14"/>
  <c r="P149" i="14"/>
  <c r="P150" i="14"/>
  <c r="P151" i="14"/>
  <c r="P152" i="14"/>
  <c r="P153" i="14"/>
  <c r="P154" i="14"/>
  <c r="P155" i="14"/>
  <c r="P156" i="14"/>
  <c r="P157" i="14"/>
  <c r="P158" i="14"/>
  <c r="P159" i="14"/>
  <c r="P160" i="14"/>
  <c r="P161" i="14"/>
  <c r="P162" i="14"/>
  <c r="P163" i="14"/>
  <c r="P164" i="14"/>
  <c r="P165" i="14"/>
  <c r="P166" i="14"/>
  <c r="P167" i="14"/>
  <c r="P168" i="14"/>
  <c r="P169" i="14"/>
  <c r="P170" i="14"/>
  <c r="P171" i="14"/>
  <c r="P172" i="14"/>
  <c r="P173" i="14"/>
  <c r="P174" i="14"/>
  <c r="P175" i="14"/>
  <c r="P176" i="14"/>
  <c r="P177" i="14"/>
  <c r="P178" i="14"/>
  <c r="P179" i="14"/>
  <c r="P180" i="14"/>
  <c r="P181" i="14"/>
  <c r="P182" i="14"/>
  <c r="P183" i="14"/>
  <c r="P184" i="14"/>
  <c r="P185" i="14"/>
  <c r="P186" i="14"/>
  <c r="P187" i="14"/>
  <c r="P188" i="14"/>
  <c r="P189" i="14"/>
  <c r="P190" i="14"/>
  <c r="P191" i="14"/>
  <c r="P192" i="14"/>
  <c r="P193" i="14"/>
  <c r="P194" i="14"/>
  <c r="P195" i="14"/>
  <c r="P196" i="14"/>
  <c r="P197" i="14"/>
  <c r="P198" i="14"/>
  <c r="P199" i="14"/>
  <c r="P200" i="14"/>
  <c r="P201" i="14"/>
  <c r="P202" i="14"/>
  <c r="P203" i="14"/>
  <c r="P204" i="14"/>
  <c r="P205" i="14"/>
  <c r="P206" i="14"/>
  <c r="P207" i="14"/>
  <c r="P208" i="14"/>
  <c r="P209" i="14"/>
  <c r="P210" i="14"/>
  <c r="P211" i="14"/>
  <c r="P212" i="14"/>
  <c r="P213" i="14"/>
  <c r="P214" i="14"/>
  <c r="P215" i="14"/>
  <c r="P216" i="14"/>
  <c r="P217" i="14"/>
  <c r="P218" i="14"/>
  <c r="P219" i="14"/>
  <c r="P220" i="14"/>
  <c r="P221" i="14"/>
  <c r="P222" i="14"/>
  <c r="P223" i="14"/>
  <c r="P224" i="14"/>
  <c r="P225" i="14"/>
  <c r="P226" i="14"/>
  <c r="P227" i="14"/>
  <c r="P228" i="14"/>
  <c r="P229" i="14"/>
  <c r="P230" i="14"/>
  <c r="P231" i="14"/>
  <c r="P232" i="14"/>
  <c r="P233" i="14"/>
  <c r="P234" i="14"/>
  <c r="P235" i="14"/>
  <c r="P236" i="14"/>
  <c r="P237" i="14"/>
  <c r="P238" i="14"/>
  <c r="P239" i="14"/>
  <c r="P240" i="14"/>
  <c r="P241" i="14"/>
  <c r="P242" i="14"/>
  <c r="P243" i="14"/>
  <c r="P244" i="14"/>
  <c r="P245" i="14"/>
  <c r="P246" i="14"/>
  <c r="P247" i="14"/>
  <c r="P248" i="14"/>
  <c r="P249" i="14"/>
  <c r="P250" i="14"/>
  <c r="P251" i="14"/>
  <c r="P252" i="14"/>
  <c r="P253" i="14"/>
  <c r="P254" i="14"/>
  <c r="P255" i="14"/>
  <c r="P256" i="14"/>
  <c r="P257" i="14"/>
  <c r="P258" i="14"/>
  <c r="P259" i="14"/>
  <c r="P260" i="14"/>
  <c r="P261" i="14"/>
  <c r="P262" i="14"/>
  <c r="P263" i="14"/>
  <c r="P264" i="14"/>
  <c r="P265" i="14"/>
  <c r="P266" i="14"/>
  <c r="P267" i="14"/>
  <c r="P268" i="14"/>
  <c r="P269" i="14"/>
  <c r="P270" i="14"/>
  <c r="P271" i="14"/>
  <c r="P272" i="14"/>
  <c r="P273" i="14"/>
  <c r="P274" i="14"/>
  <c r="P275" i="14"/>
  <c r="P276" i="14"/>
  <c r="P277" i="14"/>
  <c r="P278" i="14"/>
  <c r="P279" i="14"/>
  <c r="P280" i="14"/>
  <c r="P281" i="14"/>
  <c r="P282" i="14"/>
  <c r="P283" i="14"/>
  <c r="P284" i="14"/>
  <c r="P285" i="14"/>
  <c r="P286" i="14"/>
  <c r="P287" i="14"/>
  <c r="P288" i="14"/>
  <c r="P289" i="14"/>
  <c r="P290" i="14"/>
  <c r="P291" i="14"/>
  <c r="P292" i="14"/>
  <c r="P293" i="14"/>
  <c r="P294" i="14"/>
  <c r="P295" i="14"/>
  <c r="P296" i="14"/>
  <c r="P297" i="14"/>
  <c r="P298" i="14"/>
  <c r="P299" i="14"/>
  <c r="P300" i="14"/>
  <c r="P301" i="14"/>
  <c r="P302" i="14"/>
  <c r="P303" i="14"/>
  <c r="P304" i="14"/>
  <c r="P305" i="14"/>
  <c r="P306" i="14"/>
  <c r="P307" i="14"/>
  <c r="P308" i="14"/>
  <c r="P309" i="14"/>
  <c r="P310" i="14"/>
  <c r="P311" i="14"/>
  <c r="P312" i="14"/>
  <c r="P313" i="14"/>
  <c r="P314" i="14"/>
  <c r="P315" i="14"/>
  <c r="P316" i="14"/>
  <c r="P317" i="14"/>
  <c r="P318" i="14"/>
  <c r="P319" i="14"/>
  <c r="P320" i="14"/>
  <c r="P321" i="14"/>
  <c r="P322" i="14"/>
  <c r="P323" i="14"/>
  <c r="P324" i="14"/>
  <c r="P325" i="14"/>
  <c r="P326" i="14"/>
  <c r="P327" i="14"/>
  <c r="P328" i="14"/>
  <c r="P329" i="14"/>
  <c r="P330" i="14"/>
  <c r="P331" i="14"/>
  <c r="P332" i="14"/>
  <c r="P333" i="14"/>
  <c r="P334" i="14"/>
  <c r="P335" i="14"/>
  <c r="P336" i="14"/>
  <c r="P337" i="14"/>
  <c r="P338" i="14"/>
  <c r="P339" i="14"/>
  <c r="P340" i="14"/>
  <c r="P341" i="14"/>
  <c r="P342" i="14"/>
  <c r="P343" i="14"/>
  <c r="P344" i="14"/>
  <c r="P345" i="14"/>
  <c r="P346" i="14"/>
  <c r="P347" i="14"/>
  <c r="P348" i="14"/>
  <c r="P349" i="14"/>
  <c r="P350" i="14"/>
  <c r="P351" i="14"/>
  <c r="P352" i="14"/>
  <c r="P353" i="14"/>
  <c r="P354" i="14"/>
  <c r="P355" i="14"/>
  <c r="P356" i="14"/>
  <c r="P357" i="14"/>
  <c r="P358" i="14"/>
  <c r="P359" i="14"/>
  <c r="P360" i="14"/>
  <c r="P361" i="14"/>
  <c r="P362" i="14"/>
  <c r="P363" i="14"/>
  <c r="P364" i="14"/>
  <c r="P365" i="14"/>
  <c r="P366" i="14"/>
  <c r="P367" i="14"/>
  <c r="P368" i="14"/>
  <c r="P369" i="14"/>
  <c r="P370" i="14"/>
  <c r="P371" i="14"/>
  <c r="P372" i="14"/>
  <c r="P373" i="14"/>
  <c r="P374" i="14"/>
  <c r="P375" i="14"/>
  <c r="P376" i="14"/>
  <c r="P377" i="14"/>
  <c r="P378" i="14"/>
  <c r="P379" i="14"/>
  <c r="P380" i="14"/>
  <c r="P381" i="14"/>
  <c r="P382" i="14"/>
  <c r="P383" i="14"/>
  <c r="P384" i="14"/>
  <c r="P385" i="14"/>
  <c r="P386" i="14"/>
  <c r="P387" i="14"/>
  <c r="P388" i="14"/>
  <c r="P389" i="14"/>
  <c r="P390" i="14"/>
  <c r="P391" i="14"/>
  <c r="P392" i="14"/>
  <c r="P393" i="14"/>
  <c r="P394" i="14"/>
  <c r="P395" i="14"/>
  <c r="P396" i="14"/>
  <c r="P397" i="14"/>
  <c r="P398" i="14"/>
  <c r="P399" i="14"/>
  <c r="P400" i="14"/>
  <c r="P401" i="14"/>
  <c r="P402" i="14"/>
  <c r="P403" i="14"/>
  <c r="P404" i="14"/>
  <c r="P405" i="14"/>
  <c r="P406" i="14"/>
  <c r="P407" i="14"/>
  <c r="P408" i="14"/>
  <c r="P409" i="14"/>
  <c r="P410" i="14"/>
  <c r="P411" i="14"/>
  <c r="P412" i="14"/>
  <c r="P413" i="14"/>
  <c r="P414" i="14"/>
  <c r="P415" i="14"/>
  <c r="P416" i="14"/>
  <c r="P417" i="14"/>
  <c r="P418" i="14"/>
  <c r="P419" i="14"/>
  <c r="P420" i="14"/>
  <c r="P421" i="14"/>
  <c r="P422" i="14"/>
  <c r="P423" i="14"/>
  <c r="P424" i="14"/>
  <c r="P425" i="14"/>
  <c r="P426" i="14"/>
  <c r="P427" i="14"/>
  <c r="P428" i="14"/>
  <c r="P429" i="14"/>
  <c r="P430" i="14"/>
  <c r="P431" i="14"/>
  <c r="P432" i="14"/>
  <c r="P433" i="14"/>
  <c r="P434" i="14"/>
  <c r="P435" i="14"/>
  <c r="P436" i="14"/>
  <c r="P437" i="14"/>
  <c r="P438" i="14"/>
  <c r="P439" i="14"/>
  <c r="P440" i="14"/>
  <c r="P441" i="14"/>
  <c r="P442" i="14"/>
  <c r="P443" i="14"/>
  <c r="P444" i="14"/>
  <c r="P445" i="14"/>
  <c r="P446" i="14"/>
  <c r="P447" i="14"/>
  <c r="P448" i="14"/>
  <c r="P449" i="14"/>
  <c r="P450" i="14"/>
  <c r="P451" i="14"/>
  <c r="P452" i="14"/>
  <c r="P453" i="14"/>
  <c r="P454" i="14"/>
  <c r="P455" i="14"/>
  <c r="P456" i="14"/>
  <c r="P457" i="14"/>
  <c r="P458" i="14"/>
  <c r="P459" i="14"/>
  <c r="P460" i="14"/>
  <c r="P461" i="14"/>
  <c r="P462" i="14"/>
  <c r="P463" i="14"/>
  <c r="P464" i="14"/>
  <c r="P465" i="14"/>
  <c r="P466" i="14"/>
  <c r="P467" i="14"/>
  <c r="P468" i="14"/>
  <c r="P469" i="14"/>
  <c r="P470" i="14"/>
  <c r="P471" i="14"/>
  <c r="P472" i="14"/>
  <c r="P473" i="14"/>
  <c r="P474" i="14"/>
  <c r="P475" i="14"/>
  <c r="P476" i="14"/>
  <c r="P477" i="14"/>
  <c r="P478" i="14"/>
  <c r="P479" i="14"/>
  <c r="P480" i="14"/>
  <c r="P481" i="14"/>
  <c r="P482" i="14"/>
  <c r="P483" i="14"/>
  <c r="P484" i="14"/>
  <c r="P485" i="14"/>
  <c r="P486" i="14"/>
  <c r="P487" i="14"/>
  <c r="P488" i="14"/>
  <c r="P489" i="14"/>
  <c r="P490" i="14"/>
  <c r="P491" i="14"/>
  <c r="P492" i="14"/>
  <c r="P493" i="14"/>
  <c r="P494" i="14"/>
  <c r="P495" i="14"/>
  <c r="P496" i="14"/>
  <c r="P497" i="14"/>
  <c r="P498" i="14"/>
  <c r="P499" i="14"/>
  <c r="P500" i="14"/>
  <c r="P501" i="14"/>
  <c r="P502" i="14"/>
  <c r="P503" i="14"/>
  <c r="P504" i="14"/>
  <c r="P505" i="14"/>
  <c r="P506" i="14"/>
  <c r="P507" i="14"/>
  <c r="P508" i="14"/>
  <c r="P509" i="14"/>
  <c r="P510" i="14"/>
  <c r="P511" i="14"/>
  <c r="P512" i="14"/>
  <c r="D11" i="14"/>
  <c r="E11" i="14"/>
  <c r="F11" i="14"/>
  <c r="G11" i="14"/>
  <c r="H11" i="14"/>
  <c r="I11" i="14"/>
  <c r="J11" i="14"/>
  <c r="K11" i="14"/>
  <c r="L11" i="14"/>
  <c r="M11" i="14"/>
  <c r="N11" i="14"/>
  <c r="D12" i="14"/>
  <c r="E12" i="14"/>
  <c r="F12" i="14"/>
  <c r="G12" i="14"/>
  <c r="H12" i="14"/>
  <c r="I12" i="14"/>
  <c r="J12" i="14"/>
  <c r="K12" i="14"/>
  <c r="L12" i="14"/>
  <c r="M12" i="14"/>
  <c r="N12" i="14"/>
  <c r="D13" i="14"/>
  <c r="D23" i="14" s="1"/>
  <c r="E13" i="14"/>
  <c r="E23" i="14" s="1"/>
  <c r="F13" i="14"/>
  <c r="F23" i="14" s="1"/>
  <c r="G13" i="14"/>
  <c r="G23" i="14" s="1"/>
  <c r="H13" i="14"/>
  <c r="H23" i="14" s="1"/>
  <c r="I13" i="14"/>
  <c r="C24" i="14" s="1"/>
  <c r="J13" i="14"/>
  <c r="D24" i="14" s="1"/>
  <c r="K13" i="14"/>
  <c r="E24" i="14" s="1"/>
  <c r="L13" i="14"/>
  <c r="F24" i="14" s="1"/>
  <c r="M13" i="14"/>
  <c r="G24" i="14" s="1"/>
  <c r="N13" i="14"/>
  <c r="H24" i="14" s="1"/>
  <c r="C13" i="14"/>
  <c r="C23" i="14" s="1"/>
  <c r="C12" i="14"/>
  <c r="C11" i="14"/>
  <c r="AI44" i="14" l="1"/>
  <c r="Z512" i="14"/>
  <c r="X512" i="14"/>
  <c r="Y512" i="14"/>
  <c r="V512" i="14"/>
  <c r="W512" i="14"/>
  <c r="AA512" i="14"/>
  <c r="Z456" i="14"/>
  <c r="V456" i="14"/>
  <c r="W456" i="14"/>
  <c r="X456" i="14"/>
  <c r="Y456" i="14"/>
  <c r="AA456" i="14"/>
  <c r="Z408" i="14"/>
  <c r="AA408" i="14"/>
  <c r="W408" i="14"/>
  <c r="X408" i="14"/>
  <c r="Y408" i="14"/>
  <c r="V408" i="14"/>
  <c r="Z368" i="14"/>
  <c r="AA368" i="14"/>
  <c r="W368" i="14"/>
  <c r="V368" i="14"/>
  <c r="X368" i="14"/>
  <c r="Y368" i="14"/>
  <c r="Z312" i="14"/>
  <c r="AA312" i="14"/>
  <c r="V312" i="14"/>
  <c r="X312" i="14"/>
  <c r="W312" i="14"/>
  <c r="Y312" i="14"/>
  <c r="X248" i="14"/>
  <c r="W248" i="14"/>
  <c r="AA248" i="14"/>
  <c r="V248" i="14"/>
  <c r="Y248" i="14"/>
  <c r="Z248" i="14"/>
  <c r="X192" i="14"/>
  <c r="W192" i="14"/>
  <c r="Y192" i="14"/>
  <c r="Z192" i="14"/>
  <c r="V192" i="14"/>
  <c r="AA192" i="14"/>
  <c r="X160" i="14"/>
  <c r="Y160" i="14"/>
  <c r="Z160" i="14"/>
  <c r="AA160" i="14"/>
  <c r="W160" i="14"/>
  <c r="V160" i="14"/>
  <c r="X104" i="14"/>
  <c r="Y104" i="14"/>
  <c r="Z104" i="14"/>
  <c r="V104" i="14"/>
  <c r="AA104" i="14"/>
  <c r="W104" i="14"/>
  <c r="W64" i="14"/>
  <c r="X64" i="14"/>
  <c r="Y64" i="14"/>
  <c r="V64" i="14"/>
  <c r="Z64" i="14"/>
  <c r="AA64" i="14"/>
  <c r="X503" i="14"/>
  <c r="W503" i="14"/>
  <c r="Y503" i="14"/>
  <c r="AA503" i="14"/>
  <c r="V503" i="14"/>
  <c r="Z503" i="14"/>
  <c r="X479" i="14"/>
  <c r="V479" i="14"/>
  <c r="Y479" i="14"/>
  <c r="Z479" i="14"/>
  <c r="AA479" i="14"/>
  <c r="W479" i="14"/>
  <c r="X447" i="14"/>
  <c r="Y447" i="14"/>
  <c r="Z447" i="14"/>
  <c r="AA447" i="14"/>
  <c r="V447" i="14"/>
  <c r="W447" i="14"/>
  <c r="X431" i="14"/>
  <c r="Y431" i="14"/>
  <c r="V431" i="14"/>
  <c r="Z431" i="14"/>
  <c r="W431" i="14"/>
  <c r="AA431" i="14"/>
  <c r="X407" i="14"/>
  <c r="Y407" i="14"/>
  <c r="W407" i="14"/>
  <c r="V407" i="14"/>
  <c r="AA407" i="14"/>
  <c r="Z407" i="14"/>
  <c r="X383" i="14"/>
  <c r="Y383" i="14"/>
  <c r="V383" i="14"/>
  <c r="Z383" i="14"/>
  <c r="W383" i="14"/>
  <c r="AA383" i="14"/>
  <c r="X359" i="14"/>
  <c r="Y359" i="14"/>
  <c r="W359" i="14"/>
  <c r="V359" i="14"/>
  <c r="AA359" i="14"/>
  <c r="Z359" i="14"/>
  <c r="X335" i="14"/>
  <c r="Y335" i="14"/>
  <c r="V335" i="14"/>
  <c r="W335" i="14"/>
  <c r="Z335" i="14"/>
  <c r="AA335" i="14"/>
  <c r="X311" i="14"/>
  <c r="Y311" i="14"/>
  <c r="W311" i="14"/>
  <c r="V311" i="14"/>
  <c r="Z311" i="14"/>
  <c r="AA311" i="14"/>
  <c r="X287" i="14"/>
  <c r="Y287" i="14"/>
  <c r="V287" i="14"/>
  <c r="W287" i="14"/>
  <c r="Z287" i="14"/>
  <c r="AA287" i="14"/>
  <c r="V263" i="14"/>
  <c r="W263" i="14"/>
  <c r="Z263" i="14"/>
  <c r="AA263" i="14"/>
  <c r="X263" i="14"/>
  <c r="Y263" i="14"/>
  <c r="V239" i="14"/>
  <c r="Z239" i="14"/>
  <c r="Y239" i="14"/>
  <c r="AA239" i="14"/>
  <c r="W239" i="14"/>
  <c r="X239" i="14"/>
  <c r="V215" i="14"/>
  <c r="Z215" i="14"/>
  <c r="X215" i="14"/>
  <c r="Y215" i="14"/>
  <c r="W215" i="14"/>
  <c r="AA215" i="14"/>
  <c r="V199" i="14"/>
  <c r="Z199" i="14"/>
  <c r="X199" i="14"/>
  <c r="Y199" i="14"/>
  <c r="AA199" i="14"/>
  <c r="W199" i="14"/>
  <c r="V175" i="14"/>
  <c r="W175" i="14"/>
  <c r="Z175" i="14"/>
  <c r="Y175" i="14"/>
  <c r="AA175" i="14"/>
  <c r="X175" i="14"/>
  <c r="V159" i="14"/>
  <c r="W159" i="14"/>
  <c r="Z159" i="14"/>
  <c r="X159" i="14"/>
  <c r="Y159" i="14"/>
  <c r="AA159" i="14"/>
  <c r="AA111" i="14"/>
  <c r="V111" i="14"/>
  <c r="W111" i="14"/>
  <c r="Y111" i="14"/>
  <c r="X111" i="14"/>
  <c r="Z111" i="14"/>
  <c r="AA71" i="14"/>
  <c r="V71" i="14"/>
  <c r="W71" i="14"/>
  <c r="X71" i="14"/>
  <c r="Y71" i="14"/>
  <c r="Z71" i="14"/>
  <c r="X507" i="14"/>
  <c r="AA507" i="14"/>
  <c r="Z507" i="14"/>
  <c r="W507" i="14"/>
  <c r="V507" i="14"/>
  <c r="Y507" i="14"/>
  <c r="X491" i="14"/>
  <c r="V491" i="14"/>
  <c r="W491" i="14"/>
  <c r="Z491" i="14"/>
  <c r="AA491" i="14"/>
  <c r="Y491" i="14"/>
  <c r="X483" i="14"/>
  <c r="Y483" i="14"/>
  <c r="Z483" i="14"/>
  <c r="W483" i="14"/>
  <c r="AA483" i="14"/>
  <c r="V483" i="14"/>
  <c r="X467" i="14"/>
  <c r="W467" i="14"/>
  <c r="V467" i="14"/>
  <c r="Y467" i="14"/>
  <c r="Z467" i="14"/>
  <c r="AA467" i="14"/>
  <c r="X459" i="14"/>
  <c r="V459" i="14"/>
  <c r="W459" i="14"/>
  <c r="Y459" i="14"/>
  <c r="Z459" i="14"/>
  <c r="AA459" i="14"/>
  <c r="X443" i="14"/>
  <c r="AA443" i="14"/>
  <c r="V443" i="14"/>
  <c r="Y443" i="14"/>
  <c r="Z443" i="14"/>
  <c r="W443" i="14"/>
  <c r="X435" i="14"/>
  <c r="Y435" i="14"/>
  <c r="AA435" i="14"/>
  <c r="V435" i="14"/>
  <c r="Z435" i="14"/>
  <c r="W435" i="14"/>
  <c r="X427" i="14"/>
  <c r="Y427" i="14"/>
  <c r="V427" i="14"/>
  <c r="Z427" i="14"/>
  <c r="W427" i="14"/>
  <c r="AA427" i="14"/>
  <c r="X419" i="14"/>
  <c r="Y419" i="14"/>
  <c r="AA419" i="14"/>
  <c r="W419" i="14"/>
  <c r="V419" i="14"/>
  <c r="Z419" i="14"/>
  <c r="X403" i="14"/>
  <c r="Y403" i="14"/>
  <c r="AA403" i="14"/>
  <c r="Z403" i="14"/>
  <c r="W403" i="14"/>
  <c r="V403" i="14"/>
  <c r="X395" i="14"/>
  <c r="Y395" i="14"/>
  <c r="Z395" i="14"/>
  <c r="W395" i="14"/>
  <c r="V395" i="14"/>
  <c r="AA395" i="14"/>
  <c r="X387" i="14"/>
  <c r="Y387" i="14"/>
  <c r="AA387" i="14"/>
  <c r="V387" i="14"/>
  <c r="W387" i="14"/>
  <c r="Z387" i="14"/>
  <c r="X379" i="14"/>
  <c r="Y379" i="14"/>
  <c r="Z379" i="14"/>
  <c r="AA379" i="14"/>
  <c r="V379" i="14"/>
  <c r="W379" i="14"/>
  <c r="X371" i="14"/>
  <c r="Y371" i="14"/>
  <c r="AA371" i="14"/>
  <c r="V371" i="14"/>
  <c r="Z371" i="14"/>
  <c r="W371" i="14"/>
  <c r="X363" i="14"/>
  <c r="Y363" i="14"/>
  <c r="Z363" i="14"/>
  <c r="W363" i="14"/>
  <c r="AA363" i="14"/>
  <c r="V363" i="14"/>
  <c r="X355" i="14"/>
  <c r="Y355" i="14"/>
  <c r="AA355" i="14"/>
  <c r="V355" i="14"/>
  <c r="W355" i="14"/>
  <c r="Z355" i="14"/>
  <c r="X347" i="14"/>
  <c r="Y347" i="14"/>
  <c r="Z347" i="14"/>
  <c r="V347" i="14"/>
  <c r="W347" i="14"/>
  <c r="AA347" i="14"/>
  <c r="X339" i="14"/>
  <c r="Y339" i="14"/>
  <c r="AA339" i="14"/>
  <c r="Z339" i="14"/>
  <c r="V339" i="14"/>
  <c r="W339" i="14"/>
  <c r="X331" i="14"/>
  <c r="Y331" i="14"/>
  <c r="Z331" i="14"/>
  <c r="W331" i="14"/>
  <c r="V331" i="14"/>
  <c r="AA331" i="14"/>
  <c r="X315" i="14"/>
  <c r="Y315" i="14"/>
  <c r="Z315" i="14"/>
  <c r="V315" i="14"/>
  <c r="W315" i="14"/>
  <c r="AA315" i="14"/>
  <c r="X307" i="14"/>
  <c r="Y307" i="14"/>
  <c r="AA307" i="14"/>
  <c r="V307" i="14"/>
  <c r="Z307" i="14"/>
  <c r="W307" i="14"/>
  <c r="X299" i="14"/>
  <c r="Y299" i="14"/>
  <c r="Z299" i="14"/>
  <c r="W299" i="14"/>
  <c r="AA299" i="14"/>
  <c r="V299" i="14"/>
  <c r="X291" i="14"/>
  <c r="Y291" i="14"/>
  <c r="AA291" i="14"/>
  <c r="V291" i="14"/>
  <c r="W291" i="14"/>
  <c r="Z291" i="14"/>
  <c r="X283" i="14"/>
  <c r="Y283" i="14"/>
  <c r="Z283" i="14"/>
  <c r="V283" i="14"/>
  <c r="W283" i="14"/>
  <c r="AA283" i="14"/>
  <c r="V275" i="14"/>
  <c r="X275" i="14"/>
  <c r="AA275" i="14"/>
  <c r="W275" i="14"/>
  <c r="Y275" i="14"/>
  <c r="Z275" i="14"/>
  <c r="V267" i="14"/>
  <c r="W267" i="14"/>
  <c r="X267" i="14"/>
  <c r="AA267" i="14"/>
  <c r="Y267" i="14"/>
  <c r="Z267" i="14"/>
  <c r="V259" i="14"/>
  <c r="Y259" i="14"/>
  <c r="Z259" i="14"/>
  <c r="AA259" i="14"/>
  <c r="W259" i="14"/>
  <c r="X259" i="14"/>
  <c r="V251" i="14"/>
  <c r="Z251" i="14"/>
  <c r="W251" i="14"/>
  <c r="X251" i="14"/>
  <c r="Y251" i="14"/>
  <c r="AA251" i="14"/>
  <c r="V243" i="14"/>
  <c r="Z243" i="14"/>
  <c r="AA243" i="14"/>
  <c r="X243" i="14"/>
  <c r="W243" i="14"/>
  <c r="Y243" i="14"/>
  <c r="V235" i="14"/>
  <c r="Z235" i="14"/>
  <c r="W235" i="14"/>
  <c r="Y235" i="14"/>
  <c r="X235" i="14"/>
  <c r="AA235" i="14"/>
  <c r="V227" i="14"/>
  <c r="Z227" i="14"/>
  <c r="AA227" i="14"/>
  <c r="W227" i="14"/>
  <c r="X227" i="14"/>
  <c r="Y227" i="14"/>
  <c r="V219" i="14"/>
  <c r="Z219" i="14"/>
  <c r="W219" i="14"/>
  <c r="AA219" i="14"/>
  <c r="Y219" i="14"/>
  <c r="X219" i="14"/>
  <c r="V211" i="14"/>
  <c r="Z211" i="14"/>
  <c r="AA211" i="14"/>
  <c r="Y211" i="14"/>
  <c r="W211" i="14"/>
  <c r="X211" i="14"/>
  <c r="V203" i="14"/>
  <c r="Z203" i="14"/>
  <c r="W203" i="14"/>
  <c r="X203" i="14"/>
  <c r="AA203" i="14"/>
  <c r="Y203" i="14"/>
  <c r="V195" i="14"/>
  <c r="Z195" i="14"/>
  <c r="AA195" i="14"/>
  <c r="W195" i="14"/>
  <c r="X195" i="14"/>
  <c r="Y195" i="14"/>
  <c r="V187" i="14"/>
  <c r="Z187" i="14"/>
  <c r="W187" i="14"/>
  <c r="X187" i="14"/>
  <c r="AA187" i="14"/>
  <c r="Y187" i="14"/>
  <c r="V179" i="14"/>
  <c r="W179" i="14"/>
  <c r="Z179" i="14"/>
  <c r="AA179" i="14"/>
  <c r="Y179" i="14"/>
  <c r="X179" i="14"/>
  <c r="V171" i="14"/>
  <c r="W171" i="14"/>
  <c r="Z171" i="14"/>
  <c r="X171" i="14"/>
  <c r="Y171" i="14"/>
  <c r="AA171" i="14"/>
  <c r="V163" i="14"/>
  <c r="W163" i="14"/>
  <c r="Z163" i="14"/>
  <c r="X163" i="14"/>
  <c r="Y163" i="14"/>
  <c r="AA163" i="14"/>
  <c r="AA155" i="14"/>
  <c r="W155" i="14"/>
  <c r="Y155" i="14"/>
  <c r="Z155" i="14"/>
  <c r="X155" i="14"/>
  <c r="V155" i="14"/>
  <c r="AA147" i="14"/>
  <c r="W147" i="14"/>
  <c r="Y147" i="14"/>
  <c r="V147" i="14"/>
  <c r="X147" i="14"/>
  <c r="Z147" i="14"/>
  <c r="AA139" i="14"/>
  <c r="W139" i="14"/>
  <c r="Y139" i="14"/>
  <c r="Z139" i="14"/>
  <c r="V139" i="14"/>
  <c r="X139" i="14"/>
  <c r="AA131" i="14"/>
  <c r="W131" i="14"/>
  <c r="Y131" i="14"/>
  <c r="X131" i="14"/>
  <c r="V131" i="14"/>
  <c r="Z131" i="14"/>
  <c r="AA123" i="14"/>
  <c r="V123" i="14"/>
  <c r="W123" i="14"/>
  <c r="Z123" i="14"/>
  <c r="Y123" i="14"/>
  <c r="X123" i="14"/>
  <c r="AA115" i="14"/>
  <c r="V115" i="14"/>
  <c r="W115" i="14"/>
  <c r="X115" i="14"/>
  <c r="Y115" i="14"/>
  <c r="Z115" i="14"/>
  <c r="AA107" i="14"/>
  <c r="V107" i="14"/>
  <c r="W107" i="14"/>
  <c r="Z107" i="14"/>
  <c r="X107" i="14"/>
  <c r="Y107" i="14"/>
  <c r="AA99" i="14"/>
  <c r="V99" i="14"/>
  <c r="W99" i="14"/>
  <c r="X99" i="14"/>
  <c r="Y99" i="14"/>
  <c r="Z99" i="14"/>
  <c r="AA91" i="14"/>
  <c r="V91" i="14"/>
  <c r="W91" i="14"/>
  <c r="Z91" i="14"/>
  <c r="Y91" i="14"/>
  <c r="X91" i="14"/>
  <c r="AA83" i="14"/>
  <c r="V83" i="14"/>
  <c r="W83" i="14"/>
  <c r="X83" i="14"/>
  <c r="Y83" i="14"/>
  <c r="Z83" i="14"/>
  <c r="AA67" i="14"/>
  <c r="V67" i="14"/>
  <c r="W67" i="14"/>
  <c r="X67" i="14"/>
  <c r="Y67" i="14"/>
  <c r="Z67" i="14"/>
  <c r="AA59" i="14"/>
  <c r="V59" i="14"/>
  <c r="W59" i="14"/>
  <c r="X59" i="14"/>
  <c r="Y59" i="14"/>
  <c r="Z59" i="14"/>
  <c r="AA51" i="14"/>
  <c r="V51" i="14"/>
  <c r="W51" i="14"/>
  <c r="X51" i="14"/>
  <c r="Y51" i="14"/>
  <c r="Z51" i="14"/>
  <c r="V506" i="14"/>
  <c r="X506" i="14"/>
  <c r="Y506" i="14"/>
  <c r="AA506" i="14"/>
  <c r="W506" i="14"/>
  <c r="Z506" i="14"/>
  <c r="V490" i="14"/>
  <c r="Y490" i="14"/>
  <c r="W490" i="14"/>
  <c r="X490" i="14"/>
  <c r="Z490" i="14"/>
  <c r="AA490" i="14"/>
  <c r="V474" i="14"/>
  <c r="X474" i="14"/>
  <c r="Y474" i="14"/>
  <c r="W474" i="14"/>
  <c r="AA474" i="14"/>
  <c r="Z474" i="14"/>
  <c r="V458" i="14"/>
  <c r="AA458" i="14"/>
  <c r="W458" i="14"/>
  <c r="Z458" i="14"/>
  <c r="X458" i="14"/>
  <c r="Y458" i="14"/>
  <c r="V450" i="14"/>
  <c r="AA450" i="14"/>
  <c r="W450" i="14"/>
  <c r="Y450" i="14"/>
  <c r="X450" i="14"/>
  <c r="Z450" i="14"/>
  <c r="V434" i="14"/>
  <c r="W434" i="14"/>
  <c r="Z434" i="14"/>
  <c r="AA434" i="14"/>
  <c r="X434" i="14"/>
  <c r="Y434" i="14"/>
  <c r="V418" i="14"/>
  <c r="W418" i="14"/>
  <c r="Y418" i="14"/>
  <c r="Z418" i="14"/>
  <c r="AA418" i="14"/>
  <c r="X418" i="14"/>
  <c r="V402" i="14"/>
  <c r="W402" i="14"/>
  <c r="Z402" i="14"/>
  <c r="Y402" i="14"/>
  <c r="X402" i="14"/>
  <c r="AA402" i="14"/>
  <c r="V394" i="14"/>
  <c r="W394" i="14"/>
  <c r="AA394" i="14"/>
  <c r="X394" i="14"/>
  <c r="Y394" i="14"/>
  <c r="Z394" i="14"/>
  <c r="V378" i="14"/>
  <c r="W378" i="14"/>
  <c r="AA378" i="14"/>
  <c r="X378" i="14"/>
  <c r="Z378" i="14"/>
  <c r="Y378" i="14"/>
  <c r="V370" i="14"/>
  <c r="W370" i="14"/>
  <c r="Z370" i="14"/>
  <c r="Y370" i="14"/>
  <c r="AA370" i="14"/>
  <c r="X370" i="14"/>
  <c r="V354" i="14"/>
  <c r="W354" i="14"/>
  <c r="Z354" i="14"/>
  <c r="X354" i="14"/>
  <c r="Y354" i="14"/>
  <c r="AA354" i="14"/>
  <c r="V338" i="14"/>
  <c r="W338" i="14"/>
  <c r="Z338" i="14"/>
  <c r="Y338" i="14"/>
  <c r="X338" i="14"/>
  <c r="AA338" i="14"/>
  <c r="V330" i="14"/>
  <c r="W330" i="14"/>
  <c r="AA330" i="14"/>
  <c r="X330" i="14"/>
  <c r="Y330" i="14"/>
  <c r="Z330" i="14"/>
  <c r="V314" i="14"/>
  <c r="W314" i="14"/>
  <c r="AA314" i="14"/>
  <c r="X314" i="14"/>
  <c r="Z314" i="14"/>
  <c r="Y314" i="14"/>
  <c r="V306" i="14"/>
  <c r="W306" i="14"/>
  <c r="Z306" i="14"/>
  <c r="Y306" i="14"/>
  <c r="AA306" i="14"/>
  <c r="X306" i="14"/>
  <c r="V290" i="14"/>
  <c r="W290" i="14"/>
  <c r="Z290" i="14"/>
  <c r="X290" i="14"/>
  <c r="Y290" i="14"/>
  <c r="AA290" i="14"/>
  <c r="Z274" i="14"/>
  <c r="AA274" i="14"/>
  <c r="V274" i="14"/>
  <c r="Y274" i="14"/>
  <c r="W274" i="14"/>
  <c r="X274" i="14"/>
  <c r="V258" i="14"/>
  <c r="W258" i="14"/>
  <c r="AA258" i="14"/>
  <c r="Y258" i="14"/>
  <c r="Z258" i="14"/>
  <c r="X258" i="14"/>
  <c r="X250" i="14"/>
  <c r="AA250" i="14"/>
  <c r="Y250" i="14"/>
  <c r="V250" i="14"/>
  <c r="W250" i="14"/>
  <c r="Z250" i="14"/>
  <c r="X234" i="14"/>
  <c r="AA234" i="14"/>
  <c r="V234" i="14"/>
  <c r="W234" i="14"/>
  <c r="Y234" i="14"/>
  <c r="Z234" i="14"/>
  <c r="X218" i="14"/>
  <c r="AA218" i="14"/>
  <c r="Z218" i="14"/>
  <c r="V218" i="14"/>
  <c r="W218" i="14"/>
  <c r="Y218" i="14"/>
  <c r="X202" i="14"/>
  <c r="AA202" i="14"/>
  <c r="V202" i="14"/>
  <c r="Y202" i="14"/>
  <c r="Z202" i="14"/>
  <c r="W202" i="14"/>
  <c r="X186" i="14"/>
  <c r="AA186" i="14"/>
  <c r="Y186" i="14"/>
  <c r="V186" i="14"/>
  <c r="W186" i="14"/>
  <c r="Z186" i="14"/>
  <c r="X170" i="14"/>
  <c r="Z170" i="14"/>
  <c r="V170" i="14"/>
  <c r="Y170" i="14"/>
  <c r="AA170" i="14"/>
  <c r="W170" i="14"/>
  <c r="X162" i="14"/>
  <c r="Z162" i="14"/>
  <c r="AA162" i="14"/>
  <c r="V162" i="14"/>
  <c r="W162" i="14"/>
  <c r="Y162" i="14"/>
  <c r="Y146" i="14"/>
  <c r="Z146" i="14"/>
  <c r="AA146" i="14"/>
  <c r="W146" i="14"/>
  <c r="X146" i="14"/>
  <c r="V146" i="14"/>
  <c r="Y130" i="14"/>
  <c r="Z130" i="14"/>
  <c r="AA130" i="14"/>
  <c r="V130" i="14"/>
  <c r="W130" i="14"/>
  <c r="X130" i="14"/>
  <c r="Y114" i="14"/>
  <c r="W114" i="14"/>
  <c r="X114" i="14"/>
  <c r="V114" i="14"/>
  <c r="Z114" i="14"/>
  <c r="AA114" i="14"/>
  <c r="Y98" i="14"/>
  <c r="W98" i="14"/>
  <c r="Z98" i="14"/>
  <c r="AA98" i="14"/>
  <c r="V98" i="14"/>
  <c r="X98" i="14"/>
  <c r="Y82" i="14"/>
  <c r="W82" i="14"/>
  <c r="X82" i="14"/>
  <c r="Z82" i="14"/>
  <c r="AA82" i="14"/>
  <c r="V82" i="14"/>
  <c r="Y66" i="14"/>
  <c r="AA66" i="14"/>
  <c r="Z66" i="14"/>
  <c r="W66" i="14"/>
  <c r="X66" i="14"/>
  <c r="V66" i="14"/>
  <c r="Y50" i="14"/>
  <c r="AA50" i="14"/>
  <c r="X50" i="14"/>
  <c r="Z50" i="14"/>
  <c r="V50" i="14"/>
  <c r="W50" i="14"/>
  <c r="V505" i="14"/>
  <c r="Z505" i="14"/>
  <c r="AA505" i="14"/>
  <c r="X505" i="14"/>
  <c r="W505" i="14"/>
  <c r="Y505" i="14"/>
  <c r="W497" i="14"/>
  <c r="X497" i="14"/>
  <c r="Z497" i="14"/>
  <c r="AA497" i="14"/>
  <c r="V497" i="14"/>
  <c r="Y497" i="14"/>
  <c r="Y489" i="14"/>
  <c r="Z489" i="14"/>
  <c r="X489" i="14"/>
  <c r="AA489" i="14"/>
  <c r="V489" i="14"/>
  <c r="W489" i="14"/>
  <c r="AA481" i="14"/>
  <c r="X481" i="14"/>
  <c r="Y481" i="14"/>
  <c r="Z481" i="14"/>
  <c r="V481" i="14"/>
  <c r="W481" i="14"/>
  <c r="V473" i="14"/>
  <c r="X473" i="14"/>
  <c r="Y473" i="14"/>
  <c r="Z473" i="14"/>
  <c r="AA473" i="14"/>
  <c r="W473" i="14"/>
  <c r="W465" i="14"/>
  <c r="X465" i="14"/>
  <c r="V465" i="14"/>
  <c r="Y465" i="14"/>
  <c r="Z465" i="14"/>
  <c r="AA465" i="14"/>
  <c r="Y457" i="14"/>
  <c r="Z457" i="14"/>
  <c r="V457" i="14"/>
  <c r="W457" i="14"/>
  <c r="X457" i="14"/>
  <c r="AA457" i="14"/>
  <c r="AA449" i="14"/>
  <c r="W449" i="14"/>
  <c r="X449" i="14"/>
  <c r="V449" i="14"/>
  <c r="Y449" i="14"/>
  <c r="Z449" i="14"/>
  <c r="X441" i="14"/>
  <c r="V441" i="14"/>
  <c r="W441" i="14"/>
  <c r="Y441" i="14"/>
  <c r="Z441" i="14"/>
  <c r="AA441" i="14"/>
  <c r="AA433" i="14"/>
  <c r="V433" i="14"/>
  <c r="W433" i="14"/>
  <c r="Y433" i="14"/>
  <c r="X433" i="14"/>
  <c r="Z433" i="14"/>
  <c r="W425" i="14"/>
  <c r="V425" i="14"/>
  <c r="Y425" i="14"/>
  <c r="X425" i="14"/>
  <c r="Z425" i="14"/>
  <c r="AA425" i="14"/>
  <c r="AA417" i="14"/>
  <c r="V417" i="14"/>
  <c r="X417" i="14"/>
  <c r="W417" i="14"/>
  <c r="Y417" i="14"/>
  <c r="Z417" i="14"/>
  <c r="W409" i="14"/>
  <c r="X409" i="14"/>
  <c r="V409" i="14"/>
  <c r="Y409" i="14"/>
  <c r="Z409" i="14"/>
  <c r="AA409" i="14"/>
  <c r="AA401" i="14"/>
  <c r="V401" i="14"/>
  <c r="X401" i="14"/>
  <c r="Y401" i="14"/>
  <c r="Z401" i="14"/>
  <c r="W401" i="14"/>
  <c r="W393" i="14"/>
  <c r="Z393" i="14"/>
  <c r="V393" i="14"/>
  <c r="AA393" i="14"/>
  <c r="X393" i="14"/>
  <c r="Y393" i="14"/>
  <c r="AA385" i="14"/>
  <c r="V385" i="14"/>
  <c r="W385" i="14"/>
  <c r="X385" i="14"/>
  <c r="Z385" i="14"/>
  <c r="Y385" i="14"/>
  <c r="W377" i="14"/>
  <c r="Z377" i="14"/>
  <c r="Y377" i="14"/>
  <c r="AA377" i="14"/>
  <c r="V377" i="14"/>
  <c r="X377" i="14"/>
  <c r="AA369" i="14"/>
  <c r="V369" i="14"/>
  <c r="X369" i="14"/>
  <c r="W369" i="14"/>
  <c r="Y369" i="14"/>
  <c r="Z369" i="14"/>
  <c r="W361" i="14"/>
  <c r="Z361" i="14"/>
  <c r="V361" i="14"/>
  <c r="X361" i="14"/>
  <c r="Y361" i="14"/>
  <c r="AA361" i="14"/>
  <c r="AA353" i="14"/>
  <c r="V353" i="14"/>
  <c r="Z353" i="14"/>
  <c r="W353" i="14"/>
  <c r="X353" i="14"/>
  <c r="Y353" i="14"/>
  <c r="W345" i="14"/>
  <c r="Z345" i="14"/>
  <c r="V345" i="14"/>
  <c r="Y345" i="14"/>
  <c r="X345" i="14"/>
  <c r="AA345" i="14"/>
  <c r="AA337" i="14"/>
  <c r="V337" i="14"/>
  <c r="X337" i="14"/>
  <c r="Y337" i="14"/>
  <c r="Z337" i="14"/>
  <c r="W337" i="14"/>
  <c r="W329" i="14"/>
  <c r="Z329" i="14"/>
  <c r="V329" i="14"/>
  <c r="X329" i="14"/>
  <c r="Y329" i="14"/>
  <c r="AA329" i="14"/>
  <c r="AA321" i="14"/>
  <c r="V321" i="14"/>
  <c r="W321" i="14"/>
  <c r="X321" i="14"/>
  <c r="Z321" i="14"/>
  <c r="Y321" i="14"/>
  <c r="W313" i="14"/>
  <c r="Z313" i="14"/>
  <c r="Y313" i="14"/>
  <c r="AA313" i="14"/>
  <c r="V313" i="14"/>
  <c r="X313" i="14"/>
  <c r="AA305" i="14"/>
  <c r="V305" i="14"/>
  <c r="X305" i="14"/>
  <c r="W305" i="14"/>
  <c r="Y305" i="14"/>
  <c r="Z305" i="14"/>
  <c r="W297" i="14"/>
  <c r="Z297" i="14"/>
  <c r="V297" i="14"/>
  <c r="X297" i="14"/>
  <c r="Y297" i="14"/>
  <c r="AA297" i="14"/>
  <c r="AA289" i="14"/>
  <c r="V289" i="14"/>
  <c r="Y289" i="14"/>
  <c r="Z289" i="14"/>
  <c r="X289" i="14"/>
  <c r="W289" i="14"/>
  <c r="W281" i="14"/>
  <c r="Z281" i="14"/>
  <c r="V281" i="14"/>
  <c r="Y281" i="14"/>
  <c r="X281" i="14"/>
  <c r="AA281" i="14"/>
  <c r="Z273" i="14"/>
  <c r="W273" i="14"/>
  <c r="X273" i="14"/>
  <c r="V273" i="14"/>
  <c r="AA273" i="14"/>
  <c r="Y273" i="14"/>
  <c r="Z265" i="14"/>
  <c r="Y265" i="14"/>
  <c r="AA265" i="14"/>
  <c r="V265" i="14"/>
  <c r="X265" i="14"/>
  <c r="W265" i="14"/>
  <c r="Z257" i="14"/>
  <c r="V257" i="14"/>
  <c r="Y257" i="14"/>
  <c r="X257" i="14"/>
  <c r="W257" i="14"/>
  <c r="AA257" i="14"/>
  <c r="Z249" i="14"/>
  <c r="V249" i="14"/>
  <c r="W249" i="14"/>
  <c r="X249" i="14"/>
  <c r="AA249" i="14"/>
  <c r="Y249" i="14"/>
  <c r="Z241" i="14"/>
  <c r="V241" i="14"/>
  <c r="W241" i="14"/>
  <c r="Y241" i="14"/>
  <c r="AA241" i="14"/>
  <c r="X241" i="14"/>
  <c r="Z233" i="14"/>
  <c r="V233" i="14"/>
  <c r="W233" i="14"/>
  <c r="X233" i="14"/>
  <c r="Y233" i="14"/>
  <c r="AA233" i="14"/>
  <c r="Z225" i="14"/>
  <c r="V225" i="14"/>
  <c r="AA225" i="14"/>
  <c r="W225" i="14"/>
  <c r="Y225" i="14"/>
  <c r="X225" i="14"/>
  <c r="Z217" i="14"/>
  <c r="V217" i="14"/>
  <c r="W217" i="14"/>
  <c r="X217" i="14"/>
  <c r="Y217" i="14"/>
  <c r="AA217" i="14"/>
  <c r="Z209" i="14"/>
  <c r="V209" i="14"/>
  <c r="X209" i="14"/>
  <c r="W209" i="14"/>
  <c r="AA209" i="14"/>
  <c r="Y209" i="14"/>
  <c r="Z201" i="14"/>
  <c r="V201" i="14"/>
  <c r="W201" i="14"/>
  <c r="X201" i="14"/>
  <c r="Y201" i="14"/>
  <c r="AA201" i="14"/>
  <c r="Z193" i="14"/>
  <c r="V193" i="14"/>
  <c r="X193" i="14"/>
  <c r="W193" i="14"/>
  <c r="Y193" i="14"/>
  <c r="AA193" i="14"/>
  <c r="Z185" i="14"/>
  <c r="V185" i="14"/>
  <c r="W185" i="14"/>
  <c r="X185" i="14"/>
  <c r="Y185" i="14"/>
  <c r="AA185" i="14"/>
  <c r="Z177" i="14"/>
  <c r="AA177" i="14"/>
  <c r="V177" i="14"/>
  <c r="Y177" i="14"/>
  <c r="X177" i="14"/>
  <c r="W177" i="14"/>
  <c r="Z169" i="14"/>
  <c r="AA169" i="14"/>
  <c r="V169" i="14"/>
  <c r="W169" i="14"/>
  <c r="X169" i="14"/>
  <c r="Y169" i="14"/>
  <c r="Z161" i="14"/>
  <c r="AA161" i="14"/>
  <c r="V161" i="14"/>
  <c r="W161" i="14"/>
  <c r="Y161" i="14"/>
  <c r="X161" i="14"/>
  <c r="W153" i="14"/>
  <c r="AA153" i="14"/>
  <c r="Z153" i="14"/>
  <c r="V153" i="14"/>
  <c r="X153" i="14"/>
  <c r="Y153" i="14"/>
  <c r="W145" i="14"/>
  <c r="AA145" i="14"/>
  <c r="V145" i="14"/>
  <c r="Z145" i="14"/>
  <c r="X145" i="14"/>
  <c r="Y145" i="14"/>
  <c r="W137" i="14"/>
  <c r="AA137" i="14"/>
  <c r="Z137" i="14"/>
  <c r="V137" i="14"/>
  <c r="Y137" i="14"/>
  <c r="X137" i="14"/>
  <c r="W129" i="14"/>
  <c r="AA129" i="14"/>
  <c r="V129" i="14"/>
  <c r="Z129" i="14"/>
  <c r="X129" i="14"/>
  <c r="Y129" i="14"/>
  <c r="W121" i="14"/>
  <c r="Z121" i="14"/>
  <c r="AA121" i="14"/>
  <c r="Y121" i="14"/>
  <c r="V121" i="14"/>
  <c r="X121" i="14"/>
  <c r="W113" i="14"/>
  <c r="Z113" i="14"/>
  <c r="AA113" i="14"/>
  <c r="V113" i="14"/>
  <c r="X113" i="14"/>
  <c r="Y113" i="14"/>
  <c r="W105" i="14"/>
  <c r="Z105" i="14"/>
  <c r="AA105" i="14"/>
  <c r="Y105" i="14"/>
  <c r="X105" i="14"/>
  <c r="V105" i="14"/>
  <c r="W97" i="14"/>
  <c r="Z97" i="14"/>
  <c r="AA97" i="14"/>
  <c r="V97" i="14"/>
  <c r="X97" i="14"/>
  <c r="Y97" i="14"/>
  <c r="W89" i="14"/>
  <c r="Z89" i="14"/>
  <c r="AA89" i="14"/>
  <c r="Y89" i="14"/>
  <c r="X89" i="14"/>
  <c r="V89" i="14"/>
  <c r="W81" i="14"/>
  <c r="Z81" i="14"/>
  <c r="AA81" i="14"/>
  <c r="V81" i="14"/>
  <c r="Y81" i="14"/>
  <c r="X81" i="14"/>
  <c r="W73" i="14"/>
  <c r="Y73" i="14"/>
  <c r="Z73" i="14"/>
  <c r="AA73" i="14"/>
  <c r="X73" i="14"/>
  <c r="V73" i="14"/>
  <c r="W65" i="14"/>
  <c r="Y65" i="14"/>
  <c r="Z65" i="14"/>
  <c r="AA65" i="14"/>
  <c r="X65" i="14"/>
  <c r="V65" i="14"/>
  <c r="W57" i="14"/>
  <c r="Y57" i="14"/>
  <c r="Z57" i="14"/>
  <c r="AA57" i="14"/>
  <c r="X57" i="14"/>
  <c r="V57" i="14"/>
  <c r="W49" i="14"/>
  <c r="Y49" i="14"/>
  <c r="Z49" i="14"/>
  <c r="AA49" i="14"/>
  <c r="V49" i="14"/>
  <c r="X49" i="14"/>
  <c r="Z488" i="14"/>
  <c r="V488" i="14"/>
  <c r="W488" i="14"/>
  <c r="Y488" i="14"/>
  <c r="X488" i="14"/>
  <c r="AA488" i="14"/>
  <c r="Z432" i="14"/>
  <c r="AA432" i="14"/>
  <c r="W432" i="14"/>
  <c r="Y432" i="14"/>
  <c r="X432" i="14"/>
  <c r="V432" i="14"/>
  <c r="Z344" i="14"/>
  <c r="AA344" i="14"/>
  <c r="V344" i="14"/>
  <c r="X344" i="14"/>
  <c r="Y344" i="14"/>
  <c r="W344" i="14"/>
  <c r="W72" i="14"/>
  <c r="X72" i="14"/>
  <c r="Y72" i="14"/>
  <c r="V72" i="14"/>
  <c r="Z72" i="14"/>
  <c r="AA72" i="14"/>
  <c r="X44" i="14"/>
  <c r="Y44" i="14"/>
  <c r="W44" i="14"/>
  <c r="Z44" i="14"/>
  <c r="V44" i="14"/>
  <c r="AA44" i="14"/>
  <c r="X495" i="14"/>
  <c r="Z495" i="14"/>
  <c r="AA495" i="14"/>
  <c r="Y495" i="14"/>
  <c r="V495" i="14"/>
  <c r="W495" i="14"/>
  <c r="X471" i="14"/>
  <c r="W471" i="14"/>
  <c r="Y471" i="14"/>
  <c r="V471" i="14"/>
  <c r="Z471" i="14"/>
  <c r="AA471" i="14"/>
  <c r="X439" i="14"/>
  <c r="W439" i="14"/>
  <c r="V439" i="14"/>
  <c r="Z439" i="14"/>
  <c r="Y439" i="14"/>
  <c r="AA439" i="14"/>
  <c r="X423" i="14"/>
  <c r="Y423" i="14"/>
  <c r="W423" i="14"/>
  <c r="Z423" i="14"/>
  <c r="V423" i="14"/>
  <c r="AA423" i="14"/>
  <c r="X391" i="14"/>
  <c r="Y391" i="14"/>
  <c r="W391" i="14"/>
  <c r="AA391" i="14"/>
  <c r="V391" i="14"/>
  <c r="Z391" i="14"/>
  <c r="X375" i="14"/>
  <c r="Y375" i="14"/>
  <c r="W375" i="14"/>
  <c r="V375" i="14"/>
  <c r="Z375" i="14"/>
  <c r="AA375" i="14"/>
  <c r="X343" i="14"/>
  <c r="Y343" i="14"/>
  <c r="W343" i="14"/>
  <c r="V343" i="14"/>
  <c r="Z343" i="14"/>
  <c r="AA343" i="14"/>
  <c r="X319" i="14"/>
  <c r="Y319" i="14"/>
  <c r="V319" i="14"/>
  <c r="Z319" i="14"/>
  <c r="W319" i="14"/>
  <c r="AA319" i="14"/>
  <c r="X303" i="14"/>
  <c r="Y303" i="14"/>
  <c r="V303" i="14"/>
  <c r="AA303" i="14"/>
  <c r="W303" i="14"/>
  <c r="Z303" i="14"/>
  <c r="V271" i="14"/>
  <c r="Z271" i="14"/>
  <c r="AA271" i="14"/>
  <c r="W271" i="14"/>
  <c r="X271" i="14"/>
  <c r="Y271" i="14"/>
  <c r="V247" i="14"/>
  <c r="Z247" i="14"/>
  <c r="X247" i="14"/>
  <c r="Y247" i="14"/>
  <c r="W247" i="14"/>
  <c r="AA247" i="14"/>
  <c r="V223" i="14"/>
  <c r="Z223" i="14"/>
  <c r="Y223" i="14"/>
  <c r="AA223" i="14"/>
  <c r="W223" i="14"/>
  <c r="X223" i="14"/>
  <c r="V191" i="14"/>
  <c r="Z191" i="14"/>
  <c r="X191" i="14"/>
  <c r="AA191" i="14"/>
  <c r="Y191" i="14"/>
  <c r="W191" i="14"/>
  <c r="V167" i="14"/>
  <c r="W167" i="14"/>
  <c r="Z167" i="14"/>
  <c r="X167" i="14"/>
  <c r="Y167" i="14"/>
  <c r="AA167" i="14"/>
  <c r="AA151" i="14"/>
  <c r="W151" i="14"/>
  <c r="V151" i="14"/>
  <c r="Z151" i="14"/>
  <c r="X151" i="14"/>
  <c r="Y151" i="14"/>
  <c r="AA119" i="14"/>
  <c r="V119" i="14"/>
  <c r="W119" i="14"/>
  <c r="Y119" i="14"/>
  <c r="X119" i="14"/>
  <c r="Z119" i="14"/>
  <c r="AA103" i="14"/>
  <c r="V103" i="14"/>
  <c r="W103" i="14"/>
  <c r="Y103" i="14"/>
  <c r="Z103" i="14"/>
  <c r="X103" i="14"/>
  <c r="AA79" i="14"/>
  <c r="V79" i="14"/>
  <c r="W79" i="14"/>
  <c r="X79" i="14"/>
  <c r="Y79" i="14"/>
  <c r="Z79" i="14"/>
  <c r="AA63" i="14"/>
  <c r="V63" i="14"/>
  <c r="W63" i="14"/>
  <c r="X63" i="14"/>
  <c r="Y63" i="14"/>
  <c r="Z63" i="14"/>
  <c r="V510" i="14"/>
  <c r="AA510" i="14"/>
  <c r="W510" i="14"/>
  <c r="X510" i="14"/>
  <c r="Z510" i="14"/>
  <c r="Y510" i="14"/>
  <c r="V502" i="14"/>
  <c r="W502" i="14"/>
  <c r="X502" i="14"/>
  <c r="Z502" i="14"/>
  <c r="Y502" i="14"/>
  <c r="AA502" i="14"/>
  <c r="V494" i="14"/>
  <c r="W494" i="14"/>
  <c r="X494" i="14"/>
  <c r="Z494" i="14"/>
  <c r="Y494" i="14"/>
  <c r="AA494" i="14"/>
  <c r="V486" i="14"/>
  <c r="Y486" i="14"/>
  <c r="Z486" i="14"/>
  <c r="W486" i="14"/>
  <c r="X486" i="14"/>
  <c r="AA486" i="14"/>
  <c r="V478" i="14"/>
  <c r="AA478" i="14"/>
  <c r="Z478" i="14"/>
  <c r="W478" i="14"/>
  <c r="X478" i="14"/>
  <c r="Y478" i="14"/>
  <c r="V470" i="14"/>
  <c r="X470" i="14"/>
  <c r="AA470" i="14"/>
  <c r="W470" i="14"/>
  <c r="Z470" i="14"/>
  <c r="Y470" i="14"/>
  <c r="V462" i="14"/>
  <c r="W462" i="14"/>
  <c r="X462" i="14"/>
  <c r="AA462" i="14"/>
  <c r="Y462" i="14"/>
  <c r="Z462" i="14"/>
  <c r="V454" i="14"/>
  <c r="Y454" i="14"/>
  <c r="X454" i="14"/>
  <c r="Z454" i="14"/>
  <c r="AA454" i="14"/>
  <c r="W454" i="14"/>
  <c r="V446" i="14"/>
  <c r="AA446" i="14"/>
  <c r="Y446" i="14"/>
  <c r="X446" i="14"/>
  <c r="W446" i="14"/>
  <c r="Z446" i="14"/>
  <c r="V438" i="14"/>
  <c r="W438" i="14"/>
  <c r="Z438" i="14"/>
  <c r="AA438" i="14"/>
  <c r="X438" i="14"/>
  <c r="Y438" i="14"/>
  <c r="V430" i="14"/>
  <c r="W430" i="14"/>
  <c r="Y430" i="14"/>
  <c r="Z430" i="14"/>
  <c r="AA430" i="14"/>
  <c r="X430" i="14"/>
  <c r="V422" i="14"/>
  <c r="W422" i="14"/>
  <c r="Y422" i="14"/>
  <c r="Z422" i="14"/>
  <c r="AA422" i="14"/>
  <c r="X422" i="14"/>
  <c r="V414" i="14"/>
  <c r="W414" i="14"/>
  <c r="Y414" i="14"/>
  <c r="X414" i="14"/>
  <c r="Z414" i="14"/>
  <c r="AA414" i="14"/>
  <c r="V406" i="14"/>
  <c r="W406" i="14"/>
  <c r="X406" i="14"/>
  <c r="Y406" i="14"/>
  <c r="Z406" i="14"/>
  <c r="AA406" i="14"/>
  <c r="V398" i="14"/>
  <c r="W398" i="14"/>
  <c r="Y398" i="14"/>
  <c r="AA398" i="14"/>
  <c r="X398" i="14"/>
  <c r="Z398" i="14"/>
  <c r="V390" i="14"/>
  <c r="W390" i="14"/>
  <c r="X390" i="14"/>
  <c r="Z390" i="14"/>
  <c r="Y390" i="14"/>
  <c r="AA390" i="14"/>
  <c r="V382" i="14"/>
  <c r="W382" i="14"/>
  <c r="Y382" i="14"/>
  <c r="X382" i="14"/>
  <c r="Z382" i="14"/>
  <c r="AA382" i="14"/>
  <c r="V374" i="14"/>
  <c r="W374" i="14"/>
  <c r="X374" i="14"/>
  <c r="AA374" i="14"/>
  <c r="Y374" i="14"/>
  <c r="Z374" i="14"/>
  <c r="V366" i="14"/>
  <c r="W366" i="14"/>
  <c r="Y366" i="14"/>
  <c r="X366" i="14"/>
  <c r="AA366" i="14"/>
  <c r="Z366" i="14"/>
  <c r="V358" i="14"/>
  <c r="W358" i="14"/>
  <c r="X358" i="14"/>
  <c r="Z358" i="14"/>
  <c r="AA358" i="14"/>
  <c r="Y358" i="14"/>
  <c r="V350" i="14"/>
  <c r="W350" i="14"/>
  <c r="Y350" i="14"/>
  <c r="X350" i="14"/>
  <c r="Z350" i="14"/>
  <c r="AA350" i="14"/>
  <c r="V342" i="14"/>
  <c r="W342" i="14"/>
  <c r="X342" i="14"/>
  <c r="Y342" i="14"/>
  <c r="Z342" i="14"/>
  <c r="AA342" i="14"/>
  <c r="V334" i="14"/>
  <c r="W334" i="14"/>
  <c r="Y334" i="14"/>
  <c r="AA334" i="14"/>
  <c r="X334" i="14"/>
  <c r="Z334" i="14"/>
  <c r="V326" i="14"/>
  <c r="W326" i="14"/>
  <c r="X326" i="14"/>
  <c r="Z326" i="14"/>
  <c r="Y326" i="14"/>
  <c r="AA326" i="14"/>
  <c r="V318" i="14"/>
  <c r="W318" i="14"/>
  <c r="Y318" i="14"/>
  <c r="X318" i="14"/>
  <c r="Z318" i="14"/>
  <c r="AA318" i="14"/>
  <c r="V310" i="14"/>
  <c r="W310" i="14"/>
  <c r="X310" i="14"/>
  <c r="Y310" i="14"/>
  <c r="Z310" i="14"/>
  <c r="AA310" i="14"/>
  <c r="V302" i="14"/>
  <c r="W302" i="14"/>
  <c r="Y302" i="14"/>
  <c r="X302" i="14"/>
  <c r="AA302" i="14"/>
  <c r="Z302" i="14"/>
  <c r="V294" i="14"/>
  <c r="W294" i="14"/>
  <c r="X294" i="14"/>
  <c r="Z294" i="14"/>
  <c r="AA294" i="14"/>
  <c r="Y294" i="14"/>
  <c r="V286" i="14"/>
  <c r="W286" i="14"/>
  <c r="Y286" i="14"/>
  <c r="X286" i="14"/>
  <c r="Z286" i="14"/>
  <c r="AA286" i="14"/>
  <c r="V278" i="14"/>
  <c r="W278" i="14"/>
  <c r="X278" i="14"/>
  <c r="Y278" i="14"/>
  <c r="AA278" i="14"/>
  <c r="Z278" i="14"/>
  <c r="W270" i="14"/>
  <c r="X270" i="14"/>
  <c r="V270" i="14"/>
  <c r="Y270" i="14"/>
  <c r="AA270" i="14"/>
  <c r="Z270" i="14"/>
  <c r="Y262" i="14"/>
  <c r="Z262" i="14"/>
  <c r="V262" i="14"/>
  <c r="W262" i="14"/>
  <c r="AA262" i="14"/>
  <c r="X262" i="14"/>
  <c r="X254" i="14"/>
  <c r="Y254" i="14"/>
  <c r="Z254" i="14"/>
  <c r="W254" i="14"/>
  <c r="V254" i="14"/>
  <c r="AA254" i="14"/>
  <c r="X246" i="14"/>
  <c r="V246" i="14"/>
  <c r="W246" i="14"/>
  <c r="Y246" i="14"/>
  <c r="Z246" i="14"/>
  <c r="AA246" i="14"/>
  <c r="X238" i="14"/>
  <c r="Y238" i="14"/>
  <c r="Z238" i="14"/>
  <c r="AA238" i="14"/>
  <c r="W238" i="14"/>
  <c r="V238" i="14"/>
  <c r="X230" i="14"/>
  <c r="Z230" i="14"/>
  <c r="W230" i="14"/>
  <c r="Y230" i="14"/>
  <c r="AA230" i="14"/>
  <c r="V230" i="14"/>
  <c r="X222" i="14"/>
  <c r="Y222" i="14"/>
  <c r="Z222" i="14"/>
  <c r="V222" i="14"/>
  <c r="AA222" i="14"/>
  <c r="W222" i="14"/>
  <c r="X214" i="14"/>
  <c r="W214" i="14"/>
  <c r="AA214" i="14"/>
  <c r="Y214" i="14"/>
  <c r="Z214" i="14"/>
  <c r="V214" i="14"/>
  <c r="X206" i="14"/>
  <c r="Y206" i="14"/>
  <c r="Z206" i="14"/>
  <c r="AA206" i="14"/>
  <c r="W206" i="14"/>
  <c r="V206" i="14"/>
  <c r="X198" i="14"/>
  <c r="V198" i="14"/>
  <c r="W198" i="14"/>
  <c r="AA198" i="14"/>
  <c r="Z198" i="14"/>
  <c r="Y198" i="14"/>
  <c r="X190" i="14"/>
  <c r="Y190" i="14"/>
  <c r="Z190" i="14"/>
  <c r="AA190" i="14"/>
  <c r="W190" i="14"/>
  <c r="V190" i="14"/>
  <c r="X182" i="14"/>
  <c r="V182" i="14"/>
  <c r="W182" i="14"/>
  <c r="Y182" i="14"/>
  <c r="Z182" i="14"/>
  <c r="AA182" i="14"/>
  <c r="X174" i="14"/>
  <c r="V174" i="14"/>
  <c r="Y174" i="14"/>
  <c r="W174" i="14"/>
  <c r="AA174" i="14"/>
  <c r="Z174" i="14"/>
  <c r="X166" i="14"/>
  <c r="AA166" i="14"/>
  <c r="W166" i="14"/>
  <c r="V166" i="14"/>
  <c r="Y166" i="14"/>
  <c r="Z166" i="14"/>
  <c r="Y158" i="14"/>
  <c r="W158" i="14"/>
  <c r="X158" i="14"/>
  <c r="Z158" i="14"/>
  <c r="AA158" i="14"/>
  <c r="V158" i="14"/>
  <c r="Y150" i="14"/>
  <c r="W150" i="14"/>
  <c r="X150" i="14"/>
  <c r="V150" i="14"/>
  <c r="Z150" i="14"/>
  <c r="AA150" i="14"/>
  <c r="Y142" i="14"/>
  <c r="W142" i="14"/>
  <c r="V142" i="14"/>
  <c r="AA142" i="14"/>
  <c r="X142" i="14"/>
  <c r="Z142" i="14"/>
  <c r="Y134" i="14"/>
  <c r="W134" i="14"/>
  <c r="X134" i="14"/>
  <c r="V134" i="14"/>
  <c r="Z134" i="14"/>
  <c r="AA134" i="14"/>
  <c r="Y126" i="14"/>
  <c r="AA126" i="14"/>
  <c r="V126" i="14"/>
  <c r="Z126" i="14"/>
  <c r="W126" i="14"/>
  <c r="X126" i="14"/>
  <c r="Y118" i="14"/>
  <c r="X118" i="14"/>
  <c r="Z118" i="14"/>
  <c r="AA118" i="14"/>
  <c r="W118" i="14"/>
  <c r="V118" i="14"/>
  <c r="Y110" i="14"/>
  <c r="V110" i="14"/>
  <c r="W110" i="14"/>
  <c r="AA110" i="14"/>
  <c r="X110" i="14"/>
  <c r="Z110" i="14"/>
  <c r="Y102" i="14"/>
  <c r="X102" i="14"/>
  <c r="AA102" i="14"/>
  <c r="W102" i="14"/>
  <c r="V102" i="14"/>
  <c r="Z102" i="14"/>
  <c r="Y94" i="14"/>
  <c r="AA94" i="14"/>
  <c r="V94" i="14"/>
  <c r="W94" i="14"/>
  <c r="X94" i="14"/>
  <c r="Z94" i="14"/>
  <c r="Y86" i="14"/>
  <c r="X86" i="14"/>
  <c r="Z86" i="14"/>
  <c r="V86" i="14"/>
  <c r="W86" i="14"/>
  <c r="AA86" i="14"/>
  <c r="Y78" i="14"/>
  <c r="AA78" i="14"/>
  <c r="V78" i="14"/>
  <c r="Z78" i="14"/>
  <c r="W78" i="14"/>
  <c r="X78" i="14"/>
  <c r="Y70" i="14"/>
  <c r="AA70" i="14"/>
  <c r="V70" i="14"/>
  <c r="Z70" i="14"/>
  <c r="X70" i="14"/>
  <c r="W70" i="14"/>
  <c r="Y62" i="14"/>
  <c r="AA62" i="14"/>
  <c r="V62" i="14"/>
  <c r="Z62" i="14"/>
  <c r="W62" i="14"/>
  <c r="X62" i="14"/>
  <c r="Y54" i="14"/>
  <c r="AA54" i="14"/>
  <c r="V54" i="14"/>
  <c r="Z54" i="14"/>
  <c r="W54" i="14"/>
  <c r="X54" i="14"/>
  <c r="Y46" i="14"/>
  <c r="AA46" i="14"/>
  <c r="X46" i="14"/>
  <c r="V46" i="14"/>
  <c r="W46" i="14"/>
  <c r="Z46" i="14"/>
  <c r="Z504" i="14"/>
  <c r="AA504" i="14"/>
  <c r="V504" i="14"/>
  <c r="Y504" i="14"/>
  <c r="W504" i="14"/>
  <c r="X504" i="14"/>
  <c r="Z464" i="14"/>
  <c r="W464" i="14"/>
  <c r="Y464" i="14"/>
  <c r="V464" i="14"/>
  <c r="AA464" i="14"/>
  <c r="X464" i="14"/>
  <c r="Z440" i="14"/>
  <c r="AA440" i="14"/>
  <c r="X440" i="14"/>
  <c r="Y440" i="14"/>
  <c r="V440" i="14"/>
  <c r="W440" i="14"/>
  <c r="Z400" i="14"/>
  <c r="AA400" i="14"/>
  <c r="W400" i="14"/>
  <c r="V400" i="14"/>
  <c r="X400" i="14"/>
  <c r="Y400" i="14"/>
  <c r="Z360" i="14"/>
  <c r="AA360" i="14"/>
  <c r="V360" i="14"/>
  <c r="W360" i="14"/>
  <c r="X360" i="14"/>
  <c r="Y360" i="14"/>
  <c r="Z328" i="14"/>
  <c r="AA328" i="14"/>
  <c r="V328" i="14"/>
  <c r="W328" i="14"/>
  <c r="X328" i="14"/>
  <c r="Y328" i="14"/>
  <c r="Z296" i="14"/>
  <c r="AA296" i="14"/>
  <c r="V296" i="14"/>
  <c r="W296" i="14"/>
  <c r="X296" i="14"/>
  <c r="Y296" i="14"/>
  <c r="X272" i="14"/>
  <c r="V272" i="14"/>
  <c r="W272" i="14"/>
  <c r="Y272" i="14"/>
  <c r="Z272" i="14"/>
  <c r="AA272" i="14"/>
  <c r="X240" i="14"/>
  <c r="W240" i="14"/>
  <c r="Y240" i="14"/>
  <c r="V240" i="14"/>
  <c r="Z240" i="14"/>
  <c r="AA240" i="14"/>
  <c r="X216" i="14"/>
  <c r="Y216" i="14"/>
  <c r="W216" i="14"/>
  <c r="Z216" i="14"/>
  <c r="V216" i="14"/>
  <c r="AA216" i="14"/>
  <c r="X184" i="14"/>
  <c r="V184" i="14"/>
  <c r="Z184" i="14"/>
  <c r="AA184" i="14"/>
  <c r="W184" i="14"/>
  <c r="Y184" i="14"/>
  <c r="Y152" i="14"/>
  <c r="V152" i="14"/>
  <c r="W152" i="14"/>
  <c r="AA152" i="14"/>
  <c r="Z152" i="14"/>
  <c r="X152" i="14"/>
  <c r="X120" i="14"/>
  <c r="Y120" i="14"/>
  <c r="Z120" i="14"/>
  <c r="AA120" i="14"/>
  <c r="V120" i="14"/>
  <c r="W120" i="14"/>
  <c r="X96" i="14"/>
  <c r="Y96" i="14"/>
  <c r="V96" i="14"/>
  <c r="W96" i="14"/>
  <c r="Z96" i="14"/>
  <c r="AA96" i="14"/>
  <c r="W56" i="14"/>
  <c r="X56" i="14"/>
  <c r="Y56" i="14"/>
  <c r="V56" i="14"/>
  <c r="Z56" i="14"/>
  <c r="AA56" i="14"/>
  <c r="X511" i="14"/>
  <c r="V511" i="14"/>
  <c r="AA511" i="14"/>
  <c r="Y511" i="14"/>
  <c r="W511" i="14"/>
  <c r="Z511" i="14"/>
  <c r="X455" i="14"/>
  <c r="W455" i="14"/>
  <c r="V455" i="14"/>
  <c r="Y455" i="14"/>
  <c r="AA455" i="14"/>
  <c r="Z455" i="14"/>
  <c r="X367" i="14"/>
  <c r="Y367" i="14"/>
  <c r="V367" i="14"/>
  <c r="W367" i="14"/>
  <c r="Z367" i="14"/>
  <c r="AA367" i="14"/>
  <c r="V255" i="14"/>
  <c r="Z255" i="14"/>
  <c r="X255" i="14"/>
  <c r="Y255" i="14"/>
  <c r="AA255" i="14"/>
  <c r="W255" i="14"/>
  <c r="AA127" i="14"/>
  <c r="V127" i="14"/>
  <c r="W127" i="14"/>
  <c r="X127" i="14"/>
  <c r="Y127" i="14"/>
  <c r="Z127" i="14"/>
  <c r="AA95" i="14"/>
  <c r="V95" i="14"/>
  <c r="W95" i="14"/>
  <c r="X95" i="14"/>
  <c r="Z95" i="14"/>
  <c r="Y95" i="14"/>
  <c r="AA55" i="14"/>
  <c r="V55" i="14"/>
  <c r="W55" i="14"/>
  <c r="Z55" i="14"/>
  <c r="Y55" i="14"/>
  <c r="X55" i="14"/>
  <c r="Y493" i="14"/>
  <c r="Z493" i="14"/>
  <c r="AA493" i="14"/>
  <c r="W493" i="14"/>
  <c r="V493" i="14"/>
  <c r="X493" i="14"/>
  <c r="X477" i="14"/>
  <c r="Y477" i="14"/>
  <c r="W477" i="14"/>
  <c r="Z477" i="14"/>
  <c r="AA477" i="14"/>
  <c r="V477" i="14"/>
  <c r="W461" i="14"/>
  <c r="X461" i="14"/>
  <c r="AA461" i="14"/>
  <c r="Y461" i="14"/>
  <c r="Z461" i="14"/>
  <c r="V461" i="14"/>
  <c r="X445" i="14"/>
  <c r="Z445" i="14"/>
  <c r="AA445" i="14"/>
  <c r="V445" i="14"/>
  <c r="W445" i="14"/>
  <c r="Y445" i="14"/>
  <c r="V429" i="14"/>
  <c r="W429" i="14"/>
  <c r="Y429" i="14"/>
  <c r="X429" i="14"/>
  <c r="Z429" i="14"/>
  <c r="AA429" i="14"/>
  <c r="V413" i="14"/>
  <c r="X413" i="14"/>
  <c r="W413" i="14"/>
  <c r="Y413" i="14"/>
  <c r="Z413" i="14"/>
  <c r="AA413" i="14"/>
  <c r="Y389" i="14"/>
  <c r="X389" i="14"/>
  <c r="Z389" i="14"/>
  <c r="AA389" i="14"/>
  <c r="W389" i="14"/>
  <c r="V389" i="14"/>
  <c r="Y373" i="14"/>
  <c r="V373" i="14"/>
  <c r="W373" i="14"/>
  <c r="X373" i="14"/>
  <c r="AA373" i="14"/>
  <c r="Z373" i="14"/>
  <c r="Y357" i="14"/>
  <c r="V357" i="14"/>
  <c r="X357" i="14"/>
  <c r="W357" i="14"/>
  <c r="Z357" i="14"/>
  <c r="AA357" i="14"/>
  <c r="Y341" i="14"/>
  <c r="AA341" i="14"/>
  <c r="V341" i="14"/>
  <c r="W341" i="14"/>
  <c r="X341" i="14"/>
  <c r="Z341" i="14"/>
  <c r="X317" i="14"/>
  <c r="W317" i="14"/>
  <c r="AA317" i="14"/>
  <c r="V317" i="14"/>
  <c r="Y317" i="14"/>
  <c r="Z317" i="14"/>
  <c r="Y293" i="14"/>
  <c r="V293" i="14"/>
  <c r="X293" i="14"/>
  <c r="W293" i="14"/>
  <c r="Z293" i="14"/>
  <c r="AA293" i="14"/>
  <c r="Z277" i="14"/>
  <c r="AA277" i="14"/>
  <c r="W277" i="14"/>
  <c r="X277" i="14"/>
  <c r="Y277" i="14"/>
  <c r="V277" i="14"/>
  <c r="Z253" i="14"/>
  <c r="V253" i="14"/>
  <c r="W253" i="14"/>
  <c r="X253" i="14"/>
  <c r="Y253" i="14"/>
  <c r="AA253" i="14"/>
  <c r="Z229" i="14"/>
  <c r="V229" i="14"/>
  <c r="Y229" i="14"/>
  <c r="AA229" i="14"/>
  <c r="W229" i="14"/>
  <c r="X229" i="14"/>
  <c r="Z213" i="14"/>
  <c r="V213" i="14"/>
  <c r="Y213" i="14"/>
  <c r="AA213" i="14"/>
  <c r="W213" i="14"/>
  <c r="X213" i="14"/>
  <c r="Z189" i="14"/>
  <c r="V189" i="14"/>
  <c r="W189" i="14"/>
  <c r="Y189" i="14"/>
  <c r="X189" i="14"/>
  <c r="AA189" i="14"/>
  <c r="Z173" i="14"/>
  <c r="AA173" i="14"/>
  <c r="V173" i="14"/>
  <c r="X173" i="14"/>
  <c r="Y173" i="14"/>
  <c r="W173" i="14"/>
  <c r="W157" i="14"/>
  <c r="AA157" i="14"/>
  <c r="X157" i="14"/>
  <c r="Y157" i="14"/>
  <c r="Z157" i="14"/>
  <c r="V157" i="14"/>
  <c r="W141" i="14"/>
  <c r="AA141" i="14"/>
  <c r="X141" i="14"/>
  <c r="Y141" i="14"/>
  <c r="V141" i="14"/>
  <c r="Z141" i="14"/>
  <c r="W125" i="14"/>
  <c r="Z125" i="14"/>
  <c r="AA125" i="14"/>
  <c r="V125" i="14"/>
  <c r="Y125" i="14"/>
  <c r="X125" i="14"/>
  <c r="W109" i="14"/>
  <c r="Z109" i="14"/>
  <c r="AA109" i="14"/>
  <c r="Y109" i="14"/>
  <c r="X109" i="14"/>
  <c r="V109" i="14"/>
  <c r="W93" i="14"/>
  <c r="Z93" i="14"/>
  <c r="AA93" i="14"/>
  <c r="V93" i="14"/>
  <c r="X93" i="14"/>
  <c r="Y93" i="14"/>
  <c r="W77" i="14"/>
  <c r="Y77" i="14"/>
  <c r="Z77" i="14"/>
  <c r="AA77" i="14"/>
  <c r="X77" i="14"/>
  <c r="V77" i="14"/>
  <c r="W53" i="14"/>
  <c r="Y53" i="14"/>
  <c r="Z53" i="14"/>
  <c r="AA53" i="14"/>
  <c r="X53" i="14"/>
  <c r="V53" i="14"/>
  <c r="Z472" i="14"/>
  <c r="AA472" i="14"/>
  <c r="Y472" i="14"/>
  <c r="W472" i="14"/>
  <c r="V472" i="14"/>
  <c r="X472" i="14"/>
  <c r="Z416" i="14"/>
  <c r="AA416" i="14"/>
  <c r="W416" i="14"/>
  <c r="X416" i="14"/>
  <c r="Y416" i="14"/>
  <c r="V416" i="14"/>
  <c r="Z376" i="14"/>
  <c r="AA376" i="14"/>
  <c r="V376" i="14"/>
  <c r="X376" i="14"/>
  <c r="W376" i="14"/>
  <c r="Y376" i="14"/>
  <c r="Z336" i="14"/>
  <c r="AA336" i="14"/>
  <c r="W336" i="14"/>
  <c r="V336" i="14"/>
  <c r="X336" i="14"/>
  <c r="Y336" i="14"/>
  <c r="Z288" i="14"/>
  <c r="AA288" i="14"/>
  <c r="W288" i="14"/>
  <c r="V288" i="14"/>
  <c r="Y288" i="14"/>
  <c r="X288" i="14"/>
  <c r="X256" i="14"/>
  <c r="W256" i="14"/>
  <c r="Y256" i="14"/>
  <c r="AA256" i="14"/>
  <c r="V256" i="14"/>
  <c r="Z256" i="14"/>
  <c r="X208" i="14"/>
  <c r="W208" i="14"/>
  <c r="Y208" i="14"/>
  <c r="Z208" i="14"/>
  <c r="V208" i="14"/>
  <c r="AA208" i="14"/>
  <c r="X168" i="14"/>
  <c r="Y168" i="14"/>
  <c r="Z168" i="14"/>
  <c r="V168" i="14"/>
  <c r="W168" i="14"/>
  <c r="AA168" i="14"/>
  <c r="Y128" i="14"/>
  <c r="AA128" i="14"/>
  <c r="V128" i="14"/>
  <c r="X128" i="14"/>
  <c r="Z128" i="14"/>
  <c r="W128" i="14"/>
  <c r="X88" i="14"/>
  <c r="Y88" i="14"/>
  <c r="Z88" i="14"/>
  <c r="AA88" i="14"/>
  <c r="V88" i="14"/>
  <c r="W88" i="14"/>
  <c r="X487" i="14"/>
  <c r="Y487" i="14"/>
  <c r="Z487" i="14"/>
  <c r="AA487" i="14"/>
  <c r="V487" i="14"/>
  <c r="W487" i="14"/>
  <c r="X415" i="14"/>
  <c r="Y415" i="14"/>
  <c r="W415" i="14"/>
  <c r="V415" i="14"/>
  <c r="AA415" i="14"/>
  <c r="Z415" i="14"/>
  <c r="X351" i="14"/>
  <c r="Y351" i="14"/>
  <c r="V351" i="14"/>
  <c r="Z351" i="14"/>
  <c r="AA351" i="14"/>
  <c r="W351" i="14"/>
  <c r="X295" i="14"/>
  <c r="Y295" i="14"/>
  <c r="W295" i="14"/>
  <c r="V295" i="14"/>
  <c r="AA295" i="14"/>
  <c r="Z295" i="14"/>
  <c r="V231" i="14"/>
  <c r="Z231" i="14"/>
  <c r="X231" i="14"/>
  <c r="Y231" i="14"/>
  <c r="AA231" i="14"/>
  <c r="W231" i="14"/>
  <c r="V183" i="14"/>
  <c r="Z183" i="14"/>
  <c r="X183" i="14"/>
  <c r="Y183" i="14"/>
  <c r="AA183" i="14"/>
  <c r="W183" i="14"/>
  <c r="AA135" i="14"/>
  <c r="W135" i="14"/>
  <c r="V135" i="14"/>
  <c r="Y135" i="14"/>
  <c r="Z135" i="14"/>
  <c r="X135" i="14"/>
  <c r="AA87" i="14"/>
  <c r="V87" i="14"/>
  <c r="W87" i="14"/>
  <c r="Y87" i="14"/>
  <c r="X87" i="14"/>
  <c r="Z87" i="14"/>
  <c r="AA47" i="14"/>
  <c r="V47" i="14"/>
  <c r="W47" i="14"/>
  <c r="Z47" i="14"/>
  <c r="X47" i="14"/>
  <c r="Y47" i="14"/>
  <c r="X509" i="14"/>
  <c r="Y509" i="14"/>
  <c r="AA509" i="14"/>
  <c r="W509" i="14"/>
  <c r="V509" i="14"/>
  <c r="Z509" i="14"/>
  <c r="Z501" i="14"/>
  <c r="AA501" i="14"/>
  <c r="Y501" i="14"/>
  <c r="W501" i="14"/>
  <c r="V501" i="14"/>
  <c r="X501" i="14"/>
  <c r="V485" i="14"/>
  <c r="W485" i="14"/>
  <c r="Y485" i="14"/>
  <c r="Z485" i="14"/>
  <c r="AA485" i="14"/>
  <c r="X485" i="14"/>
  <c r="Z469" i="14"/>
  <c r="AA469" i="14"/>
  <c r="W469" i="14"/>
  <c r="X469" i="14"/>
  <c r="Y469" i="14"/>
  <c r="V469" i="14"/>
  <c r="V453" i="14"/>
  <c r="Y453" i="14"/>
  <c r="W453" i="14"/>
  <c r="X453" i="14"/>
  <c r="Z453" i="14"/>
  <c r="AA453" i="14"/>
  <c r="Y437" i="14"/>
  <c r="V437" i="14"/>
  <c r="W437" i="14"/>
  <c r="Z437" i="14"/>
  <c r="X437" i="14"/>
  <c r="AA437" i="14"/>
  <c r="Y421" i="14"/>
  <c r="V421" i="14"/>
  <c r="X421" i="14"/>
  <c r="W421" i="14"/>
  <c r="Z421" i="14"/>
  <c r="AA421" i="14"/>
  <c r="Y405" i="14"/>
  <c r="AA405" i="14"/>
  <c r="V405" i="14"/>
  <c r="W405" i="14"/>
  <c r="X405" i="14"/>
  <c r="Z405" i="14"/>
  <c r="X397" i="14"/>
  <c r="V397" i="14"/>
  <c r="W397" i="14"/>
  <c r="Z397" i="14"/>
  <c r="Y397" i="14"/>
  <c r="AA397" i="14"/>
  <c r="X381" i="14"/>
  <c r="W381" i="14"/>
  <c r="V381" i="14"/>
  <c r="Y381" i="14"/>
  <c r="Z381" i="14"/>
  <c r="AA381" i="14"/>
  <c r="X365" i="14"/>
  <c r="Z365" i="14"/>
  <c r="AA365" i="14"/>
  <c r="Y365" i="14"/>
  <c r="V365" i="14"/>
  <c r="W365" i="14"/>
  <c r="X349" i="14"/>
  <c r="W349" i="14"/>
  <c r="Y349" i="14"/>
  <c r="Z349" i="14"/>
  <c r="AA349" i="14"/>
  <c r="V349" i="14"/>
  <c r="X333" i="14"/>
  <c r="V333" i="14"/>
  <c r="W333" i="14"/>
  <c r="Z333" i="14"/>
  <c r="Y333" i="14"/>
  <c r="AA333" i="14"/>
  <c r="Y325" i="14"/>
  <c r="X325" i="14"/>
  <c r="Z325" i="14"/>
  <c r="AA325" i="14"/>
  <c r="V325" i="14"/>
  <c r="W325" i="14"/>
  <c r="Y309" i="14"/>
  <c r="V309" i="14"/>
  <c r="W309" i="14"/>
  <c r="X309" i="14"/>
  <c r="AA309" i="14"/>
  <c r="Z309" i="14"/>
  <c r="X301" i="14"/>
  <c r="Z301" i="14"/>
  <c r="AA301" i="14"/>
  <c r="V301" i="14"/>
  <c r="W301" i="14"/>
  <c r="Y301" i="14"/>
  <c r="X285" i="14"/>
  <c r="V285" i="14"/>
  <c r="W285" i="14"/>
  <c r="Y285" i="14"/>
  <c r="Z285" i="14"/>
  <c r="AA285" i="14"/>
  <c r="Z269" i="14"/>
  <c r="W269" i="14"/>
  <c r="AA269" i="14"/>
  <c r="X269" i="14"/>
  <c r="Y269" i="14"/>
  <c r="V269" i="14"/>
  <c r="Z261" i="14"/>
  <c r="V261" i="14"/>
  <c r="W261" i="14"/>
  <c r="AA261" i="14"/>
  <c r="X261" i="14"/>
  <c r="Y261" i="14"/>
  <c r="Z245" i="14"/>
  <c r="V245" i="14"/>
  <c r="Y245" i="14"/>
  <c r="AA245" i="14"/>
  <c r="X245" i="14"/>
  <c r="W245" i="14"/>
  <c r="Z237" i="14"/>
  <c r="V237" i="14"/>
  <c r="AA237" i="14"/>
  <c r="W237" i="14"/>
  <c r="X237" i="14"/>
  <c r="Y237" i="14"/>
  <c r="Z221" i="14"/>
  <c r="V221" i="14"/>
  <c r="X221" i="14"/>
  <c r="W221" i="14"/>
  <c r="Y221" i="14"/>
  <c r="AA221" i="14"/>
  <c r="Z205" i="14"/>
  <c r="V205" i="14"/>
  <c r="W205" i="14"/>
  <c r="X205" i="14"/>
  <c r="Y205" i="14"/>
  <c r="AA205" i="14"/>
  <c r="Z197" i="14"/>
  <c r="V197" i="14"/>
  <c r="Y197" i="14"/>
  <c r="AA197" i="14"/>
  <c r="W197" i="14"/>
  <c r="X197" i="14"/>
  <c r="Z181" i="14"/>
  <c r="V181" i="14"/>
  <c r="Y181" i="14"/>
  <c r="AA181" i="14"/>
  <c r="W181" i="14"/>
  <c r="X181" i="14"/>
  <c r="Z165" i="14"/>
  <c r="AA165" i="14"/>
  <c r="V165" i="14"/>
  <c r="W165" i="14"/>
  <c r="X165" i="14"/>
  <c r="Y165" i="14"/>
  <c r="W149" i="14"/>
  <c r="AA149" i="14"/>
  <c r="X149" i="14"/>
  <c r="Z149" i="14"/>
  <c r="V149" i="14"/>
  <c r="Y149" i="14"/>
  <c r="W133" i="14"/>
  <c r="AA133" i="14"/>
  <c r="X133" i="14"/>
  <c r="V133" i="14"/>
  <c r="Y133" i="14"/>
  <c r="Z133" i="14"/>
  <c r="W117" i="14"/>
  <c r="Z117" i="14"/>
  <c r="AA117" i="14"/>
  <c r="X117" i="14"/>
  <c r="V117" i="14"/>
  <c r="Y117" i="14"/>
  <c r="W101" i="14"/>
  <c r="Z101" i="14"/>
  <c r="AA101" i="14"/>
  <c r="X101" i="14"/>
  <c r="Y101" i="14"/>
  <c r="V101" i="14"/>
  <c r="W85" i="14"/>
  <c r="Z85" i="14"/>
  <c r="AA85" i="14"/>
  <c r="X85" i="14"/>
  <c r="Y85" i="14"/>
  <c r="V85" i="14"/>
  <c r="W69" i="14"/>
  <c r="Y69" i="14"/>
  <c r="Z69" i="14"/>
  <c r="AA69" i="14"/>
  <c r="X69" i="14"/>
  <c r="V69" i="14"/>
  <c r="W61" i="14"/>
  <c r="Y61" i="14"/>
  <c r="Z61" i="14"/>
  <c r="AA61" i="14"/>
  <c r="X61" i="14"/>
  <c r="V61" i="14"/>
  <c r="W45" i="14"/>
  <c r="Y45" i="14"/>
  <c r="Z45" i="14"/>
  <c r="AA45" i="14"/>
  <c r="V45" i="14"/>
  <c r="X45" i="14"/>
  <c r="Z508" i="14"/>
  <c r="V508" i="14"/>
  <c r="W508" i="14"/>
  <c r="X508" i="14"/>
  <c r="Y508" i="14"/>
  <c r="AA508" i="14"/>
  <c r="Z500" i="14"/>
  <c r="W500" i="14"/>
  <c r="X500" i="14"/>
  <c r="V500" i="14"/>
  <c r="Y500" i="14"/>
  <c r="AA500" i="14"/>
  <c r="Z492" i="14"/>
  <c r="Y492" i="14"/>
  <c r="AA492" i="14"/>
  <c r="V492" i="14"/>
  <c r="W492" i="14"/>
  <c r="X492" i="14"/>
  <c r="Z484" i="14"/>
  <c r="AA484" i="14"/>
  <c r="X484" i="14"/>
  <c r="V484" i="14"/>
  <c r="W484" i="14"/>
  <c r="Y484" i="14"/>
  <c r="Z476" i="14"/>
  <c r="V476" i="14"/>
  <c r="X476" i="14"/>
  <c r="W476" i="14"/>
  <c r="Y476" i="14"/>
  <c r="AA476" i="14"/>
  <c r="Z468" i="14"/>
  <c r="W468" i="14"/>
  <c r="X468" i="14"/>
  <c r="V468" i="14"/>
  <c r="Y468" i="14"/>
  <c r="AA468" i="14"/>
  <c r="Z460" i="14"/>
  <c r="Y460" i="14"/>
  <c r="AA460" i="14"/>
  <c r="V460" i="14"/>
  <c r="W460" i="14"/>
  <c r="X460" i="14"/>
  <c r="Z452" i="14"/>
  <c r="Y452" i="14"/>
  <c r="AA452" i="14"/>
  <c r="V452" i="14"/>
  <c r="W452" i="14"/>
  <c r="X452" i="14"/>
  <c r="Z444" i="14"/>
  <c r="V444" i="14"/>
  <c r="W444" i="14"/>
  <c r="AA444" i="14"/>
  <c r="X444" i="14"/>
  <c r="Y444" i="14"/>
  <c r="Z436" i="14"/>
  <c r="AA436" i="14"/>
  <c r="Y436" i="14"/>
  <c r="X436" i="14"/>
  <c r="V436" i="14"/>
  <c r="W436" i="14"/>
  <c r="Z428" i="14"/>
  <c r="AA428" i="14"/>
  <c r="Y428" i="14"/>
  <c r="X428" i="14"/>
  <c r="W428" i="14"/>
  <c r="V428" i="14"/>
  <c r="Z420" i="14"/>
  <c r="AA420" i="14"/>
  <c r="X420" i="14"/>
  <c r="Y420" i="14"/>
  <c r="V420" i="14"/>
  <c r="W420" i="14"/>
  <c r="Z412" i="14"/>
  <c r="AA412" i="14"/>
  <c r="Y412" i="14"/>
  <c r="W412" i="14"/>
  <c r="X412" i="14"/>
  <c r="V412" i="14"/>
  <c r="Z404" i="14"/>
  <c r="AA404" i="14"/>
  <c r="X404" i="14"/>
  <c r="V404" i="14"/>
  <c r="W404" i="14"/>
  <c r="Y404" i="14"/>
  <c r="Z396" i="14"/>
  <c r="AA396" i="14"/>
  <c r="Y396" i="14"/>
  <c r="X396" i="14"/>
  <c r="V396" i="14"/>
  <c r="W396" i="14"/>
  <c r="Z388" i="14"/>
  <c r="AA388" i="14"/>
  <c r="X388" i="14"/>
  <c r="W388" i="14"/>
  <c r="V388" i="14"/>
  <c r="Y388" i="14"/>
  <c r="Z380" i="14"/>
  <c r="AA380" i="14"/>
  <c r="Y380" i="14"/>
  <c r="V380" i="14"/>
  <c r="W380" i="14"/>
  <c r="X380" i="14"/>
  <c r="Z372" i="14"/>
  <c r="AA372" i="14"/>
  <c r="X372" i="14"/>
  <c r="V372" i="14"/>
  <c r="W372" i="14"/>
  <c r="Y372" i="14"/>
  <c r="Z364" i="14"/>
  <c r="AA364" i="14"/>
  <c r="Y364" i="14"/>
  <c r="V364" i="14"/>
  <c r="X364" i="14"/>
  <c r="W364" i="14"/>
  <c r="Z356" i="14"/>
  <c r="AA356" i="14"/>
  <c r="X356" i="14"/>
  <c r="W356" i="14"/>
  <c r="Y356" i="14"/>
  <c r="V356" i="14"/>
  <c r="Z348" i="14"/>
  <c r="AA348" i="14"/>
  <c r="Y348" i="14"/>
  <c r="V348" i="14"/>
  <c r="W348" i="14"/>
  <c r="X348" i="14"/>
  <c r="Z340" i="14"/>
  <c r="AA340" i="14"/>
  <c r="X340" i="14"/>
  <c r="V340" i="14"/>
  <c r="W340" i="14"/>
  <c r="Y340" i="14"/>
  <c r="Z332" i="14"/>
  <c r="AA332" i="14"/>
  <c r="Y332" i="14"/>
  <c r="X332" i="14"/>
  <c r="W332" i="14"/>
  <c r="V332" i="14"/>
  <c r="Z324" i="14"/>
  <c r="AA324" i="14"/>
  <c r="X324" i="14"/>
  <c r="W324" i="14"/>
  <c r="V324" i="14"/>
  <c r="Y324" i="14"/>
  <c r="Z316" i="14"/>
  <c r="AA316" i="14"/>
  <c r="Y316" i="14"/>
  <c r="V316" i="14"/>
  <c r="W316" i="14"/>
  <c r="X316" i="14"/>
  <c r="Z308" i="14"/>
  <c r="AA308" i="14"/>
  <c r="X308" i="14"/>
  <c r="Y308" i="14"/>
  <c r="V308" i="14"/>
  <c r="W308" i="14"/>
  <c r="Z300" i="14"/>
  <c r="AA300" i="14"/>
  <c r="Y300" i="14"/>
  <c r="V300" i="14"/>
  <c r="X300" i="14"/>
  <c r="W300" i="14"/>
  <c r="Z292" i="14"/>
  <c r="AA292" i="14"/>
  <c r="X292" i="14"/>
  <c r="V292" i="14"/>
  <c r="W292" i="14"/>
  <c r="Y292" i="14"/>
  <c r="Z284" i="14"/>
  <c r="AA284" i="14"/>
  <c r="Y284" i="14"/>
  <c r="V284" i="14"/>
  <c r="W284" i="14"/>
  <c r="X284" i="14"/>
  <c r="X276" i="14"/>
  <c r="W276" i="14"/>
  <c r="Y276" i="14"/>
  <c r="Z276" i="14"/>
  <c r="AA276" i="14"/>
  <c r="V276" i="14"/>
  <c r="X268" i="14"/>
  <c r="Z268" i="14"/>
  <c r="AA268" i="14"/>
  <c r="W268" i="14"/>
  <c r="Y268" i="14"/>
  <c r="V268" i="14"/>
  <c r="X260" i="14"/>
  <c r="AA260" i="14"/>
  <c r="W260" i="14"/>
  <c r="V260" i="14"/>
  <c r="Y260" i="14"/>
  <c r="Z260" i="14"/>
  <c r="X252" i="14"/>
  <c r="Z252" i="14"/>
  <c r="AA252" i="14"/>
  <c r="V252" i="14"/>
  <c r="W252" i="14"/>
  <c r="Y252" i="14"/>
  <c r="X244" i="14"/>
  <c r="V244" i="14"/>
  <c r="AA244" i="14"/>
  <c r="W244" i="14"/>
  <c r="Z244" i="14"/>
  <c r="Y244" i="14"/>
  <c r="X236" i="14"/>
  <c r="Z236" i="14"/>
  <c r="AA236" i="14"/>
  <c r="W236" i="14"/>
  <c r="Y236" i="14"/>
  <c r="V236" i="14"/>
  <c r="X228" i="14"/>
  <c r="V228" i="14"/>
  <c r="Y228" i="14"/>
  <c r="W228" i="14"/>
  <c r="AA228" i="14"/>
  <c r="Z228" i="14"/>
  <c r="X220" i="14"/>
  <c r="Z220" i="14"/>
  <c r="AA220" i="14"/>
  <c r="Y220" i="14"/>
  <c r="W220" i="14"/>
  <c r="V220" i="14"/>
  <c r="X212" i="14"/>
  <c r="V212" i="14"/>
  <c r="Z212" i="14"/>
  <c r="W212" i="14"/>
  <c r="Y212" i="14"/>
  <c r="AA212" i="14"/>
  <c r="X204" i="14"/>
  <c r="Z204" i="14"/>
  <c r="AA204" i="14"/>
  <c r="Y204" i="14"/>
  <c r="V204" i="14"/>
  <c r="W204" i="14"/>
  <c r="X196" i="14"/>
  <c r="V196" i="14"/>
  <c r="W196" i="14"/>
  <c r="Y196" i="14"/>
  <c r="Z196" i="14"/>
  <c r="AA196" i="14"/>
  <c r="X188" i="14"/>
  <c r="Z188" i="14"/>
  <c r="AA188" i="14"/>
  <c r="Y188" i="14"/>
  <c r="V188" i="14"/>
  <c r="W188" i="14"/>
  <c r="X180" i="14"/>
  <c r="V180" i="14"/>
  <c r="W180" i="14"/>
  <c r="AA180" i="14"/>
  <c r="Z180" i="14"/>
  <c r="Y180" i="14"/>
  <c r="X172" i="14"/>
  <c r="Y172" i="14"/>
  <c r="W172" i="14"/>
  <c r="Z172" i="14"/>
  <c r="AA172" i="14"/>
  <c r="V172" i="14"/>
  <c r="X164" i="14"/>
  <c r="Y164" i="14"/>
  <c r="AA164" i="14"/>
  <c r="V164" i="14"/>
  <c r="W164" i="14"/>
  <c r="Z164" i="14"/>
  <c r="Y156" i="14"/>
  <c r="X156" i="14"/>
  <c r="V156" i="14"/>
  <c r="W156" i="14"/>
  <c r="AA156" i="14"/>
  <c r="Z156" i="14"/>
  <c r="Y148" i="14"/>
  <c r="X148" i="14"/>
  <c r="Z148" i="14"/>
  <c r="V148" i="14"/>
  <c r="W148" i="14"/>
  <c r="AA148" i="14"/>
  <c r="Y140" i="14"/>
  <c r="X140" i="14"/>
  <c r="W140" i="14"/>
  <c r="Z140" i="14"/>
  <c r="AA140" i="14"/>
  <c r="V140" i="14"/>
  <c r="Y132" i="14"/>
  <c r="X132" i="14"/>
  <c r="Z132" i="14"/>
  <c r="AA132" i="14"/>
  <c r="V132" i="14"/>
  <c r="W132" i="14"/>
  <c r="X124" i="14"/>
  <c r="Y124" i="14"/>
  <c r="AA124" i="14"/>
  <c r="V124" i="14"/>
  <c r="W124" i="14"/>
  <c r="Z124" i="14"/>
  <c r="X116" i="14"/>
  <c r="Y116" i="14"/>
  <c r="W116" i="14"/>
  <c r="Z116" i="14"/>
  <c r="AA116" i="14"/>
  <c r="V116" i="14"/>
  <c r="X108" i="14"/>
  <c r="Y108" i="14"/>
  <c r="V108" i="14"/>
  <c r="AA108" i="14"/>
  <c r="W108" i="14"/>
  <c r="Z108" i="14"/>
  <c r="X100" i="14"/>
  <c r="Y100" i="14"/>
  <c r="W100" i="14"/>
  <c r="V100" i="14"/>
  <c r="Z100" i="14"/>
  <c r="AA100" i="14"/>
  <c r="X92" i="14"/>
  <c r="Y92" i="14"/>
  <c r="AA92" i="14"/>
  <c r="Z92" i="14"/>
  <c r="V92" i="14"/>
  <c r="W92" i="14"/>
  <c r="X84" i="14"/>
  <c r="Y84" i="14"/>
  <c r="W84" i="14"/>
  <c r="Z84" i="14"/>
  <c r="AA84" i="14"/>
  <c r="V84" i="14"/>
  <c r="W76" i="14"/>
  <c r="X76" i="14"/>
  <c r="Y76" i="14"/>
  <c r="V76" i="14"/>
  <c r="AA76" i="14"/>
  <c r="Z76" i="14"/>
  <c r="W68" i="14"/>
  <c r="X68" i="14"/>
  <c r="Y68" i="14"/>
  <c r="V68" i="14"/>
  <c r="Z68" i="14"/>
  <c r="AA68" i="14"/>
  <c r="W60" i="14"/>
  <c r="X60" i="14"/>
  <c r="Y60" i="14"/>
  <c r="V60" i="14"/>
  <c r="Z60" i="14"/>
  <c r="AA60" i="14"/>
  <c r="W52" i="14"/>
  <c r="X52" i="14"/>
  <c r="Y52" i="14"/>
  <c r="V52" i="14"/>
  <c r="AA52" i="14"/>
  <c r="Z52" i="14"/>
  <c r="Z480" i="14"/>
  <c r="X480" i="14"/>
  <c r="Y480" i="14"/>
  <c r="W480" i="14"/>
  <c r="V480" i="14"/>
  <c r="AA480" i="14"/>
  <c r="Z384" i="14"/>
  <c r="AA384" i="14"/>
  <c r="W384" i="14"/>
  <c r="Y384" i="14"/>
  <c r="V384" i="14"/>
  <c r="X384" i="14"/>
  <c r="Z304" i="14"/>
  <c r="AA304" i="14"/>
  <c r="W304" i="14"/>
  <c r="V304" i="14"/>
  <c r="X304" i="14"/>
  <c r="Y304" i="14"/>
  <c r="X224" i="14"/>
  <c r="W224" i="14"/>
  <c r="Y224" i="14"/>
  <c r="Z224" i="14"/>
  <c r="V224" i="14"/>
  <c r="AA224" i="14"/>
  <c r="Y136" i="14"/>
  <c r="V136" i="14"/>
  <c r="W136" i="14"/>
  <c r="AA136" i="14"/>
  <c r="X136" i="14"/>
  <c r="Z136" i="14"/>
  <c r="W48" i="14"/>
  <c r="X48" i="14"/>
  <c r="Y48" i="14"/>
  <c r="AA48" i="14"/>
  <c r="Z48" i="14"/>
  <c r="V48" i="14"/>
  <c r="X463" i="14"/>
  <c r="Z463" i="14"/>
  <c r="AA463" i="14"/>
  <c r="V463" i="14"/>
  <c r="W463" i="14"/>
  <c r="Y463" i="14"/>
  <c r="X399" i="14"/>
  <c r="Y399" i="14"/>
  <c r="V399" i="14"/>
  <c r="W399" i="14"/>
  <c r="Z399" i="14"/>
  <c r="AA399" i="14"/>
  <c r="X327" i="14"/>
  <c r="Y327" i="14"/>
  <c r="W327" i="14"/>
  <c r="AA327" i="14"/>
  <c r="Z327" i="14"/>
  <c r="V327" i="14"/>
  <c r="V279" i="14"/>
  <c r="X279" i="14"/>
  <c r="Y279" i="14"/>
  <c r="W279" i="14"/>
  <c r="AA279" i="14"/>
  <c r="Z279" i="14"/>
  <c r="V207" i="14"/>
  <c r="Z207" i="14"/>
  <c r="Y207" i="14"/>
  <c r="AA207" i="14"/>
  <c r="X207" i="14"/>
  <c r="W207" i="14"/>
  <c r="AA143" i="14"/>
  <c r="W143" i="14"/>
  <c r="V143" i="14"/>
  <c r="X143" i="14"/>
  <c r="Z143" i="14"/>
  <c r="Y143" i="14"/>
  <c r="X499" i="14"/>
  <c r="Z499" i="14"/>
  <c r="AA499" i="14"/>
  <c r="V499" i="14"/>
  <c r="W499" i="14"/>
  <c r="Y499" i="14"/>
  <c r="X475" i="14"/>
  <c r="AA475" i="14"/>
  <c r="W475" i="14"/>
  <c r="Y475" i="14"/>
  <c r="Z475" i="14"/>
  <c r="V475" i="14"/>
  <c r="X451" i="14"/>
  <c r="Y451" i="14"/>
  <c r="V451" i="14"/>
  <c r="AA451" i="14"/>
  <c r="W451" i="14"/>
  <c r="Z451" i="14"/>
  <c r="X411" i="14"/>
  <c r="Y411" i="14"/>
  <c r="W411" i="14"/>
  <c r="V411" i="14"/>
  <c r="Z411" i="14"/>
  <c r="AA411" i="14"/>
  <c r="X323" i="14"/>
  <c r="Y323" i="14"/>
  <c r="AA323" i="14"/>
  <c r="V323" i="14"/>
  <c r="W323" i="14"/>
  <c r="Z323" i="14"/>
  <c r="AA75" i="14"/>
  <c r="V75" i="14"/>
  <c r="W75" i="14"/>
  <c r="X75" i="14"/>
  <c r="Y75" i="14"/>
  <c r="Z75" i="14"/>
  <c r="Z496" i="14"/>
  <c r="V496" i="14"/>
  <c r="W496" i="14"/>
  <c r="Y496" i="14"/>
  <c r="X496" i="14"/>
  <c r="AA496" i="14"/>
  <c r="Z448" i="14"/>
  <c r="X448" i="14"/>
  <c r="W448" i="14"/>
  <c r="AA448" i="14"/>
  <c r="V448" i="14"/>
  <c r="Y448" i="14"/>
  <c r="Z424" i="14"/>
  <c r="AA424" i="14"/>
  <c r="X424" i="14"/>
  <c r="Y424" i="14"/>
  <c r="W424" i="14"/>
  <c r="V424" i="14"/>
  <c r="Z392" i="14"/>
  <c r="AA392" i="14"/>
  <c r="V392" i="14"/>
  <c r="W392" i="14"/>
  <c r="X392" i="14"/>
  <c r="Y392" i="14"/>
  <c r="Z352" i="14"/>
  <c r="AA352" i="14"/>
  <c r="W352" i="14"/>
  <c r="V352" i="14"/>
  <c r="Y352" i="14"/>
  <c r="X352" i="14"/>
  <c r="Z320" i="14"/>
  <c r="AA320" i="14"/>
  <c r="W320" i="14"/>
  <c r="Y320" i="14"/>
  <c r="V320" i="14"/>
  <c r="X320" i="14"/>
  <c r="Z280" i="14"/>
  <c r="AA280" i="14"/>
  <c r="V280" i="14"/>
  <c r="W280" i="14"/>
  <c r="X280" i="14"/>
  <c r="Y280" i="14"/>
  <c r="X264" i="14"/>
  <c r="V264" i="14"/>
  <c r="W264" i="14"/>
  <c r="Y264" i="14"/>
  <c r="Z264" i="14"/>
  <c r="AA264" i="14"/>
  <c r="X232" i="14"/>
  <c r="AA232" i="14"/>
  <c r="W232" i="14"/>
  <c r="V232" i="14"/>
  <c r="Y232" i="14"/>
  <c r="Z232" i="14"/>
  <c r="X200" i="14"/>
  <c r="Z200" i="14"/>
  <c r="W200" i="14"/>
  <c r="Y200" i="14"/>
  <c r="AA200" i="14"/>
  <c r="V200" i="14"/>
  <c r="X176" i="14"/>
  <c r="Y176" i="14"/>
  <c r="V176" i="14"/>
  <c r="AA176" i="14"/>
  <c r="Z176" i="14"/>
  <c r="W176" i="14"/>
  <c r="Y144" i="14"/>
  <c r="AA144" i="14"/>
  <c r="V144" i="14"/>
  <c r="W144" i="14"/>
  <c r="X144" i="14"/>
  <c r="Z144" i="14"/>
  <c r="X112" i="14"/>
  <c r="Y112" i="14"/>
  <c r="V112" i="14"/>
  <c r="W112" i="14"/>
  <c r="AA112" i="14"/>
  <c r="Z112" i="14"/>
  <c r="X80" i="14"/>
  <c r="Y80" i="14"/>
  <c r="V80" i="14"/>
  <c r="W80" i="14"/>
  <c r="AA80" i="14"/>
  <c r="Z80" i="14"/>
  <c r="V498" i="14"/>
  <c r="Z498" i="14"/>
  <c r="AA498" i="14"/>
  <c r="Y498" i="14"/>
  <c r="W498" i="14"/>
  <c r="X498" i="14"/>
  <c r="V482" i="14"/>
  <c r="W482" i="14"/>
  <c r="Y482" i="14"/>
  <c r="X482" i="14"/>
  <c r="AA482" i="14"/>
  <c r="Z482" i="14"/>
  <c r="V466" i="14"/>
  <c r="Z466" i="14"/>
  <c r="AA466" i="14"/>
  <c r="W466" i="14"/>
  <c r="X466" i="14"/>
  <c r="Y466" i="14"/>
  <c r="V442" i="14"/>
  <c r="X442" i="14"/>
  <c r="W442" i="14"/>
  <c r="Y442" i="14"/>
  <c r="Z442" i="14"/>
  <c r="AA442" i="14"/>
  <c r="V426" i="14"/>
  <c r="W426" i="14"/>
  <c r="AA426" i="14"/>
  <c r="Y426" i="14"/>
  <c r="Z426" i="14"/>
  <c r="X426" i="14"/>
  <c r="V410" i="14"/>
  <c r="W410" i="14"/>
  <c r="AA410" i="14"/>
  <c r="X410" i="14"/>
  <c r="Y410" i="14"/>
  <c r="Z410" i="14"/>
  <c r="V386" i="14"/>
  <c r="W386" i="14"/>
  <c r="Z386" i="14"/>
  <c r="X386" i="14"/>
  <c r="Y386" i="14"/>
  <c r="AA386" i="14"/>
  <c r="V362" i="14"/>
  <c r="W362" i="14"/>
  <c r="AA362" i="14"/>
  <c r="X362" i="14"/>
  <c r="Y362" i="14"/>
  <c r="Z362" i="14"/>
  <c r="V346" i="14"/>
  <c r="W346" i="14"/>
  <c r="AA346" i="14"/>
  <c r="Z346" i="14"/>
  <c r="Y346" i="14"/>
  <c r="X346" i="14"/>
  <c r="V322" i="14"/>
  <c r="W322" i="14"/>
  <c r="Z322" i="14"/>
  <c r="X322" i="14"/>
  <c r="Y322" i="14"/>
  <c r="AA322" i="14"/>
  <c r="V298" i="14"/>
  <c r="W298" i="14"/>
  <c r="AA298" i="14"/>
  <c r="X298" i="14"/>
  <c r="Y298" i="14"/>
  <c r="Z298" i="14"/>
  <c r="V282" i="14"/>
  <c r="W282" i="14"/>
  <c r="AA282" i="14"/>
  <c r="Y282" i="14"/>
  <c r="Z282" i="14"/>
  <c r="X282" i="14"/>
  <c r="AA266" i="14"/>
  <c r="V266" i="14"/>
  <c r="Y266" i="14"/>
  <c r="Z266" i="14"/>
  <c r="W266" i="14"/>
  <c r="X266" i="14"/>
  <c r="X242" i="14"/>
  <c r="V242" i="14"/>
  <c r="W242" i="14"/>
  <c r="Z242" i="14"/>
  <c r="AA242" i="14"/>
  <c r="Y242" i="14"/>
  <c r="X226" i="14"/>
  <c r="V226" i="14"/>
  <c r="W226" i="14"/>
  <c r="AA226" i="14"/>
  <c r="Y226" i="14"/>
  <c r="Z226" i="14"/>
  <c r="X210" i="14"/>
  <c r="V210" i="14"/>
  <c r="W210" i="14"/>
  <c r="Y210" i="14"/>
  <c r="AA210" i="14"/>
  <c r="Z210" i="14"/>
  <c r="X194" i="14"/>
  <c r="V194" i="14"/>
  <c r="W194" i="14"/>
  <c r="Y194" i="14"/>
  <c r="AA194" i="14"/>
  <c r="Z194" i="14"/>
  <c r="X178" i="14"/>
  <c r="V178" i="14"/>
  <c r="W178" i="14"/>
  <c r="AA178" i="14"/>
  <c r="Y178" i="14"/>
  <c r="Z178" i="14"/>
  <c r="Y154" i="14"/>
  <c r="V154" i="14"/>
  <c r="Z154" i="14"/>
  <c r="W154" i="14"/>
  <c r="X154" i="14"/>
  <c r="AA154" i="14"/>
  <c r="Y138" i="14"/>
  <c r="V138" i="14"/>
  <c r="Z138" i="14"/>
  <c r="X138" i="14"/>
  <c r="AA138" i="14"/>
  <c r="W138" i="14"/>
  <c r="Y122" i="14"/>
  <c r="Z122" i="14"/>
  <c r="AA122" i="14"/>
  <c r="V122" i="14"/>
  <c r="W122" i="14"/>
  <c r="X122" i="14"/>
  <c r="Y106" i="14"/>
  <c r="V106" i="14"/>
  <c r="Z106" i="14"/>
  <c r="X106" i="14"/>
  <c r="AA106" i="14"/>
  <c r="W106" i="14"/>
  <c r="Y90" i="14"/>
  <c r="Z90" i="14"/>
  <c r="AA90" i="14"/>
  <c r="V90" i="14"/>
  <c r="W90" i="14"/>
  <c r="X90" i="14"/>
  <c r="Y74" i="14"/>
  <c r="AA74" i="14"/>
  <c r="Z74" i="14"/>
  <c r="X74" i="14"/>
  <c r="V74" i="14"/>
  <c r="W74" i="14"/>
  <c r="Y58" i="14"/>
  <c r="AA58" i="14"/>
  <c r="Z58" i="14"/>
  <c r="V58" i="14"/>
  <c r="W58" i="14"/>
  <c r="X58" i="14"/>
  <c r="AI542" i="14"/>
  <c r="AI538" i="14"/>
  <c r="AI534" i="14"/>
  <c r="AI530" i="14"/>
  <c r="AI526" i="14"/>
  <c r="AI522" i="14"/>
  <c r="AI518" i="14"/>
  <c r="AI514" i="14"/>
  <c r="AI510" i="14"/>
  <c r="AI506" i="14"/>
  <c r="AI502" i="14"/>
  <c r="AI498" i="14"/>
  <c r="AI494" i="14"/>
  <c r="AI490" i="14"/>
  <c r="AI486" i="14"/>
  <c r="AI482" i="14"/>
  <c r="AI478" i="14"/>
  <c r="AI474" i="14"/>
  <c r="AI470" i="14"/>
  <c r="AI466" i="14"/>
  <c r="AI462" i="14"/>
  <c r="AI458" i="14"/>
  <c r="AI454" i="14"/>
  <c r="AI450" i="14"/>
  <c r="AI446" i="14"/>
  <c r="AI442" i="14"/>
  <c r="AI438" i="14"/>
  <c r="AI434" i="14"/>
  <c r="AI430" i="14"/>
  <c r="AI426" i="14"/>
  <c r="AI422" i="14"/>
  <c r="AI418" i="14"/>
  <c r="AI414" i="14"/>
  <c r="AI410" i="14"/>
  <c r="AI406" i="14"/>
  <c r="AI402" i="14"/>
  <c r="AI398" i="14"/>
  <c r="AI394" i="14"/>
  <c r="AI390" i="14"/>
  <c r="AI386" i="14"/>
  <c r="AI382" i="14"/>
  <c r="AI378" i="14"/>
  <c r="AI78" i="14"/>
  <c r="AI70" i="14"/>
  <c r="AI66" i="14"/>
  <c r="AI58" i="14"/>
  <c r="AI54" i="14"/>
  <c r="AI50" i="14"/>
  <c r="AI46" i="14"/>
  <c r="AI543" i="14"/>
  <c r="AI539" i="14"/>
  <c r="AI535" i="14"/>
  <c r="AI531" i="14"/>
  <c r="AI527" i="14"/>
  <c r="AI523" i="14"/>
  <c r="AI519" i="14"/>
  <c r="AI515" i="14"/>
  <c r="AI511" i="14"/>
  <c r="AI507" i="14"/>
  <c r="AI503" i="14"/>
  <c r="AI499" i="14"/>
  <c r="AI495" i="14"/>
  <c r="AI491" i="14"/>
  <c r="AI487" i="14"/>
  <c r="AI483" i="14"/>
  <c r="AI479" i="14"/>
  <c r="AI475" i="14"/>
  <c r="AI471" i="14"/>
  <c r="AI467" i="14"/>
  <c r="AI463" i="14"/>
  <c r="AI459" i="14"/>
  <c r="AI455" i="14"/>
  <c r="AI451" i="14"/>
  <c r="AI447" i="14"/>
  <c r="AI443" i="14"/>
  <c r="AI439" i="14"/>
  <c r="AI435" i="14"/>
  <c r="AI431" i="14"/>
  <c r="AI427" i="14"/>
  <c r="AI423" i="14"/>
  <c r="AI419" i="14"/>
  <c r="AI415" i="14"/>
  <c r="AI411" i="14"/>
  <c r="AI407" i="14"/>
  <c r="AI403" i="14"/>
  <c r="AI399" i="14"/>
  <c r="AI395" i="14"/>
  <c r="AI391" i="14"/>
  <c r="AI387" i="14"/>
  <c r="AI383" i="14"/>
  <c r="AI379" i="14"/>
  <c r="AI375" i="14"/>
  <c r="AI371" i="14"/>
  <c r="AI367" i="14"/>
  <c r="AI363" i="14"/>
  <c r="AI359" i="14"/>
  <c r="AI355" i="14"/>
  <c r="AI351" i="14"/>
  <c r="AI347" i="14"/>
  <c r="AI343" i="14"/>
  <c r="AI339" i="14"/>
  <c r="AI335" i="14"/>
  <c r="AI331" i="14"/>
  <c r="AI327" i="14"/>
  <c r="AI323" i="14"/>
  <c r="AI319" i="14"/>
  <c r="AI315" i="14"/>
  <c r="AI311" i="14"/>
  <c r="AI307" i="14"/>
  <c r="AI303" i="14"/>
  <c r="AI299" i="14"/>
  <c r="AI295" i="14"/>
  <c r="AI291" i="14"/>
  <c r="AI287" i="14"/>
  <c r="AI283" i="14"/>
  <c r="AI279" i="14"/>
  <c r="AI275" i="14"/>
  <c r="AI271" i="14"/>
  <c r="AI267" i="14"/>
  <c r="AI263" i="14"/>
  <c r="AI259" i="14"/>
  <c r="AI255" i="14"/>
  <c r="AI251" i="14"/>
  <c r="AI247" i="14"/>
  <c r="AI243" i="14"/>
  <c r="AI239" i="14"/>
  <c r="AI235" i="14"/>
  <c r="AI231" i="14"/>
  <c r="AI227" i="14"/>
  <c r="AI223" i="14"/>
  <c r="AI219" i="14"/>
  <c r="AI215" i="14"/>
  <c r="AI211" i="14"/>
  <c r="AI207" i="14"/>
  <c r="AI203" i="14"/>
  <c r="AI199" i="14"/>
  <c r="AI195" i="14"/>
  <c r="AI191" i="14"/>
  <c r="AI187" i="14"/>
  <c r="AI183" i="14"/>
  <c r="AI179" i="14"/>
  <c r="AI175" i="14"/>
  <c r="AI171" i="14"/>
  <c r="AI167" i="14"/>
  <c r="AI163" i="14"/>
  <c r="AI159" i="14"/>
  <c r="AI155" i="14"/>
  <c r="AI151" i="14"/>
  <c r="AI147" i="14"/>
  <c r="AI143" i="14"/>
  <c r="AI139" i="14"/>
  <c r="AI135" i="14"/>
  <c r="AI131" i="14"/>
  <c r="AI127" i="14"/>
  <c r="AI123" i="14"/>
  <c r="AI119" i="14"/>
  <c r="AI115" i="14"/>
  <c r="AI111" i="14"/>
  <c r="AI107" i="14"/>
  <c r="AI103" i="14"/>
  <c r="AI99" i="14"/>
  <c r="AI95" i="14"/>
  <c r="AI91" i="14"/>
  <c r="AI87" i="14"/>
  <c r="AI83" i="14"/>
  <c r="AI79" i="14"/>
  <c r="AI75" i="14"/>
  <c r="AI71" i="14"/>
  <c r="AI67" i="14"/>
  <c r="AI63" i="14"/>
  <c r="AI59" i="14"/>
  <c r="AI55" i="14"/>
  <c r="AI51" i="14"/>
  <c r="AI47" i="14"/>
  <c r="AI540" i="14"/>
  <c r="AI536" i="14"/>
  <c r="AI532" i="14"/>
  <c r="AI528" i="14"/>
  <c r="AI524" i="14"/>
  <c r="AI520" i="14"/>
  <c r="AI516" i="14"/>
  <c r="AI512" i="14"/>
  <c r="AI508" i="14"/>
  <c r="AI504" i="14"/>
  <c r="AI500" i="14"/>
  <c r="AI496" i="14"/>
  <c r="AI492" i="14"/>
  <c r="AI488" i="14"/>
  <c r="AI484" i="14"/>
  <c r="AI480" i="14"/>
  <c r="AI476" i="14"/>
  <c r="AI472" i="14"/>
  <c r="AI468" i="14"/>
  <c r="AI464" i="14"/>
  <c r="AI460" i="14"/>
  <c r="AI456" i="14"/>
  <c r="AI452" i="14"/>
  <c r="AI448" i="14"/>
  <c r="AI444" i="14"/>
  <c r="AI440" i="14"/>
  <c r="AI436" i="14"/>
  <c r="AI432" i="14"/>
  <c r="AI428" i="14"/>
  <c r="AI424" i="14"/>
  <c r="AI420" i="14"/>
  <c r="AI416" i="14"/>
  <c r="AI412" i="14"/>
  <c r="AI408" i="14"/>
  <c r="AI404" i="14"/>
  <c r="AI400" i="14"/>
  <c r="AI396" i="14"/>
  <c r="AI392" i="14"/>
  <c r="AI388" i="14"/>
  <c r="AI384" i="14"/>
  <c r="AI380" i="14"/>
  <c r="AI376" i="14"/>
  <c r="AI372" i="14"/>
  <c r="AI368" i="14"/>
  <c r="AI364" i="14"/>
  <c r="AI541" i="14"/>
  <c r="AI537" i="14"/>
  <c r="AI533" i="14"/>
  <c r="AI529" i="14"/>
  <c r="AI525" i="14"/>
  <c r="AI521" i="14"/>
  <c r="AI517" i="14"/>
  <c r="AI513" i="14"/>
  <c r="AI509" i="14"/>
  <c r="AI505" i="14"/>
  <c r="AI501" i="14"/>
  <c r="AI497" i="14"/>
  <c r="AI493" i="14"/>
  <c r="AI489" i="14"/>
  <c r="AI485" i="14"/>
  <c r="AI481" i="14"/>
  <c r="AI477" i="14"/>
  <c r="AI473" i="14"/>
  <c r="AI469" i="14"/>
  <c r="AI465" i="14"/>
  <c r="AI461" i="14"/>
  <c r="AI457" i="14"/>
  <c r="AI453" i="14"/>
  <c r="AI449" i="14"/>
  <c r="AI445" i="14"/>
  <c r="AI441" i="14"/>
  <c r="AI437" i="14"/>
  <c r="AI433" i="14"/>
  <c r="AI429" i="14"/>
  <c r="AI425" i="14"/>
  <c r="AI421" i="14"/>
  <c r="AI417" i="14"/>
  <c r="AI413" i="14"/>
  <c r="AI409" i="14"/>
  <c r="AI405" i="14"/>
  <c r="AI401" i="14"/>
  <c r="AI397" i="14"/>
  <c r="AI393" i="14"/>
  <c r="AI389" i="14"/>
  <c r="AI57" i="14"/>
  <c r="AI360" i="14"/>
  <c r="AI356" i="14"/>
  <c r="AI352" i="14"/>
  <c r="AI348" i="14"/>
  <c r="AI344" i="14"/>
  <c r="AI340" i="14"/>
  <c r="AI336" i="14"/>
  <c r="AI332" i="14"/>
  <c r="AI328" i="14"/>
  <c r="AI324" i="14"/>
  <c r="AI320" i="14"/>
  <c r="AI316" i="14"/>
  <c r="AI312" i="14"/>
  <c r="AI308" i="14"/>
  <c r="AI304" i="14"/>
  <c r="AI300" i="14"/>
  <c r="AI296" i="14"/>
  <c r="AI292" i="14"/>
  <c r="AI288" i="14"/>
  <c r="AI284" i="14"/>
  <c r="AI280" i="14"/>
  <c r="AI276" i="14"/>
  <c r="AI272" i="14"/>
  <c r="AI268" i="14"/>
  <c r="AI264" i="14"/>
  <c r="AI260" i="14"/>
  <c r="AI256" i="14"/>
  <c r="AI252" i="14"/>
  <c r="AI248" i="14"/>
  <c r="AI244" i="14"/>
  <c r="AI240" i="14"/>
  <c r="AI236" i="14"/>
  <c r="AI232" i="14"/>
  <c r="AI228" i="14"/>
  <c r="AI224" i="14"/>
  <c r="AI220" i="14"/>
  <c r="AI216" i="14"/>
  <c r="AI212" i="14"/>
  <c r="AI208" i="14"/>
  <c r="AI204" i="14"/>
  <c r="AI200" i="14"/>
  <c r="AI196" i="14"/>
  <c r="AI192" i="14"/>
  <c r="AI188" i="14"/>
  <c r="AI184" i="14"/>
  <c r="AI180" i="14"/>
  <c r="AI176" i="14"/>
  <c r="AI172" i="14"/>
  <c r="AI168" i="14"/>
  <c r="AI164" i="14"/>
  <c r="AI160" i="14"/>
  <c r="AI156" i="14"/>
  <c r="AI152" i="14"/>
  <c r="AI148" i="14"/>
  <c r="AI144" i="14"/>
  <c r="AI140" i="14"/>
  <c r="AI136" i="14"/>
  <c r="AI132" i="14"/>
  <c r="AI128" i="14"/>
  <c r="AI124" i="14"/>
  <c r="AI120" i="14"/>
  <c r="AI116" i="14"/>
  <c r="AI112" i="14"/>
  <c r="AI108" i="14"/>
  <c r="AI104" i="14"/>
  <c r="AI100" i="14"/>
  <c r="AI96" i="14"/>
  <c r="AI92" i="14"/>
  <c r="AI88" i="14"/>
  <c r="AI84" i="14"/>
  <c r="AI80" i="14"/>
  <c r="AI76" i="14"/>
  <c r="AI72" i="14"/>
  <c r="AI68" i="14"/>
  <c r="AI64" i="14"/>
  <c r="AI60" i="14"/>
  <c r="AI56" i="14"/>
  <c r="AI52" i="14"/>
  <c r="AI48" i="14"/>
  <c r="AI385" i="14"/>
  <c r="AI381" i="14"/>
  <c r="AI377" i="14"/>
  <c r="AI373" i="14"/>
  <c r="AI369" i="14"/>
  <c r="AI365" i="14"/>
  <c r="AI361" i="14"/>
  <c r="AI357" i="14"/>
  <c r="AI353" i="14"/>
  <c r="AI349" i="14"/>
  <c r="AI345" i="14"/>
  <c r="AI341" i="14"/>
  <c r="AI337" i="14"/>
  <c r="AI333" i="14"/>
  <c r="AI329" i="14"/>
  <c r="AI325" i="14"/>
  <c r="AI321" i="14"/>
  <c r="AI317" i="14"/>
  <c r="AI313" i="14"/>
  <c r="AI309" i="14"/>
  <c r="AI305" i="14"/>
  <c r="AI301" i="14"/>
  <c r="AI297" i="14"/>
  <c r="AI293" i="14"/>
  <c r="AI289" i="14"/>
  <c r="AI285" i="14"/>
  <c r="AI281" i="14"/>
  <c r="AI277" i="14"/>
  <c r="AI273" i="14"/>
  <c r="AI269" i="14"/>
  <c r="AI265" i="14"/>
  <c r="AI261" i="14"/>
  <c r="AI257" i="14"/>
  <c r="AI253" i="14"/>
  <c r="AI249" i="14"/>
  <c r="AI245" i="14"/>
  <c r="AI241" i="14"/>
  <c r="AI237" i="14"/>
  <c r="AI233" i="14"/>
  <c r="AI229" i="14"/>
  <c r="AI225" i="14"/>
  <c r="AI221" i="14"/>
  <c r="AI217" i="14"/>
  <c r="AI213" i="14"/>
  <c r="AI209" i="14"/>
  <c r="AI205" i="14"/>
  <c r="AI201" i="14"/>
  <c r="AI197" i="14"/>
  <c r="AI193" i="14"/>
  <c r="AI189" i="14"/>
  <c r="AI185" i="14"/>
  <c r="AI181" i="14"/>
  <c r="AI177" i="14"/>
  <c r="AI173" i="14"/>
  <c r="AI169" i="14"/>
  <c r="AI165" i="14"/>
  <c r="AI161" i="14"/>
  <c r="AI157" i="14"/>
  <c r="AI153" i="14"/>
  <c r="AI149" i="14"/>
  <c r="AI145" i="14"/>
  <c r="AI141" i="14"/>
  <c r="AI137" i="14"/>
  <c r="AI133" i="14"/>
  <c r="AI129" i="14"/>
  <c r="AI125" i="14"/>
  <c r="AI121" i="14"/>
  <c r="AI117" i="14"/>
  <c r="AI113" i="14"/>
  <c r="AI109" i="14"/>
  <c r="AI105" i="14"/>
  <c r="AI101" i="14"/>
  <c r="AI97" i="14"/>
  <c r="AI93" i="14"/>
  <c r="AI89" i="14"/>
  <c r="AI85" i="14"/>
  <c r="AI81" i="14"/>
  <c r="AI77" i="14"/>
  <c r="AI73" i="14"/>
  <c r="AI69" i="14"/>
  <c r="AI65" i="14"/>
  <c r="AI61" i="14"/>
  <c r="AI53" i="14"/>
  <c r="AI49" i="14"/>
  <c r="AI45" i="14"/>
  <c r="AI374" i="14"/>
  <c r="AI370" i="14"/>
  <c r="AI366" i="14"/>
  <c r="AI362" i="14"/>
  <c r="AI358" i="14"/>
  <c r="AI354" i="14"/>
  <c r="AI350" i="14"/>
  <c r="AI346" i="14"/>
  <c r="AI342" i="14"/>
  <c r="AI338" i="14"/>
  <c r="AI334" i="14"/>
  <c r="AI330" i="14"/>
  <c r="AI326" i="14"/>
  <c r="AI322" i="14"/>
  <c r="AI318" i="14"/>
  <c r="AI314" i="14"/>
  <c r="AI310" i="14"/>
  <c r="AI306" i="14"/>
  <c r="AI302" i="14"/>
  <c r="AI298" i="14"/>
  <c r="AI294" i="14"/>
  <c r="AI290" i="14"/>
  <c r="AI286" i="14"/>
  <c r="AI282" i="14"/>
  <c r="AI278" i="14"/>
  <c r="AI274" i="14"/>
  <c r="AI270" i="14"/>
  <c r="AI266" i="14"/>
  <c r="AI262" i="14"/>
  <c r="AI258" i="14"/>
  <c r="AI254" i="14"/>
  <c r="AI250" i="14"/>
  <c r="AI246" i="14"/>
  <c r="AI242" i="14"/>
  <c r="AI238" i="14"/>
  <c r="AI234" i="14"/>
  <c r="AI230" i="14"/>
  <c r="AI226" i="14"/>
  <c r="AI222" i="14"/>
  <c r="AI218" i="14"/>
  <c r="AI214" i="14"/>
  <c r="AI210" i="14"/>
  <c r="AI206" i="14"/>
  <c r="AI202" i="14"/>
  <c r="AI198" i="14"/>
  <c r="AI194" i="14"/>
  <c r="AI190" i="14"/>
  <c r="AI186" i="14"/>
  <c r="AI182" i="14"/>
  <c r="AI178" i="14"/>
  <c r="AI174" i="14"/>
  <c r="AI170" i="14"/>
  <c r="AI166" i="14"/>
  <c r="AI162" i="14"/>
  <c r="AI158" i="14"/>
  <c r="AI154" i="14"/>
  <c r="AI150" i="14"/>
  <c r="AI146" i="14"/>
  <c r="AI142" i="14"/>
  <c r="AI138" i="14"/>
  <c r="AI134" i="14"/>
  <c r="AI130" i="14"/>
  <c r="AI126" i="14"/>
  <c r="AI122" i="14"/>
  <c r="AI118" i="14"/>
  <c r="AI114" i="14"/>
  <c r="AI110" i="14"/>
  <c r="AI106" i="14"/>
  <c r="AI102" i="14"/>
  <c r="AI98" i="14"/>
  <c r="AI94" i="14"/>
  <c r="AI90" i="14"/>
  <c r="AI86" i="14"/>
  <c r="AI82" i="14"/>
  <c r="AI74" i="14"/>
  <c r="AI62" i="14"/>
  <c r="AF42" i="14"/>
  <c r="AE42" i="14"/>
  <c r="S42" i="14"/>
  <c r="P42" i="14"/>
  <c r="U42" i="14"/>
  <c r="Q42" i="14"/>
  <c r="R42" i="14"/>
  <c r="T42" i="14"/>
  <c r="AI42" i="14" l="1"/>
  <c r="W42" i="14"/>
  <c r="V42" i="14"/>
  <c r="AH42" i="14"/>
  <c r="AG42" i="14"/>
  <c r="AC42" i="14" l="1"/>
  <c r="X42" i="14"/>
  <c r="Y42" i="14"/>
  <c r="AD42" i="14"/>
  <c r="AD36" i="14" l="1"/>
  <c r="AA42" i="14"/>
  <c r="Z42" i="14"/>
  <c r="D76" i="6" l="1"/>
  <c r="D75" i="6"/>
  <c r="D45" i="6"/>
  <c r="D60" i="6"/>
  <c r="D61" i="6"/>
  <c r="R362" i="19" s="1"/>
  <c r="D62" i="6"/>
  <c r="R343" i="19" s="1"/>
  <c r="D63" i="6"/>
  <c r="D64" i="6"/>
  <c r="D65" i="6"/>
  <c r="D67" i="6"/>
  <c r="D68" i="6"/>
  <c r="D69" i="6"/>
  <c r="D70" i="6"/>
  <c r="D71" i="6"/>
  <c r="D72" i="6"/>
  <c r="D49" i="6"/>
  <c r="K8" i="18" s="1"/>
  <c r="D48" i="6"/>
  <c r="K7" i="18" s="1"/>
  <c r="D46" i="6"/>
  <c r="D43" i="6"/>
  <c r="D44" i="6"/>
  <c r="D42" i="6"/>
  <c r="D21" i="6"/>
  <c r="T151" i="19" s="1"/>
  <c r="D24" i="6"/>
  <c r="T188" i="19" s="1"/>
  <c r="D26" i="6"/>
  <c r="T211" i="19" s="1"/>
  <c r="D29" i="6"/>
  <c r="T248" i="19" s="1"/>
  <c r="D31" i="6"/>
  <c r="T271" i="19" s="1"/>
  <c r="D34" i="6"/>
  <c r="T308" i="19" s="1"/>
  <c r="D36" i="6"/>
  <c r="T330" i="19" s="1"/>
  <c r="D39" i="6"/>
  <c r="T367" i="19" s="1"/>
  <c r="D16" i="6"/>
  <c r="D19" i="6"/>
  <c r="D11" i="6"/>
  <c r="D14" i="6"/>
  <c r="D66" i="6" l="1"/>
  <c r="R325" i="19" s="1"/>
  <c r="T348" i="19"/>
  <c r="T358" i="19"/>
  <c r="D38" i="6"/>
  <c r="T339" i="19"/>
  <c r="D37" i="6"/>
  <c r="T321" i="19"/>
  <c r="M284" i="19"/>
  <c r="M343" i="19"/>
  <c r="AM360" i="19" s="1"/>
  <c r="T289" i="19"/>
  <c r="T299" i="19"/>
  <c r="D33" i="6"/>
  <c r="T280" i="19"/>
  <c r="D32" i="6"/>
  <c r="T262" i="19"/>
  <c r="T229" i="19"/>
  <c r="T239" i="19"/>
  <c r="D28" i="6"/>
  <c r="T220" i="19"/>
  <c r="D27" i="6"/>
  <c r="T202" i="19"/>
  <c r="M164" i="19"/>
  <c r="M224" i="19"/>
  <c r="M102" i="19"/>
  <c r="AM119" i="19" s="1"/>
  <c r="T169" i="19"/>
  <c r="T179" i="19"/>
  <c r="D23" i="6"/>
  <c r="T160" i="19"/>
  <c r="D22" i="6"/>
  <c r="T142" i="19"/>
  <c r="Y360" i="19"/>
  <c r="Y350" i="19"/>
  <c r="Y341" i="19"/>
  <c r="Y337" i="19"/>
  <c r="Y369" i="19"/>
  <c r="Y365" i="19"/>
  <c r="Y346" i="19"/>
  <c r="Y356" i="19"/>
  <c r="AF330" i="19"/>
  <c r="AF321" i="19"/>
  <c r="AF317" i="19"/>
  <c r="AF326" i="19"/>
  <c r="AD345" i="19"/>
  <c r="AD327" i="19"/>
  <c r="AD364" i="19"/>
  <c r="Y328" i="19"/>
  <c r="Y332" i="19"/>
  <c r="AD318" i="19"/>
  <c r="AD336" i="19"/>
  <c r="AD355" i="19"/>
  <c r="AF358" i="19"/>
  <c r="AF354" i="19"/>
  <c r="AF348" i="19"/>
  <c r="AF339" i="19"/>
  <c r="AF335" i="19"/>
  <c r="AF367" i="19"/>
  <c r="AF344" i="19"/>
  <c r="AF363" i="19"/>
  <c r="AD346" i="19"/>
  <c r="AD365" i="19"/>
  <c r="AI354" i="19"/>
  <c r="AI335" i="19"/>
  <c r="AD356" i="19"/>
  <c r="AD337" i="19"/>
  <c r="AI363" i="19"/>
  <c r="AI344" i="19"/>
  <c r="AI317" i="19"/>
  <c r="AD328" i="19"/>
  <c r="AD319" i="19"/>
  <c r="AI326" i="19"/>
  <c r="Y301" i="19"/>
  <c r="Y291" i="19"/>
  <c r="Y282" i="19"/>
  <c r="Y306" i="19"/>
  <c r="Y287" i="19"/>
  <c r="Y297" i="19"/>
  <c r="Y278" i="19"/>
  <c r="Y310" i="19"/>
  <c r="R224" i="19"/>
  <c r="R284" i="19"/>
  <c r="AF271" i="19"/>
  <c r="AF262" i="19"/>
  <c r="AF258" i="19"/>
  <c r="AF267" i="19"/>
  <c r="R243" i="19"/>
  <c r="R303" i="19"/>
  <c r="Y269" i="19"/>
  <c r="Y273" i="19"/>
  <c r="AD305" i="19"/>
  <c r="AD286" i="19"/>
  <c r="AD268" i="19"/>
  <c r="AD259" i="19"/>
  <c r="AD296" i="19"/>
  <c r="AD277" i="19"/>
  <c r="AF299" i="19"/>
  <c r="AF295" i="19"/>
  <c r="AF289" i="19"/>
  <c r="AF280" i="19"/>
  <c r="AF276" i="19"/>
  <c r="AF304" i="19"/>
  <c r="AF308" i="19"/>
  <c r="AF285" i="19"/>
  <c r="AI258" i="19"/>
  <c r="AD269" i="19"/>
  <c r="AI267" i="19"/>
  <c r="AD260" i="19"/>
  <c r="AD306" i="19"/>
  <c r="AD287" i="19"/>
  <c r="AD297" i="19"/>
  <c r="AD278" i="19"/>
  <c r="AI276" i="19"/>
  <c r="AI295" i="19"/>
  <c r="AI304" i="19"/>
  <c r="AI285" i="19"/>
  <c r="AF239" i="19"/>
  <c r="AF235" i="19"/>
  <c r="AF229" i="19"/>
  <c r="AF220" i="19"/>
  <c r="AF216" i="19"/>
  <c r="AF248" i="19"/>
  <c r="AF225" i="19"/>
  <c r="AF244" i="19"/>
  <c r="AD237" i="19"/>
  <c r="AD246" i="19"/>
  <c r="AD218" i="19"/>
  <c r="AD227" i="19"/>
  <c r="AI235" i="19"/>
  <c r="AI244" i="19"/>
  <c r="AI225" i="19"/>
  <c r="AI216" i="19"/>
  <c r="AF211" i="19"/>
  <c r="AF202" i="19"/>
  <c r="AF198" i="19"/>
  <c r="AF207" i="19"/>
  <c r="Y209" i="19"/>
  <c r="Y213" i="19"/>
  <c r="AD226" i="19"/>
  <c r="AD208" i="19"/>
  <c r="AD245" i="19"/>
  <c r="AD236" i="19"/>
  <c r="AD217" i="19"/>
  <c r="AD199" i="19"/>
  <c r="AI198" i="19"/>
  <c r="AD209" i="19"/>
  <c r="AD200" i="19"/>
  <c r="AI207" i="19"/>
  <c r="Y241" i="19"/>
  <c r="Y231" i="19"/>
  <c r="Y222" i="19"/>
  <c r="Y246" i="19"/>
  <c r="Y237" i="19"/>
  <c r="Y218" i="19"/>
  <c r="Y227" i="19"/>
  <c r="Y250" i="19"/>
  <c r="T89" i="19"/>
  <c r="Y181" i="19"/>
  <c r="Y171" i="19"/>
  <c r="Y162" i="19"/>
  <c r="Y186" i="19"/>
  <c r="Y167" i="19"/>
  <c r="Y177" i="19"/>
  <c r="Y158" i="19"/>
  <c r="Y190" i="19"/>
  <c r="R102" i="19"/>
  <c r="R164" i="19"/>
  <c r="AF151" i="19"/>
  <c r="AF142" i="19"/>
  <c r="AF138" i="19"/>
  <c r="AF147" i="19"/>
  <c r="R121" i="19"/>
  <c r="R183" i="19"/>
  <c r="AD185" i="19"/>
  <c r="AD166" i="19"/>
  <c r="AD148" i="19"/>
  <c r="Y149" i="19"/>
  <c r="Y153" i="19"/>
  <c r="AD176" i="19"/>
  <c r="AD157" i="19"/>
  <c r="AD139" i="19"/>
  <c r="AF179" i="19"/>
  <c r="AF175" i="19"/>
  <c r="AF169" i="19"/>
  <c r="AF160" i="19"/>
  <c r="AF156" i="19"/>
  <c r="AF165" i="19"/>
  <c r="AF184" i="19"/>
  <c r="AF188" i="19"/>
  <c r="T126" i="19"/>
  <c r="AI138" i="19"/>
  <c r="AD149" i="19"/>
  <c r="AD140" i="19"/>
  <c r="AI147" i="19"/>
  <c r="AD158" i="19"/>
  <c r="AD186" i="19"/>
  <c r="AD177" i="19"/>
  <c r="AD167" i="19"/>
  <c r="AI175" i="19"/>
  <c r="AI184" i="19"/>
  <c r="AI165" i="19"/>
  <c r="AI156" i="19"/>
  <c r="T107" i="19"/>
  <c r="T117" i="19"/>
  <c r="D18" i="6"/>
  <c r="T98" i="19"/>
  <c r="D17" i="6"/>
  <c r="T80" i="19"/>
  <c r="AD96" i="19"/>
  <c r="AI103" i="19"/>
  <c r="AD124" i="19"/>
  <c r="AD105" i="19"/>
  <c r="AD115" i="19"/>
  <c r="AI122" i="19"/>
  <c r="AI113" i="19"/>
  <c r="AI94" i="19"/>
  <c r="Y119" i="19"/>
  <c r="Y109" i="19"/>
  <c r="Y100" i="19"/>
  <c r="Y115" i="19"/>
  <c r="Y124" i="19"/>
  <c r="Y105" i="19"/>
  <c r="Y96" i="19"/>
  <c r="Y128" i="19"/>
  <c r="AI76" i="19"/>
  <c r="AD78" i="19"/>
  <c r="AD87" i="19"/>
  <c r="AI85" i="19"/>
  <c r="AF89" i="19"/>
  <c r="AF80" i="19"/>
  <c r="AF76" i="19"/>
  <c r="AF85" i="19"/>
  <c r="Y87" i="19"/>
  <c r="Y91" i="19"/>
  <c r="AD104" i="19"/>
  <c r="AD86" i="19"/>
  <c r="AD123" i="19"/>
  <c r="AD114" i="19"/>
  <c r="AD95" i="19"/>
  <c r="AD77" i="19"/>
  <c r="AF117" i="19"/>
  <c r="AF113" i="19"/>
  <c r="AF107" i="19"/>
  <c r="AF98" i="19"/>
  <c r="AF94" i="19"/>
  <c r="AF122" i="19"/>
  <c r="AF126" i="19"/>
  <c r="AF103" i="19"/>
  <c r="R43" i="19"/>
  <c r="R62" i="19"/>
  <c r="AD64" i="19"/>
  <c r="M43" i="19"/>
  <c r="AD55" i="19"/>
  <c r="X14" i="18"/>
  <c r="Z15" i="18" s="1"/>
  <c r="X16" i="18"/>
  <c r="X32" i="18"/>
  <c r="X48" i="18"/>
  <c r="X17" i="18"/>
  <c r="X25" i="18"/>
  <c r="X33" i="18"/>
  <c r="X41" i="18"/>
  <c r="X49" i="18"/>
  <c r="X18" i="18"/>
  <c r="X26" i="18"/>
  <c r="X34" i="18"/>
  <c r="X42" i="18"/>
  <c r="X50" i="18"/>
  <c r="X15" i="18"/>
  <c r="X40" i="18"/>
  <c r="X19" i="18"/>
  <c r="X27" i="18"/>
  <c r="X35" i="18"/>
  <c r="X43" i="18"/>
  <c r="X51" i="18"/>
  <c r="X29" i="18"/>
  <c r="X37" i="18"/>
  <c r="X22" i="18"/>
  <c r="X38" i="18"/>
  <c r="X31" i="18"/>
  <c r="X47" i="18"/>
  <c r="X24" i="18"/>
  <c r="X20" i="18"/>
  <c r="X28" i="18"/>
  <c r="X36" i="18"/>
  <c r="X44" i="18"/>
  <c r="X21" i="18"/>
  <c r="X45" i="18"/>
  <c r="X30" i="18"/>
  <c r="X46" i="18"/>
  <c r="X23" i="18"/>
  <c r="X39" i="18"/>
  <c r="I17" i="18"/>
  <c r="I25" i="18"/>
  <c r="I33" i="18"/>
  <c r="I41" i="18"/>
  <c r="I49" i="18"/>
  <c r="I29" i="18"/>
  <c r="I22" i="18"/>
  <c r="I23" i="18"/>
  <c r="I47" i="18"/>
  <c r="I24" i="18"/>
  <c r="I40" i="18"/>
  <c r="I18" i="18"/>
  <c r="I26" i="18"/>
  <c r="I34" i="18"/>
  <c r="I42" i="18"/>
  <c r="I50" i="18"/>
  <c r="I45" i="18"/>
  <c r="I38" i="18"/>
  <c r="I31" i="18"/>
  <c r="I32" i="18"/>
  <c r="I19" i="18"/>
  <c r="I27" i="18"/>
  <c r="I35" i="18"/>
  <c r="I43" i="18"/>
  <c r="I51" i="18"/>
  <c r="I37" i="18"/>
  <c r="I46" i="18"/>
  <c r="I39" i="18"/>
  <c r="I16" i="18"/>
  <c r="I48" i="18"/>
  <c r="I20" i="18"/>
  <c r="I28" i="18"/>
  <c r="I36" i="18"/>
  <c r="I44" i="18"/>
  <c r="I21" i="18"/>
  <c r="I30" i="18"/>
  <c r="I15" i="18"/>
  <c r="I14" i="18"/>
  <c r="AI54" i="19"/>
  <c r="AI63" i="19"/>
  <c r="AD56" i="19"/>
  <c r="AD65" i="19"/>
  <c r="AI44" i="19"/>
  <c r="AD46" i="19"/>
  <c r="AD37" i="19"/>
  <c r="AQ39" i="19" s="1"/>
  <c r="AI35" i="19"/>
  <c r="AD28" i="19"/>
  <c r="AI26" i="19"/>
  <c r="AD19" i="19"/>
  <c r="AQ21" i="19" s="1"/>
  <c r="AI17" i="19"/>
  <c r="AD27" i="19"/>
  <c r="AD45" i="19"/>
  <c r="AD18" i="19"/>
  <c r="AD36" i="19"/>
  <c r="Y28" i="19"/>
  <c r="Y32" i="19"/>
  <c r="Y69" i="19"/>
  <c r="Y65" i="19"/>
  <c r="AF67" i="19"/>
  <c r="AF63" i="19"/>
  <c r="T67" i="19"/>
  <c r="Y56" i="19"/>
  <c r="Y60" i="19"/>
  <c r="AF54" i="19"/>
  <c r="AF58" i="19"/>
  <c r="T58" i="19"/>
  <c r="Y50" i="19"/>
  <c r="Y41" i="19"/>
  <c r="AF48" i="19"/>
  <c r="AF44" i="19"/>
  <c r="Y37" i="19"/>
  <c r="Y46" i="19"/>
  <c r="T48" i="19"/>
  <c r="AF35" i="19"/>
  <c r="AF39" i="19"/>
  <c r="AF30" i="19"/>
  <c r="T39" i="19"/>
  <c r="AF26" i="19"/>
  <c r="T30" i="19"/>
  <c r="Y19" i="19"/>
  <c r="Y23" i="19"/>
  <c r="AF17" i="19"/>
  <c r="AF21" i="19"/>
  <c r="T21" i="19"/>
  <c r="R206" i="19" l="1"/>
  <c r="AM213" i="19" s="1"/>
  <c r="R84" i="19"/>
  <c r="AM76" i="19" s="1"/>
  <c r="R25" i="19"/>
  <c r="AM32" i="19" s="1"/>
  <c r="R146" i="19"/>
  <c r="AM153" i="19" s="1"/>
  <c r="R266" i="19"/>
  <c r="AM271" i="19" s="1"/>
  <c r="AM344" i="19"/>
  <c r="AM341" i="19"/>
  <c r="AM369" i="19"/>
  <c r="AM335" i="19"/>
  <c r="AM350" i="19"/>
  <c r="AM317" i="19"/>
  <c r="AM354" i="19"/>
  <c r="AM332" i="19"/>
  <c r="AM323" i="19"/>
  <c r="AM367" i="19"/>
  <c r="AM330" i="19"/>
  <c r="AM250" i="19"/>
  <c r="AM326" i="19"/>
  <c r="AM222" i="19"/>
  <c r="AM348" i="19"/>
  <c r="AM220" i="19"/>
  <c r="AM229" i="19"/>
  <c r="AM126" i="19"/>
  <c r="AM363" i="19"/>
  <c r="AM231" i="19"/>
  <c r="AM241" i="19"/>
  <c r="AM339" i="19"/>
  <c r="AM235" i="19"/>
  <c r="AQ317" i="19"/>
  <c r="AQ321" i="19"/>
  <c r="AQ326" i="19"/>
  <c r="AQ330" i="19"/>
  <c r="AQ363" i="19"/>
  <c r="AQ367" i="19"/>
  <c r="AQ344" i="19"/>
  <c r="AQ348" i="19"/>
  <c r="AM358" i="19"/>
  <c r="AM225" i="19"/>
  <c r="AM321" i="19"/>
  <c r="AM248" i="19"/>
  <c r="AQ339" i="19"/>
  <c r="AQ335" i="19"/>
  <c r="AQ354" i="19"/>
  <c r="AQ358" i="19"/>
  <c r="AQ285" i="19"/>
  <c r="AQ289" i="19"/>
  <c r="AQ304" i="19"/>
  <c r="AQ308" i="19"/>
  <c r="AQ258" i="19"/>
  <c r="AQ262" i="19"/>
  <c r="AQ267" i="19"/>
  <c r="AQ271" i="19"/>
  <c r="AM289" i="19"/>
  <c r="AM304" i="19"/>
  <c r="AM299" i="19"/>
  <c r="AM291" i="19"/>
  <c r="AM280" i="19"/>
  <c r="AM285" i="19"/>
  <c r="AM301" i="19"/>
  <c r="AM282" i="19"/>
  <c r="AM310" i="19"/>
  <c r="AM308" i="19"/>
  <c r="AM295" i="19"/>
  <c r="AM276" i="19"/>
  <c r="AM244" i="19"/>
  <c r="AQ276" i="19"/>
  <c r="AQ280" i="19"/>
  <c r="AQ295" i="19"/>
  <c r="AQ299" i="19"/>
  <c r="AM239" i="19"/>
  <c r="AM100" i="19"/>
  <c r="AQ198" i="19"/>
  <c r="AQ202" i="19"/>
  <c r="AM216" i="19"/>
  <c r="AM98" i="19"/>
  <c r="AM109" i="19"/>
  <c r="AQ207" i="19"/>
  <c r="AQ211" i="19"/>
  <c r="AQ225" i="19"/>
  <c r="AQ229" i="19"/>
  <c r="AM113" i="19"/>
  <c r="AM122" i="19"/>
  <c r="AQ220" i="19"/>
  <c r="AQ216" i="19"/>
  <c r="AQ244" i="19"/>
  <c r="AQ248" i="19"/>
  <c r="AM128" i="19"/>
  <c r="AM107" i="19"/>
  <c r="AQ235" i="19"/>
  <c r="AQ239" i="19"/>
  <c r="AQ138" i="19"/>
  <c r="AQ142" i="19"/>
  <c r="AQ147" i="19"/>
  <c r="AQ151" i="19"/>
  <c r="AQ165" i="19"/>
  <c r="AQ169" i="19"/>
  <c r="AQ175" i="19"/>
  <c r="AQ179" i="19"/>
  <c r="AM184" i="19"/>
  <c r="AM165" i="19"/>
  <c r="AM190" i="19"/>
  <c r="AM188" i="19"/>
  <c r="AM175" i="19"/>
  <c r="AM156" i="19"/>
  <c r="AM181" i="19"/>
  <c r="AM179" i="19"/>
  <c r="AM171" i="19"/>
  <c r="AM169" i="19"/>
  <c r="AM162" i="19"/>
  <c r="AM160" i="19"/>
  <c r="AQ184" i="19"/>
  <c r="AQ188" i="19"/>
  <c r="AQ156" i="19"/>
  <c r="AQ160" i="19"/>
  <c r="AM117" i="19"/>
  <c r="AM94" i="19"/>
  <c r="AQ113" i="19"/>
  <c r="AQ117" i="19"/>
  <c r="AM103" i="19"/>
  <c r="AQ107" i="19"/>
  <c r="AQ103" i="19"/>
  <c r="AQ85" i="19"/>
  <c r="AQ89" i="19"/>
  <c r="AQ122" i="19"/>
  <c r="AQ126" i="19"/>
  <c r="AQ76" i="19"/>
  <c r="AQ80" i="19"/>
  <c r="AQ98" i="19"/>
  <c r="AQ94" i="19"/>
  <c r="AM35" i="19"/>
  <c r="AM41" i="19"/>
  <c r="AM63" i="19"/>
  <c r="AM44" i="19"/>
  <c r="AM50" i="19"/>
  <c r="AM60" i="19"/>
  <c r="AM54" i="19"/>
  <c r="AM67" i="19"/>
  <c r="AM58" i="19"/>
  <c r="AM69" i="19"/>
  <c r="Z16" i="18"/>
  <c r="AA15" i="18"/>
  <c r="AA16" i="18" s="1"/>
  <c r="AD15" i="18"/>
  <c r="K15" i="18"/>
  <c r="K16" i="18" s="1"/>
  <c r="L15" i="18"/>
  <c r="AQ63" i="19"/>
  <c r="AQ67" i="19"/>
  <c r="AQ54" i="19"/>
  <c r="AQ58" i="19"/>
  <c r="AQ44" i="19"/>
  <c r="AQ48" i="19"/>
  <c r="AQ35" i="19"/>
  <c r="AQ26" i="19"/>
  <c r="AQ30" i="19"/>
  <c r="AQ17" i="19"/>
  <c r="AM48" i="19"/>
  <c r="AM39" i="19"/>
  <c r="AM91" i="19" l="1"/>
  <c r="AM82" i="19"/>
  <c r="AM85" i="19"/>
  <c r="AM80" i="19"/>
  <c r="AM89" i="19"/>
  <c r="AM204" i="19"/>
  <c r="AM202" i="19"/>
  <c r="AM207" i="19"/>
  <c r="AM198" i="19"/>
  <c r="AM211" i="19"/>
  <c r="AM26" i="19"/>
  <c r="AM30" i="19"/>
  <c r="AM17" i="19"/>
  <c r="AM151" i="19"/>
  <c r="AM144" i="19"/>
  <c r="AM147" i="19"/>
  <c r="AM142" i="19"/>
  <c r="AM138" i="19"/>
  <c r="AM264" i="19"/>
  <c r="AM273" i="19"/>
  <c r="AM258" i="19"/>
  <c r="AM262" i="19"/>
  <c r="AM267" i="19"/>
  <c r="AM21" i="19"/>
  <c r="AM23" i="19"/>
  <c r="AE15" i="18"/>
  <c r="AF15" i="18" s="1"/>
  <c r="AG15" i="18"/>
  <c r="AH15" i="18" s="1"/>
  <c r="AI15" i="18"/>
  <c r="AJ15" i="18" s="1"/>
  <c r="AB15" i="18"/>
  <c r="O15" i="18"/>
  <c r="P15" i="18"/>
  <c r="K17" i="18"/>
  <c r="O17" i="18" s="1"/>
  <c r="O16" i="18"/>
  <c r="L16" i="18"/>
  <c r="M15" i="18"/>
  <c r="R16" i="18" l="1"/>
  <c r="S16" i="18" s="1"/>
  <c r="T16" i="18"/>
  <c r="U16" i="18" s="1"/>
  <c r="R17" i="18"/>
  <c r="S17" i="18" s="1"/>
  <c r="T17" i="18"/>
  <c r="U17" i="18" s="1"/>
  <c r="R15" i="18"/>
  <c r="S15" i="18" s="1"/>
  <c r="T15" i="18"/>
  <c r="U15" i="18" s="1"/>
  <c r="Q15" i="18"/>
  <c r="K18" i="18"/>
  <c r="O18" i="18" s="1"/>
  <c r="P16" i="18"/>
  <c r="L17" i="18"/>
  <c r="M16" i="18"/>
  <c r="C61" i="6"/>
  <c r="C62" i="6"/>
  <c r="C63" i="6"/>
  <c r="C64" i="6"/>
  <c r="C65" i="6"/>
  <c r="C66" i="6"/>
  <c r="C67" i="6"/>
  <c r="C68" i="6"/>
  <c r="C69" i="6"/>
  <c r="C70" i="6"/>
  <c r="C71" i="6"/>
  <c r="C72" i="6"/>
  <c r="C60" i="6"/>
  <c r="B38" i="6"/>
  <c r="B37" i="6"/>
  <c r="B33" i="6"/>
  <c r="B32" i="6"/>
  <c r="B28" i="6"/>
  <c r="B27" i="6"/>
  <c r="B23" i="6"/>
  <c r="B22" i="6"/>
  <c r="B18" i="6"/>
  <c r="B17" i="6"/>
  <c r="D13" i="6"/>
  <c r="D12" i="6"/>
  <c r="C8" i="6"/>
  <c r="C9" i="6"/>
  <c r="C7" i="6"/>
  <c r="D7" i="6" a="1"/>
  <c r="Q16" i="18" l="1"/>
  <c r="AA17" i="18"/>
  <c r="AB16" i="18"/>
  <c r="AD16" i="18"/>
  <c r="AE16" i="18"/>
  <c r="R18" i="18"/>
  <c r="S18" i="18" s="1"/>
  <c r="T18" i="18"/>
  <c r="U18" i="18" s="1"/>
  <c r="L18" i="18"/>
  <c r="K19" i="18"/>
  <c r="O19" i="18" s="1"/>
  <c r="P17" i="18"/>
  <c r="M17" i="18"/>
  <c r="D8" i="6"/>
  <c r="D7" i="6"/>
  <c r="D9" i="6"/>
  <c r="O326" i="19" l="1"/>
  <c r="O267" i="19"/>
  <c r="O147" i="19"/>
  <c r="O26" i="19"/>
  <c r="O207" i="19"/>
  <c r="O85" i="19"/>
  <c r="O103" i="19"/>
  <c r="O165" i="19"/>
  <c r="O225" i="19"/>
  <c r="O44" i="19"/>
  <c r="O344" i="19"/>
  <c r="O285" i="19"/>
  <c r="O122" i="19"/>
  <c r="O244" i="19"/>
  <c r="O63" i="19"/>
  <c r="O304" i="19"/>
  <c r="O184" i="19"/>
  <c r="O363" i="19"/>
  <c r="AG16" i="18"/>
  <c r="AH16" i="18" s="1"/>
  <c r="AI16" i="18"/>
  <c r="AJ16" i="18" s="1"/>
  <c r="AE17" i="18"/>
  <c r="Q17" i="18"/>
  <c r="Z17" i="18"/>
  <c r="AF16" i="18"/>
  <c r="R19" i="18"/>
  <c r="S19" i="18" s="1"/>
  <c r="T19" i="18"/>
  <c r="U19" i="18" s="1"/>
  <c r="K20" i="18"/>
  <c r="O20" i="18" s="1"/>
  <c r="L19" i="18"/>
  <c r="P19" i="18" s="1"/>
  <c r="P18" i="18"/>
  <c r="M18" i="18"/>
  <c r="AK323" i="19" l="1"/>
  <c r="AK321" i="19"/>
  <c r="AK326" i="19"/>
  <c r="AK317" i="19"/>
  <c r="AK330" i="19"/>
  <c r="AK332" i="19"/>
  <c r="AK310" i="19"/>
  <c r="AK304" i="19"/>
  <c r="AK308" i="19"/>
  <c r="AK301" i="19"/>
  <c r="AK295" i="19"/>
  <c r="AK299" i="19"/>
  <c r="AK67" i="19"/>
  <c r="AK54" i="19"/>
  <c r="AK69" i="19"/>
  <c r="AK63" i="19"/>
  <c r="AK58" i="19"/>
  <c r="AK60" i="19"/>
  <c r="AK222" i="19"/>
  <c r="AO222" i="19" s="1"/>
  <c r="AY222" i="19" s="1"/>
  <c r="AK216" i="19"/>
  <c r="AK225" i="19"/>
  <c r="AK229" i="19"/>
  <c r="AK220" i="19"/>
  <c r="AK231" i="19"/>
  <c r="AK171" i="19"/>
  <c r="AK169" i="19"/>
  <c r="AK165" i="19"/>
  <c r="AK162" i="19"/>
  <c r="AO162" i="19" s="1"/>
  <c r="AY162" i="19" s="1"/>
  <c r="AK160" i="19"/>
  <c r="AK156" i="19"/>
  <c r="AK94" i="19"/>
  <c r="AK100" i="19"/>
  <c r="AO100" i="19" s="1"/>
  <c r="AY100" i="19" s="1"/>
  <c r="AK98" i="19"/>
  <c r="AK109" i="19"/>
  <c r="AK103" i="19"/>
  <c r="AK107" i="19"/>
  <c r="AK248" i="19"/>
  <c r="AK239" i="19"/>
  <c r="AK235" i="19"/>
  <c r="AK241" i="19"/>
  <c r="AK244" i="19"/>
  <c r="AK250" i="19"/>
  <c r="AK80" i="19"/>
  <c r="AK76" i="19"/>
  <c r="AK85" i="19"/>
  <c r="AK91" i="19"/>
  <c r="AK89" i="19"/>
  <c r="AK82" i="19"/>
  <c r="AK291" i="19"/>
  <c r="AK285" i="19"/>
  <c r="AK280" i="19"/>
  <c r="AK289" i="19"/>
  <c r="AK276" i="19"/>
  <c r="AK282" i="19"/>
  <c r="AO282" i="19" s="1"/>
  <c r="AY282" i="19" s="1"/>
  <c r="AK26" i="19"/>
  <c r="AK23" i="19"/>
  <c r="AK17" i="19"/>
  <c r="AK32" i="19"/>
  <c r="AK21" i="19"/>
  <c r="AK30" i="19"/>
  <c r="AK179" i="19"/>
  <c r="AK188" i="19"/>
  <c r="AK181" i="19"/>
  <c r="AK190" i="19"/>
  <c r="AK184" i="19"/>
  <c r="AK175" i="19"/>
  <c r="AK126" i="19"/>
  <c r="AK117" i="19"/>
  <c r="AK122" i="19"/>
  <c r="AK113" i="19"/>
  <c r="AK119" i="19"/>
  <c r="AK128" i="19"/>
  <c r="AK348" i="19"/>
  <c r="AK335" i="19"/>
  <c r="AK339" i="19"/>
  <c r="AK350" i="19"/>
  <c r="AK344" i="19"/>
  <c r="AK341" i="19"/>
  <c r="AO341" i="19" s="1"/>
  <c r="AY341" i="19" s="1"/>
  <c r="AK138" i="19"/>
  <c r="AK153" i="19"/>
  <c r="AK151" i="19"/>
  <c r="AK147" i="19"/>
  <c r="AK144" i="19"/>
  <c r="AK142" i="19"/>
  <c r="AK204" i="19"/>
  <c r="AK213" i="19"/>
  <c r="AK202" i="19"/>
  <c r="AK211" i="19"/>
  <c r="AK198" i="19"/>
  <c r="AK207" i="19"/>
  <c r="AK360" i="19"/>
  <c r="AK358" i="19"/>
  <c r="AK354" i="19"/>
  <c r="AK369" i="19"/>
  <c r="AK367" i="19"/>
  <c r="AK363" i="19"/>
  <c r="AK39" i="19"/>
  <c r="AK44" i="19"/>
  <c r="AK48" i="19"/>
  <c r="AK50" i="19"/>
  <c r="AK35" i="19"/>
  <c r="AK41" i="19"/>
  <c r="AO41" i="19" s="1"/>
  <c r="AY41" i="19" s="1"/>
  <c r="AK264" i="19"/>
  <c r="AK271" i="19"/>
  <c r="AK262" i="19"/>
  <c r="AK273" i="19"/>
  <c r="AK258" i="19"/>
  <c r="AK267" i="19"/>
  <c r="Q18" i="18"/>
  <c r="Z18" i="18"/>
  <c r="AD18" i="18" s="1"/>
  <c r="AA18" i="18"/>
  <c r="AB17" i="18"/>
  <c r="AD17" i="18"/>
  <c r="Q19" i="18"/>
  <c r="R20" i="18"/>
  <c r="S20" i="18" s="1"/>
  <c r="T20" i="18"/>
  <c r="U20" i="18" s="1"/>
  <c r="K21" i="18"/>
  <c r="O21" i="18" s="1"/>
  <c r="L20" i="18"/>
  <c r="M19" i="18"/>
  <c r="AS39" i="19" l="1"/>
  <c r="BA39" i="19" s="1"/>
  <c r="AO39" i="19"/>
  <c r="AY39" i="19" s="1"/>
  <c r="AO184" i="19"/>
  <c r="AS184" i="19"/>
  <c r="AS58" i="19"/>
  <c r="BA58" i="19" s="1"/>
  <c r="AO58" i="19"/>
  <c r="AY58" i="19" s="1"/>
  <c r="AO363" i="19"/>
  <c r="AS363" i="19"/>
  <c r="AS153" i="19"/>
  <c r="BA153" i="19" s="1"/>
  <c r="AO153" i="19"/>
  <c r="AY153" i="19" s="1"/>
  <c r="AS128" i="19"/>
  <c r="BA128" i="19" s="1"/>
  <c r="AO128" i="19"/>
  <c r="AY128" i="19" s="1"/>
  <c r="AS190" i="19"/>
  <c r="BA190" i="19" s="1"/>
  <c r="AO190" i="19"/>
  <c r="AY190" i="19" s="1"/>
  <c r="AS23" i="19"/>
  <c r="BA23" i="19" s="1"/>
  <c r="AO23" i="19"/>
  <c r="AY23" i="19" s="1"/>
  <c r="AS82" i="19"/>
  <c r="BA82" i="19" s="1"/>
  <c r="AO82" i="19"/>
  <c r="AY82" i="19" s="1"/>
  <c r="AO241" i="19"/>
  <c r="AY241" i="19" s="1"/>
  <c r="AS241" i="19"/>
  <c r="BA241" i="19" s="1"/>
  <c r="AO231" i="19"/>
  <c r="AY231" i="19" s="1"/>
  <c r="AS231" i="19"/>
  <c r="BA231" i="19" s="1"/>
  <c r="AO63" i="19"/>
  <c r="AS63" i="19"/>
  <c r="AS304" i="19"/>
  <c r="AO304" i="19"/>
  <c r="AO264" i="19"/>
  <c r="AY264" i="19" s="1"/>
  <c r="AS264" i="19"/>
  <c r="BA264" i="19" s="1"/>
  <c r="AO367" i="19"/>
  <c r="AY367" i="19" s="1"/>
  <c r="AS367" i="19"/>
  <c r="BA367" i="19" s="1"/>
  <c r="AS202" i="19"/>
  <c r="BA202" i="19" s="1"/>
  <c r="AO202" i="19"/>
  <c r="AY202" i="19" s="1"/>
  <c r="AS138" i="19"/>
  <c r="AO138" i="19"/>
  <c r="AK136" i="19"/>
  <c r="AO119" i="19"/>
  <c r="AY119" i="19" s="1"/>
  <c r="AS119" i="19"/>
  <c r="BA119" i="19" s="1"/>
  <c r="AS181" i="19"/>
  <c r="BA181" i="19" s="1"/>
  <c r="AO181" i="19"/>
  <c r="AY181" i="19" s="1"/>
  <c r="AO26" i="19"/>
  <c r="AS26" i="19"/>
  <c r="AS89" i="19"/>
  <c r="BA89" i="19" s="1"/>
  <c r="AO89" i="19"/>
  <c r="AY89" i="19" s="1"/>
  <c r="AS235" i="19"/>
  <c r="AO235" i="19"/>
  <c r="AO94" i="19"/>
  <c r="AS94" i="19"/>
  <c r="AO220" i="19"/>
  <c r="AY220" i="19" s="1"/>
  <c r="AS220" i="19"/>
  <c r="BA220" i="19" s="1"/>
  <c r="AO69" i="19"/>
  <c r="AY69" i="19" s="1"/>
  <c r="AS69" i="19"/>
  <c r="BA69" i="19" s="1"/>
  <c r="AO310" i="19"/>
  <c r="AY310" i="19" s="1"/>
  <c r="AS310" i="19"/>
  <c r="BA310" i="19" s="1"/>
  <c r="AS198" i="19"/>
  <c r="AK196" i="19"/>
  <c r="AO198" i="19"/>
  <c r="AS291" i="19"/>
  <c r="BA291" i="19" s="1"/>
  <c r="AO291" i="19"/>
  <c r="AY291" i="19" s="1"/>
  <c r="AS308" i="19"/>
  <c r="BA308" i="19" s="1"/>
  <c r="AO308" i="19"/>
  <c r="AY308" i="19" s="1"/>
  <c r="AS113" i="19"/>
  <c r="AO113" i="19"/>
  <c r="AS188" i="19"/>
  <c r="BA188" i="19" s="1"/>
  <c r="AO188" i="19"/>
  <c r="AY188" i="19" s="1"/>
  <c r="AS91" i="19"/>
  <c r="BA91" i="19" s="1"/>
  <c r="AO91" i="19"/>
  <c r="AY91" i="19" s="1"/>
  <c r="AO239" i="19"/>
  <c r="AY239" i="19" s="1"/>
  <c r="AS239" i="19"/>
  <c r="BA239" i="19" s="1"/>
  <c r="AS156" i="19"/>
  <c r="AO156" i="19"/>
  <c r="AS229" i="19"/>
  <c r="BA229" i="19" s="1"/>
  <c r="AO229" i="19"/>
  <c r="AY229" i="19" s="1"/>
  <c r="AO54" i="19"/>
  <c r="AS54" i="19"/>
  <c r="AO332" i="19"/>
  <c r="AY332" i="19" s="1"/>
  <c r="AS332" i="19"/>
  <c r="BA332" i="19" s="1"/>
  <c r="AO348" i="19"/>
  <c r="AY348" i="19" s="1"/>
  <c r="AS348" i="19"/>
  <c r="BA348" i="19" s="1"/>
  <c r="AO171" i="19"/>
  <c r="AY171" i="19" s="1"/>
  <c r="AS171" i="19"/>
  <c r="BA171" i="19" s="1"/>
  <c r="AS271" i="19"/>
  <c r="BA271" i="19" s="1"/>
  <c r="AO271" i="19"/>
  <c r="AY271" i="19" s="1"/>
  <c r="AS369" i="19"/>
  <c r="BA369" i="19" s="1"/>
  <c r="AO369" i="19"/>
  <c r="AY369" i="19" s="1"/>
  <c r="AO35" i="19"/>
  <c r="AS35" i="19"/>
  <c r="AO276" i="19"/>
  <c r="AS276" i="19"/>
  <c r="AS267" i="19"/>
  <c r="AO267" i="19"/>
  <c r="AO50" i="19"/>
  <c r="AY50" i="19" s="1"/>
  <c r="AS50" i="19"/>
  <c r="BA50" i="19" s="1"/>
  <c r="AO358" i="19"/>
  <c r="AY358" i="19" s="1"/>
  <c r="AS358" i="19"/>
  <c r="BA358" i="19" s="1"/>
  <c r="AO142" i="19"/>
  <c r="AY142" i="19" s="1"/>
  <c r="AS142" i="19"/>
  <c r="BA142" i="19" s="1"/>
  <c r="AO350" i="19"/>
  <c r="AY350" i="19" s="1"/>
  <c r="AS350" i="19"/>
  <c r="BA350" i="19" s="1"/>
  <c r="AO117" i="19"/>
  <c r="AY117" i="19" s="1"/>
  <c r="AS117" i="19"/>
  <c r="BA117" i="19" s="1"/>
  <c r="AO30" i="19"/>
  <c r="AY30" i="19" s="1"/>
  <c r="AS30" i="19"/>
  <c r="BA30" i="19" s="1"/>
  <c r="AS289" i="19"/>
  <c r="BA289" i="19" s="1"/>
  <c r="AO289" i="19"/>
  <c r="AY289" i="19" s="1"/>
  <c r="AK74" i="19"/>
  <c r="AO76" i="19"/>
  <c r="AS76" i="19"/>
  <c r="AO107" i="19"/>
  <c r="AY107" i="19" s="1"/>
  <c r="AS107" i="19"/>
  <c r="BA107" i="19" s="1"/>
  <c r="AS216" i="19"/>
  <c r="AO216" i="19"/>
  <c r="AS299" i="19"/>
  <c r="BA299" i="19" s="1"/>
  <c r="AO299" i="19"/>
  <c r="AY299" i="19" s="1"/>
  <c r="AK315" i="19"/>
  <c r="AS317" i="19"/>
  <c r="AO317" i="19"/>
  <c r="AS262" i="19"/>
  <c r="BA262" i="19" s="1"/>
  <c r="AO262" i="19"/>
  <c r="AY262" i="19" s="1"/>
  <c r="AS151" i="19"/>
  <c r="BA151" i="19" s="1"/>
  <c r="AO151" i="19"/>
  <c r="AY151" i="19" s="1"/>
  <c r="AS244" i="19"/>
  <c r="AO244" i="19"/>
  <c r="AO98" i="19"/>
  <c r="AY98" i="19" s="1"/>
  <c r="AS98" i="19"/>
  <c r="BA98" i="19" s="1"/>
  <c r="AS213" i="19"/>
  <c r="BA213" i="19" s="1"/>
  <c r="AO213" i="19"/>
  <c r="AY213" i="19" s="1"/>
  <c r="AS204" i="19"/>
  <c r="BA204" i="19" s="1"/>
  <c r="AO204" i="19"/>
  <c r="AY204" i="19" s="1"/>
  <c r="AO122" i="19"/>
  <c r="AS122" i="19"/>
  <c r="AS248" i="19"/>
  <c r="BA248" i="19" s="1"/>
  <c r="AO248" i="19"/>
  <c r="AY248" i="19" s="1"/>
  <c r="AS258" i="19"/>
  <c r="AO258" i="19"/>
  <c r="AK256" i="19"/>
  <c r="AO48" i="19"/>
  <c r="AY48" i="19" s="1"/>
  <c r="AS48" i="19"/>
  <c r="BA48" i="19" s="1"/>
  <c r="AS360" i="19"/>
  <c r="BA360" i="19" s="1"/>
  <c r="AO360" i="19"/>
  <c r="AY360" i="19" s="1"/>
  <c r="AS144" i="19"/>
  <c r="BA144" i="19" s="1"/>
  <c r="AO144" i="19"/>
  <c r="AY144" i="19" s="1"/>
  <c r="AS339" i="19"/>
  <c r="BA339" i="19" s="1"/>
  <c r="AO339" i="19"/>
  <c r="AY339" i="19" s="1"/>
  <c r="AO126" i="19"/>
  <c r="AY126" i="19" s="1"/>
  <c r="AS126" i="19"/>
  <c r="BA126" i="19" s="1"/>
  <c r="AS21" i="19"/>
  <c r="BA21" i="19" s="1"/>
  <c r="AO21" i="19"/>
  <c r="AY21" i="19" s="1"/>
  <c r="AS280" i="19"/>
  <c r="BA280" i="19" s="1"/>
  <c r="AO280" i="19"/>
  <c r="AY280" i="19" s="1"/>
  <c r="AO80" i="19"/>
  <c r="AY80" i="19" s="1"/>
  <c r="AS80" i="19"/>
  <c r="BA80" i="19" s="1"/>
  <c r="AS103" i="19"/>
  <c r="AO103" i="19"/>
  <c r="AO165" i="19"/>
  <c r="AS165" i="19"/>
  <c r="AS295" i="19"/>
  <c r="AO295" i="19"/>
  <c r="AS326" i="19"/>
  <c r="AO326" i="19"/>
  <c r="AK15" i="19"/>
  <c r="AS17" i="19"/>
  <c r="AO17" i="19"/>
  <c r="AS323" i="19"/>
  <c r="BA323" i="19" s="1"/>
  <c r="AO323" i="19"/>
  <c r="AY323" i="19" s="1"/>
  <c r="AO211" i="19"/>
  <c r="AY211" i="19" s="1"/>
  <c r="AS211" i="19"/>
  <c r="BA211" i="19" s="1"/>
  <c r="AS354" i="19"/>
  <c r="AO354" i="19"/>
  <c r="AS344" i="19"/>
  <c r="AO344" i="19"/>
  <c r="AO179" i="19"/>
  <c r="AY179" i="19" s="1"/>
  <c r="AS179" i="19"/>
  <c r="BA179" i="19" s="1"/>
  <c r="AS85" i="19"/>
  <c r="AO85" i="19"/>
  <c r="AO160" i="19"/>
  <c r="AY160" i="19" s="1"/>
  <c r="AS160" i="19"/>
  <c r="BA160" i="19" s="1"/>
  <c r="AO225" i="19"/>
  <c r="AS225" i="19"/>
  <c r="AO67" i="19"/>
  <c r="AY67" i="19" s="1"/>
  <c r="AS67" i="19"/>
  <c r="BA67" i="19" s="1"/>
  <c r="AS330" i="19"/>
  <c r="BA330" i="19" s="1"/>
  <c r="AO330" i="19"/>
  <c r="AY330" i="19" s="1"/>
  <c r="AO273" i="19"/>
  <c r="AY273" i="19" s="1"/>
  <c r="AS273" i="19"/>
  <c r="BA273" i="19" s="1"/>
  <c r="AS44" i="19"/>
  <c r="AO44" i="19"/>
  <c r="AO207" i="19"/>
  <c r="AS207" i="19"/>
  <c r="AS147" i="19"/>
  <c r="AO147" i="19"/>
  <c r="AS335" i="19"/>
  <c r="AO335" i="19"/>
  <c r="AO175" i="19"/>
  <c r="AS175" i="19"/>
  <c r="AO32" i="19"/>
  <c r="AY32" i="19" s="1"/>
  <c r="AS32" i="19"/>
  <c r="BA32" i="19" s="1"/>
  <c r="AS285" i="19"/>
  <c r="AO285" i="19"/>
  <c r="AO250" i="19"/>
  <c r="AY250" i="19" s="1"/>
  <c r="AS250" i="19"/>
  <c r="BA250" i="19" s="1"/>
  <c r="AS109" i="19"/>
  <c r="BA109" i="19" s="1"/>
  <c r="AO109" i="19"/>
  <c r="AY109" i="19" s="1"/>
  <c r="AS169" i="19"/>
  <c r="BA169" i="19" s="1"/>
  <c r="AO169" i="19"/>
  <c r="AY169" i="19" s="1"/>
  <c r="AS60" i="19"/>
  <c r="BA60" i="19" s="1"/>
  <c r="AO60" i="19"/>
  <c r="AY60" i="19" s="1"/>
  <c r="AS301" i="19"/>
  <c r="BA301" i="19" s="1"/>
  <c r="AO301" i="19"/>
  <c r="AY301" i="19" s="1"/>
  <c r="AS321" i="19"/>
  <c r="BA321" i="19" s="1"/>
  <c r="AO321" i="19"/>
  <c r="AY321" i="19" s="1"/>
  <c r="AG17" i="18"/>
  <c r="AH17" i="18" s="1"/>
  <c r="AI17" i="18"/>
  <c r="AJ17" i="18" s="1"/>
  <c r="AG18" i="18"/>
  <c r="AH18" i="18" s="1"/>
  <c r="AI18" i="18"/>
  <c r="AJ18" i="18" s="1"/>
  <c r="AE18" i="18"/>
  <c r="AF18" i="18" s="1"/>
  <c r="AA19" i="18"/>
  <c r="Z19" i="18"/>
  <c r="AB18" i="18"/>
  <c r="AF17" i="18"/>
  <c r="R21" i="18"/>
  <c r="S21" i="18" s="1"/>
  <c r="T21" i="18"/>
  <c r="U21" i="18" s="1"/>
  <c r="K22" i="18"/>
  <c r="O22" i="18" s="1"/>
  <c r="L21" i="18"/>
  <c r="P21" i="18" s="1"/>
  <c r="P20" i="18"/>
  <c r="M20" i="18"/>
  <c r="Q21" i="18" l="1"/>
  <c r="AA20" i="18"/>
  <c r="AE20" i="18" s="1"/>
  <c r="Z20" i="18"/>
  <c r="AD20" i="18" s="1"/>
  <c r="AB19" i="18"/>
  <c r="Q20" i="18"/>
  <c r="AD19" i="18"/>
  <c r="AE19" i="18"/>
  <c r="R22" i="18"/>
  <c r="S22" i="18" s="1"/>
  <c r="T22" i="18"/>
  <c r="U22" i="18" s="1"/>
  <c r="K23" i="18"/>
  <c r="O23" i="18" s="1"/>
  <c r="L22" i="18"/>
  <c r="M21" i="18"/>
  <c r="AG19" i="18" l="1"/>
  <c r="AH19" i="18" s="1"/>
  <c r="AI19" i="18"/>
  <c r="AJ19" i="18" s="1"/>
  <c r="AG20" i="18"/>
  <c r="AH20" i="18" s="1"/>
  <c r="AI20" i="18"/>
  <c r="AJ20" i="18" s="1"/>
  <c r="AF20" i="18"/>
  <c r="AA21" i="18"/>
  <c r="AE21" i="18" s="1"/>
  <c r="AB20" i="18"/>
  <c r="Z21" i="18"/>
  <c r="AD21" i="18" s="1"/>
  <c r="AF19" i="18"/>
  <c r="R23" i="18"/>
  <c r="S23" i="18" s="1"/>
  <c r="T23" i="18"/>
  <c r="U23" i="18" s="1"/>
  <c r="K24" i="18"/>
  <c r="K25" i="18" s="1"/>
  <c r="L23" i="18"/>
  <c r="P22" i="18"/>
  <c r="M22" i="18"/>
  <c r="AG21" i="18" l="1"/>
  <c r="AH21" i="18" s="1"/>
  <c r="AI21" i="18"/>
  <c r="AJ21" i="18" s="1"/>
  <c r="AF21" i="18"/>
  <c r="Z22" i="18"/>
  <c r="AD22" i="18" s="1"/>
  <c r="AB21" i="18"/>
  <c r="AA22" i="18"/>
  <c r="Q22" i="18"/>
  <c r="O24" i="18"/>
  <c r="L24" i="18"/>
  <c r="P23" i="18"/>
  <c r="O25" i="18"/>
  <c r="K26" i="18"/>
  <c r="M23" i="18"/>
  <c r="AG22" i="18" l="1"/>
  <c r="AH22" i="18" s="1"/>
  <c r="AI22" i="18"/>
  <c r="AJ22" i="18" s="1"/>
  <c r="Q23" i="18"/>
  <c r="AA23" i="18"/>
  <c r="AB22" i="18"/>
  <c r="Z23" i="18"/>
  <c r="AD23" i="18" s="1"/>
  <c r="AE22" i="18"/>
  <c r="AF22" i="18" s="1"/>
  <c r="R25" i="18"/>
  <c r="S25" i="18" s="1"/>
  <c r="T25" i="18"/>
  <c r="U25" i="18" s="1"/>
  <c r="R24" i="18"/>
  <c r="S24" i="18" s="1"/>
  <c r="T24" i="18"/>
  <c r="U24" i="18" s="1"/>
  <c r="L25" i="18"/>
  <c r="P24" i="18"/>
  <c r="O26" i="18"/>
  <c r="K27" i="18"/>
  <c r="M24" i="18"/>
  <c r="AG23" i="18" l="1"/>
  <c r="AH23" i="18" s="1"/>
  <c r="AI23" i="18"/>
  <c r="AJ23" i="18" s="1"/>
  <c r="AA24" i="18"/>
  <c r="Z24" i="18"/>
  <c r="AD24" i="18" s="1"/>
  <c r="AB23" i="18"/>
  <c r="Q24" i="18"/>
  <c r="AE23" i="18"/>
  <c r="AF23" i="18" s="1"/>
  <c r="R26" i="18"/>
  <c r="S26" i="18" s="1"/>
  <c r="T26" i="18"/>
  <c r="U26" i="18" s="1"/>
  <c r="L26" i="18"/>
  <c r="P26" i="18" s="1"/>
  <c r="P25" i="18"/>
  <c r="O27" i="18"/>
  <c r="K28" i="18"/>
  <c r="M25" i="18"/>
  <c r="AG24" i="18" l="1"/>
  <c r="AH24" i="18" s="1"/>
  <c r="AI24" i="18"/>
  <c r="AJ24" i="18" s="1"/>
  <c r="Q25" i="18"/>
  <c r="Q26" i="18"/>
  <c r="AB24" i="18"/>
  <c r="AA25" i="18"/>
  <c r="Z25" i="18"/>
  <c r="AD25" i="18" s="1"/>
  <c r="AE24" i="18"/>
  <c r="AF24" i="18" s="1"/>
  <c r="R27" i="18"/>
  <c r="S27" i="18" s="1"/>
  <c r="T27" i="18"/>
  <c r="U27" i="18" s="1"/>
  <c r="L27" i="18"/>
  <c r="P27" i="18" s="1"/>
  <c r="O28" i="18"/>
  <c r="K29" i="18"/>
  <c r="M26" i="18"/>
  <c r="AG25" i="18" l="1"/>
  <c r="AH25" i="18" s="1"/>
  <c r="AI25" i="18"/>
  <c r="AJ25" i="18" s="1"/>
  <c r="Q27" i="18"/>
  <c r="AA26" i="18"/>
  <c r="Z26" i="18"/>
  <c r="AD26" i="18" s="1"/>
  <c r="AB25" i="18"/>
  <c r="AE25" i="18"/>
  <c r="AF25" i="18" s="1"/>
  <c r="R28" i="18"/>
  <c r="S28" i="18" s="1"/>
  <c r="T28" i="18"/>
  <c r="U28" i="18" s="1"/>
  <c r="L28" i="18"/>
  <c r="O29" i="18"/>
  <c r="K30" i="18"/>
  <c r="M27" i="18"/>
  <c r="AG26" i="18" l="1"/>
  <c r="AH26" i="18" s="1"/>
  <c r="AI26" i="18"/>
  <c r="AJ26" i="18" s="1"/>
  <c r="AA27" i="18"/>
  <c r="Z27" i="18"/>
  <c r="AD27" i="18" s="1"/>
  <c r="AB26" i="18"/>
  <c r="AE26" i="18"/>
  <c r="AF26" i="18" s="1"/>
  <c r="R29" i="18"/>
  <c r="S29" i="18" s="1"/>
  <c r="T29" i="18"/>
  <c r="U29" i="18" s="1"/>
  <c r="L29" i="18"/>
  <c r="P28" i="18"/>
  <c r="O30" i="18"/>
  <c r="K31" i="18"/>
  <c r="M28" i="18"/>
  <c r="AG27" i="18" l="1"/>
  <c r="AH27" i="18" s="1"/>
  <c r="AI27" i="18"/>
  <c r="AJ27" i="18" s="1"/>
  <c r="AE27" i="18"/>
  <c r="AF27" i="18" s="1"/>
  <c r="Q28" i="18"/>
  <c r="Z28" i="18"/>
  <c r="AB27" i="18"/>
  <c r="AA28" i="18"/>
  <c r="AE28" i="18" s="1"/>
  <c r="R30" i="18"/>
  <c r="S30" i="18" s="1"/>
  <c r="T30" i="18"/>
  <c r="U30" i="18" s="1"/>
  <c r="L30" i="18"/>
  <c r="P29" i="18"/>
  <c r="O31" i="18"/>
  <c r="K32" i="18"/>
  <c r="M29" i="18"/>
  <c r="Q29" i="18" l="1"/>
  <c r="AA29" i="18"/>
  <c r="AE29" i="18" s="1"/>
  <c r="Z29" i="18"/>
  <c r="AD29" i="18" s="1"/>
  <c r="AB28" i="18"/>
  <c r="AD28" i="18"/>
  <c r="R31" i="18"/>
  <c r="S31" i="18" s="1"/>
  <c r="T31" i="18"/>
  <c r="U31" i="18" s="1"/>
  <c r="L31" i="18"/>
  <c r="P30" i="18"/>
  <c r="O32" i="18"/>
  <c r="K33" i="18"/>
  <c r="M30" i="18"/>
  <c r="AG28" i="18" l="1"/>
  <c r="AH28" i="18" s="1"/>
  <c r="AI28" i="18"/>
  <c r="AJ28" i="18" s="1"/>
  <c r="AG29" i="18"/>
  <c r="AH29" i="18" s="1"/>
  <c r="AI29" i="18"/>
  <c r="AJ29" i="18" s="1"/>
  <c r="AF29" i="18"/>
  <c r="AF28" i="18"/>
  <c r="Q30" i="18"/>
  <c r="Z30" i="18"/>
  <c r="AD30" i="18" s="1"/>
  <c r="AB29" i="18"/>
  <c r="AA30" i="18"/>
  <c r="AE30" i="18" s="1"/>
  <c r="R32" i="18"/>
  <c r="S32" i="18" s="1"/>
  <c r="T32" i="18"/>
  <c r="U32" i="18" s="1"/>
  <c r="L32" i="18"/>
  <c r="P31" i="18"/>
  <c r="O33" i="18"/>
  <c r="K34" i="18"/>
  <c r="M31" i="18"/>
  <c r="AG30" i="18" l="1"/>
  <c r="AH30" i="18" s="1"/>
  <c r="AI30" i="18"/>
  <c r="AJ30" i="18" s="1"/>
  <c r="AF30" i="18"/>
  <c r="Q31" i="18"/>
  <c r="AA31" i="18"/>
  <c r="AE31" i="18" s="1"/>
  <c r="AB30" i="18"/>
  <c r="Z31" i="18"/>
  <c r="AD31" i="18" s="1"/>
  <c r="R33" i="18"/>
  <c r="S33" i="18" s="1"/>
  <c r="T33" i="18"/>
  <c r="U33" i="18" s="1"/>
  <c r="L33" i="18"/>
  <c r="P33" i="18" s="1"/>
  <c r="P32" i="18"/>
  <c r="O34" i="18"/>
  <c r="K35" i="18"/>
  <c r="M32" i="18"/>
  <c r="AG31" i="18" l="1"/>
  <c r="AH31" i="18" s="1"/>
  <c r="AI31" i="18"/>
  <c r="AJ31" i="18" s="1"/>
  <c r="AF31" i="18"/>
  <c r="Q33" i="18"/>
  <c r="Q32" i="18"/>
  <c r="AA32" i="18"/>
  <c r="AE32" i="18" s="1"/>
  <c r="Z32" i="18"/>
  <c r="AD32" i="18" s="1"/>
  <c r="AB31" i="18"/>
  <c r="R34" i="18"/>
  <c r="S34" i="18" s="1"/>
  <c r="T34" i="18"/>
  <c r="U34" i="18" s="1"/>
  <c r="L34" i="18"/>
  <c r="P34" i="18" s="1"/>
  <c r="O35" i="18"/>
  <c r="K36" i="18"/>
  <c r="M33" i="18"/>
  <c r="AG32" i="18" l="1"/>
  <c r="AH32" i="18" s="1"/>
  <c r="AI32" i="18"/>
  <c r="AJ32" i="18" s="1"/>
  <c r="Q34" i="18"/>
  <c r="AF32" i="18"/>
  <c r="AB32" i="18"/>
  <c r="AA33" i="18"/>
  <c r="Z33" i="18"/>
  <c r="R35" i="18"/>
  <c r="S35" i="18" s="1"/>
  <c r="T35" i="18"/>
  <c r="U35" i="18" s="1"/>
  <c r="L35" i="18"/>
  <c r="P35" i="18" s="1"/>
  <c r="O36" i="18"/>
  <c r="K37" i="18"/>
  <c r="M34" i="18"/>
  <c r="Q35" i="18" l="1"/>
  <c r="Z34" i="18"/>
  <c r="AD34" i="18" s="1"/>
  <c r="AA34" i="18"/>
  <c r="AB33" i="18"/>
  <c r="AE33" i="18"/>
  <c r="AD33" i="18"/>
  <c r="R36" i="18"/>
  <c r="S36" i="18" s="1"/>
  <c r="T36" i="18"/>
  <c r="U36" i="18" s="1"/>
  <c r="L36" i="18"/>
  <c r="O37" i="18"/>
  <c r="K38" i="18"/>
  <c r="O38" i="18" s="1"/>
  <c r="M35" i="18"/>
  <c r="AG33" i="18" l="1"/>
  <c r="AH33" i="18" s="1"/>
  <c r="AI33" i="18"/>
  <c r="AJ33" i="18" s="1"/>
  <c r="AG34" i="18"/>
  <c r="AH34" i="18" s="1"/>
  <c r="AI34" i="18"/>
  <c r="AJ34" i="18" s="1"/>
  <c r="AA35" i="18"/>
  <c r="AE35" i="18" s="1"/>
  <c r="Z35" i="18"/>
  <c r="AD35" i="18" s="1"/>
  <c r="AB34" i="18"/>
  <c r="AF33" i="18"/>
  <c r="AE34" i="18"/>
  <c r="AF34" i="18" s="1"/>
  <c r="R38" i="18"/>
  <c r="S38" i="18" s="1"/>
  <c r="T38" i="18"/>
  <c r="U38" i="18" s="1"/>
  <c r="R37" i="18"/>
  <c r="S37" i="18" s="1"/>
  <c r="T37" i="18"/>
  <c r="U37" i="18" s="1"/>
  <c r="L37" i="18"/>
  <c r="P36" i="18"/>
  <c r="K39" i="18"/>
  <c r="M36" i="18"/>
  <c r="AG35" i="18" l="1"/>
  <c r="AH35" i="18" s="1"/>
  <c r="AI35" i="18"/>
  <c r="AJ35" i="18" s="1"/>
  <c r="AF35" i="18"/>
  <c r="Z36" i="18"/>
  <c r="AD36" i="18" s="1"/>
  <c r="AA36" i="18"/>
  <c r="AE36" i="18" s="1"/>
  <c r="AB35" i="18"/>
  <c r="Q36" i="18"/>
  <c r="L38" i="18"/>
  <c r="P37" i="18"/>
  <c r="O39" i="18"/>
  <c r="K40" i="18"/>
  <c r="O40" i="18" s="1"/>
  <c r="M37" i="18"/>
  <c r="AG36" i="18" l="1"/>
  <c r="AH36" i="18" s="1"/>
  <c r="AI36" i="18"/>
  <c r="AJ36" i="18" s="1"/>
  <c r="AF36" i="18"/>
  <c r="Q37" i="18"/>
  <c r="AA37" i="18"/>
  <c r="AE37" i="18" s="1"/>
  <c r="Z37" i="18"/>
  <c r="AD37" i="18" s="1"/>
  <c r="AB36" i="18"/>
  <c r="R40" i="18"/>
  <c r="S40" i="18" s="1"/>
  <c r="T40" i="18"/>
  <c r="U40" i="18" s="1"/>
  <c r="R39" i="18"/>
  <c r="S39" i="18" s="1"/>
  <c r="T39" i="18"/>
  <c r="U39" i="18" s="1"/>
  <c r="L39" i="18"/>
  <c r="P38" i="18"/>
  <c r="K41" i="18"/>
  <c r="O41" i="18" s="1"/>
  <c r="M38" i="18"/>
  <c r="AG37" i="18" l="1"/>
  <c r="AH37" i="18" s="1"/>
  <c r="AI37" i="18"/>
  <c r="AJ37" i="18" s="1"/>
  <c r="Q38" i="18"/>
  <c r="AF37" i="18"/>
  <c r="Z38" i="18"/>
  <c r="AB37" i="18"/>
  <c r="AA38" i="18"/>
  <c r="R41" i="18"/>
  <c r="S41" i="18" s="1"/>
  <c r="T41" i="18"/>
  <c r="U41" i="18" s="1"/>
  <c r="L40" i="18"/>
  <c r="P40" i="18" s="1"/>
  <c r="P39" i="18"/>
  <c r="K42" i="18"/>
  <c r="O42" i="18" s="1"/>
  <c r="M39" i="18"/>
  <c r="Q40" i="18" l="1"/>
  <c r="Q39" i="18"/>
  <c r="AB38" i="18"/>
  <c r="AA39" i="18"/>
  <c r="AE39" i="18" s="1"/>
  <c r="Z39" i="18"/>
  <c r="AD39" i="18" s="1"/>
  <c r="AD38" i="18"/>
  <c r="AE38" i="18"/>
  <c r="R42" i="18"/>
  <c r="S42" i="18" s="1"/>
  <c r="T42" i="18"/>
  <c r="U42" i="18" s="1"/>
  <c r="L41" i="18"/>
  <c r="K43" i="18"/>
  <c r="M40" i="18"/>
  <c r="AG39" i="18" l="1"/>
  <c r="AH39" i="18" s="1"/>
  <c r="AI39" i="18"/>
  <c r="AJ39" i="18" s="1"/>
  <c r="AG38" i="18"/>
  <c r="AH38" i="18" s="1"/>
  <c r="AI38" i="18"/>
  <c r="AJ38" i="18" s="1"/>
  <c r="AF39" i="18"/>
  <c r="AF38" i="18"/>
  <c r="AA40" i="18"/>
  <c r="Z40" i="18"/>
  <c r="AD40" i="18" s="1"/>
  <c r="AB39" i="18"/>
  <c r="L42" i="18"/>
  <c r="P41" i="18"/>
  <c r="O43" i="18"/>
  <c r="K44" i="18"/>
  <c r="O44" i="18" s="1"/>
  <c r="M41" i="18"/>
  <c r="AG40" i="18" l="1"/>
  <c r="AH40" i="18" s="1"/>
  <c r="AI40" i="18"/>
  <c r="AJ40" i="18" s="1"/>
  <c r="Q41" i="18"/>
  <c r="AE40" i="18"/>
  <c r="AF40" i="18" s="1"/>
  <c r="AB40" i="18"/>
  <c r="AA41" i="18"/>
  <c r="Z41" i="18"/>
  <c r="AD41" i="18" s="1"/>
  <c r="R44" i="18"/>
  <c r="S44" i="18" s="1"/>
  <c r="T44" i="18"/>
  <c r="U44" i="18" s="1"/>
  <c r="R43" i="18"/>
  <c r="S43" i="18" s="1"/>
  <c r="T43" i="18"/>
  <c r="U43" i="18" s="1"/>
  <c r="L43" i="18"/>
  <c r="P42" i="18"/>
  <c r="K45" i="18"/>
  <c r="M42" i="18"/>
  <c r="AG41" i="18" l="1"/>
  <c r="AH41" i="18" s="1"/>
  <c r="AI41" i="18"/>
  <c r="AJ41" i="18" s="1"/>
  <c r="Z42" i="18"/>
  <c r="AA42" i="18"/>
  <c r="AB41" i="18"/>
  <c r="Q42" i="18"/>
  <c r="AE41" i="18"/>
  <c r="AF41" i="18" s="1"/>
  <c r="L44" i="18"/>
  <c r="P43" i="18"/>
  <c r="O45" i="18"/>
  <c r="K46" i="18"/>
  <c r="O46" i="18" s="1"/>
  <c r="M43" i="18"/>
  <c r="Q43" i="18" l="1"/>
  <c r="AA43" i="18"/>
  <c r="AE43" i="18" s="1"/>
  <c r="Z43" i="18"/>
  <c r="AD43" i="18" s="1"/>
  <c r="AB42" i="18"/>
  <c r="AD42" i="18"/>
  <c r="AE42" i="18"/>
  <c r="R46" i="18"/>
  <c r="S46" i="18" s="1"/>
  <c r="T46" i="18"/>
  <c r="U46" i="18" s="1"/>
  <c r="R45" i="18"/>
  <c r="S45" i="18" s="1"/>
  <c r="T45" i="18"/>
  <c r="U45" i="18" s="1"/>
  <c r="L45" i="18"/>
  <c r="P44" i="18"/>
  <c r="K47" i="18"/>
  <c r="O47" i="18" s="1"/>
  <c r="M44" i="18"/>
  <c r="AG43" i="18" l="1"/>
  <c r="AH43" i="18" s="1"/>
  <c r="AI43" i="18"/>
  <c r="AJ43" i="18" s="1"/>
  <c r="AG42" i="18"/>
  <c r="AH42" i="18" s="1"/>
  <c r="AI42" i="18"/>
  <c r="AJ42" i="18" s="1"/>
  <c r="AF42" i="18"/>
  <c r="Z44" i="18"/>
  <c r="AA44" i="18"/>
  <c r="AE44" i="18" s="1"/>
  <c r="AB43" i="18"/>
  <c r="AF43" i="18"/>
  <c r="Q44" i="18"/>
  <c r="R47" i="18"/>
  <c r="S47" i="18" s="1"/>
  <c r="T47" i="18"/>
  <c r="U47" i="18" s="1"/>
  <c r="L46" i="18"/>
  <c r="P45" i="18"/>
  <c r="K48" i="18"/>
  <c r="M45" i="18"/>
  <c r="AB44" i="18" l="1"/>
  <c r="AA45" i="18"/>
  <c r="Z45" i="18"/>
  <c r="AD44" i="18"/>
  <c r="Q45" i="18"/>
  <c r="L47" i="18"/>
  <c r="P46" i="18"/>
  <c r="O48" i="18"/>
  <c r="K49" i="18"/>
  <c r="M46" i="18"/>
  <c r="AG44" i="18" l="1"/>
  <c r="AH44" i="18" s="1"/>
  <c r="AI44" i="18"/>
  <c r="AJ44" i="18" s="1"/>
  <c r="AF44" i="18"/>
  <c r="Z46" i="18"/>
  <c r="AD46" i="18" s="1"/>
  <c r="AB45" i="18"/>
  <c r="AA46" i="18"/>
  <c r="AD45" i="18"/>
  <c r="Q46" i="18"/>
  <c r="AE45" i="18"/>
  <c r="R48" i="18"/>
  <c r="S48" i="18" s="1"/>
  <c r="T48" i="18"/>
  <c r="U48" i="18" s="1"/>
  <c r="L48" i="18"/>
  <c r="P47" i="18"/>
  <c r="O49" i="18"/>
  <c r="K50" i="18"/>
  <c r="M47" i="18"/>
  <c r="AG46" i="18" l="1"/>
  <c r="AH46" i="18" s="1"/>
  <c r="AI46" i="18"/>
  <c r="AJ46" i="18" s="1"/>
  <c r="AG45" i="18"/>
  <c r="AH45" i="18" s="1"/>
  <c r="AI45" i="18"/>
  <c r="AJ45" i="18" s="1"/>
  <c r="AA47" i="18"/>
  <c r="AB46" i="18"/>
  <c r="Z47" i="18"/>
  <c r="AF45" i="18"/>
  <c r="Q47" i="18"/>
  <c r="AE46" i="18"/>
  <c r="AF46" i="18" s="1"/>
  <c r="R49" i="18"/>
  <c r="S49" i="18" s="1"/>
  <c r="T49" i="18"/>
  <c r="U49" i="18" s="1"/>
  <c r="L49" i="18"/>
  <c r="P48" i="18"/>
  <c r="O50" i="18"/>
  <c r="K51" i="18"/>
  <c r="O51" i="18" s="1"/>
  <c r="M48" i="18"/>
  <c r="AA48" i="18" l="1"/>
  <c r="AE48" i="18" s="1"/>
  <c r="Z48" i="18"/>
  <c r="AD48" i="18" s="1"/>
  <c r="AB47" i="18"/>
  <c r="Q48" i="18"/>
  <c r="AD47" i="18"/>
  <c r="AE47" i="18"/>
  <c r="R51" i="18"/>
  <c r="S51" i="18" s="1"/>
  <c r="T51" i="18"/>
  <c r="U51" i="18" s="1"/>
  <c r="R50" i="18"/>
  <c r="S50" i="18" s="1"/>
  <c r="T50" i="18"/>
  <c r="U50" i="18" s="1"/>
  <c r="L50" i="18"/>
  <c r="P49" i="18"/>
  <c r="M49" i="18"/>
  <c r="AG47" i="18" l="1"/>
  <c r="AH47" i="18" s="1"/>
  <c r="AI47" i="18"/>
  <c r="AJ47" i="18" s="1"/>
  <c r="AG48" i="18"/>
  <c r="AH48" i="18" s="1"/>
  <c r="AI48" i="18"/>
  <c r="AJ48" i="18" s="1"/>
  <c r="Q49" i="18"/>
  <c r="AF47" i="18"/>
  <c r="AF48" i="18"/>
  <c r="AB48" i="18"/>
  <c r="AA49" i="18"/>
  <c r="AE49" i="18" s="1"/>
  <c r="Z49" i="18"/>
  <c r="AD49" i="18" s="1"/>
  <c r="U11" i="18"/>
  <c r="D4" i="18" s="1"/>
  <c r="S11" i="18"/>
  <c r="C4" i="18" s="1"/>
  <c r="L51" i="18"/>
  <c r="P51" i="18" s="1"/>
  <c r="P50" i="18"/>
  <c r="M50" i="18"/>
  <c r="AU317" i="19" l="1"/>
  <c r="AY317" i="19" s="1"/>
  <c r="AU326" i="19"/>
  <c r="AY326" i="19" s="1"/>
  <c r="AW317" i="19"/>
  <c r="BA317" i="19" s="1"/>
  <c r="AW326" i="19"/>
  <c r="BA326" i="19" s="1"/>
  <c r="AU267" i="19"/>
  <c r="AY267" i="19" s="1"/>
  <c r="AU258" i="19"/>
  <c r="AY258" i="19" s="1"/>
  <c r="AW267" i="19"/>
  <c r="BA267" i="19" s="1"/>
  <c r="AW258" i="19"/>
  <c r="BA258" i="19" s="1"/>
  <c r="AU207" i="19"/>
  <c r="AY207" i="19" s="1"/>
  <c r="AU198" i="19"/>
  <c r="AY198" i="19" s="1"/>
  <c r="AW207" i="19"/>
  <c r="BA207" i="19" s="1"/>
  <c r="AW198" i="19"/>
  <c r="BA198" i="19" s="1"/>
  <c r="AU76" i="19"/>
  <c r="AY76" i="19" s="1"/>
  <c r="AU138" i="19"/>
  <c r="AY138" i="19" s="1"/>
  <c r="AU147" i="19"/>
  <c r="AY147" i="19" s="1"/>
  <c r="AW138" i="19"/>
  <c r="BA138" i="19" s="1"/>
  <c r="AW147" i="19"/>
  <c r="BA147" i="19" s="1"/>
  <c r="AU85" i="19"/>
  <c r="AY85" i="19" s="1"/>
  <c r="AW85" i="19"/>
  <c r="BA85" i="19" s="1"/>
  <c r="AW76" i="19"/>
  <c r="BA76" i="19" s="1"/>
  <c r="AW17" i="19"/>
  <c r="BA17" i="19" s="1"/>
  <c r="AW26" i="19"/>
  <c r="BA26" i="19" s="1"/>
  <c r="AU17" i="19"/>
  <c r="AY17" i="19" s="1"/>
  <c r="AU26" i="19"/>
  <c r="AY26" i="19" s="1"/>
  <c r="AG49" i="18"/>
  <c r="AH49" i="18" s="1"/>
  <c r="AI49" i="18"/>
  <c r="AJ49" i="18" s="1"/>
  <c r="AF49" i="18"/>
  <c r="Q51" i="18"/>
  <c r="AA50" i="18"/>
  <c r="AE50" i="18" s="1"/>
  <c r="Z50" i="18"/>
  <c r="AB49" i="18"/>
  <c r="Q50" i="18"/>
  <c r="M51" i="18"/>
  <c r="AA51" i="18" l="1"/>
  <c r="AE51" i="18" s="1"/>
  <c r="Z51" i="18"/>
  <c r="AD51" i="18" s="1"/>
  <c r="AB50" i="18"/>
  <c r="AD50" i="18"/>
  <c r="AG50" i="18" l="1"/>
  <c r="AH50" i="18" s="1"/>
  <c r="AI50" i="18"/>
  <c r="AJ50" i="18" s="1"/>
  <c r="AG51" i="18"/>
  <c r="AH51" i="18" s="1"/>
  <c r="AI51" i="18"/>
  <c r="AJ51" i="18" s="1"/>
  <c r="AB51" i="18"/>
  <c r="AF50" i="18"/>
  <c r="AF51" i="18"/>
  <c r="AH11" i="18" l="1"/>
  <c r="C5" i="18" s="1"/>
  <c r="AJ11" i="18"/>
  <c r="D5" i="18" s="1"/>
  <c r="AU363" i="19" l="1"/>
  <c r="AY363" i="19" s="1"/>
  <c r="AU354" i="19"/>
  <c r="AY354" i="19" s="1"/>
  <c r="AU335" i="19"/>
  <c r="AY335" i="19" s="1"/>
  <c r="AU344" i="19"/>
  <c r="AY344" i="19" s="1"/>
  <c r="AW354" i="19"/>
  <c r="BA354" i="19" s="1"/>
  <c r="AW335" i="19"/>
  <c r="BA335" i="19" s="1"/>
  <c r="AW344" i="19"/>
  <c r="BA344" i="19" s="1"/>
  <c r="AW363" i="19"/>
  <c r="BA363" i="19" s="1"/>
  <c r="AW276" i="19"/>
  <c r="BA276" i="19" s="1"/>
  <c r="AW304" i="19"/>
  <c r="BA304" i="19" s="1"/>
  <c r="AW285" i="19"/>
  <c r="BA285" i="19" s="1"/>
  <c r="AW295" i="19"/>
  <c r="BA295" i="19" s="1"/>
  <c r="AU285" i="19"/>
  <c r="AY285" i="19" s="1"/>
  <c r="AU276" i="19"/>
  <c r="AY276" i="19" s="1"/>
  <c r="AU304" i="19"/>
  <c r="AY304" i="19" s="1"/>
  <c r="AU295" i="19"/>
  <c r="AY295" i="19" s="1"/>
  <c r="AW225" i="19"/>
  <c r="BA225" i="19" s="1"/>
  <c r="AW244" i="19"/>
  <c r="BA244" i="19" s="1"/>
  <c r="AW216" i="19"/>
  <c r="BA216" i="19" s="1"/>
  <c r="AW235" i="19"/>
  <c r="BA235" i="19" s="1"/>
  <c r="AU244" i="19"/>
  <c r="AY244" i="19" s="1"/>
  <c r="AU235" i="19"/>
  <c r="AY235" i="19" s="1"/>
  <c r="AU216" i="19"/>
  <c r="AY216" i="19" s="1"/>
  <c r="AU225" i="19"/>
  <c r="AY225" i="19" s="1"/>
  <c r="AW175" i="19"/>
  <c r="BA175" i="19" s="1"/>
  <c r="AW184" i="19"/>
  <c r="BA184" i="19" s="1"/>
  <c r="AW165" i="19"/>
  <c r="BA165" i="19" s="1"/>
  <c r="AW156" i="19"/>
  <c r="BA156" i="19" s="1"/>
  <c r="AU165" i="19"/>
  <c r="AY165" i="19" s="1"/>
  <c r="AU184" i="19"/>
  <c r="AY184" i="19" s="1"/>
  <c r="AU175" i="19"/>
  <c r="AY175" i="19" s="1"/>
  <c r="AU156" i="19"/>
  <c r="AY156" i="19" s="1"/>
  <c r="AU113" i="19"/>
  <c r="AY113" i="19" s="1"/>
  <c r="AU94" i="19"/>
  <c r="AY94" i="19" s="1"/>
  <c r="AU103" i="19"/>
  <c r="AY103" i="19" s="1"/>
  <c r="AU122" i="19"/>
  <c r="AY122" i="19" s="1"/>
  <c r="AW122" i="19"/>
  <c r="BA122" i="19" s="1"/>
  <c r="AW113" i="19"/>
  <c r="BA113" i="19" s="1"/>
  <c r="AW103" i="19"/>
  <c r="BA103" i="19" s="1"/>
  <c r="AW94" i="19"/>
  <c r="BA94" i="19" s="1"/>
  <c r="AU63" i="19"/>
  <c r="AY63" i="19" s="1"/>
  <c r="AW54" i="19"/>
  <c r="BA54" i="19" s="1"/>
  <c r="AW63" i="19"/>
  <c r="BA63" i="19" s="1"/>
  <c r="AU35" i="19"/>
  <c r="AY35" i="19" s="1"/>
  <c r="AU54" i="19"/>
  <c r="AY54" i="19" s="1"/>
  <c r="AW35" i="19"/>
  <c r="BA35" i="19" s="1"/>
  <c r="AW44" i="19"/>
  <c r="BA44" i="19" s="1"/>
  <c r="AU44" i="19"/>
  <c r="AY44" i="19" s="1"/>
  <c r="BA315" i="19" l="1"/>
  <c r="D10" i="19" s="1"/>
  <c r="AY136" i="19"/>
  <c r="C7" i="19" s="1"/>
  <c r="BA196" i="19"/>
  <c r="AY315" i="19"/>
  <c r="C10" i="19" s="1"/>
  <c r="AY256" i="19"/>
  <c r="C9" i="19" s="1"/>
  <c r="BA136" i="19"/>
  <c r="D7" i="19" s="1"/>
  <c r="BA256" i="19"/>
  <c r="D9" i="19" s="1"/>
  <c r="AY196" i="19"/>
  <c r="C8" i="19" s="1"/>
  <c r="BA74" i="19"/>
  <c r="D6" i="19" s="1"/>
  <c r="AY74" i="19"/>
  <c r="C6" i="19" s="1"/>
  <c r="BA15" i="19"/>
  <c r="D5" i="19" s="1"/>
  <c r="AY15" i="19"/>
  <c r="C5" i="19" s="1"/>
  <c r="O9" i="21" l="1"/>
  <c r="D23" i="21"/>
  <c r="D33" i="21"/>
  <c r="C32" i="21"/>
  <c r="C23" i="21"/>
  <c r="C22" i="21"/>
  <c r="D32" i="21"/>
  <c r="C33" i="21"/>
  <c r="C4" i="21"/>
  <c r="C15" i="21"/>
  <c r="C25" i="21"/>
  <c r="D15" i="21"/>
  <c r="D25" i="21"/>
  <c r="C14" i="21"/>
  <c r="C24" i="21"/>
  <c r="D14" i="21"/>
  <c r="D24" i="21"/>
  <c r="F4" i="21"/>
  <c r="C12" i="21"/>
  <c r="C13" i="21"/>
  <c r="D13" i="21"/>
  <c r="E4" i="21"/>
  <c r="G5" i="21"/>
  <c r="D11" i="21"/>
  <c r="G4" i="21"/>
  <c r="C11" i="21"/>
  <c r="H5" i="21"/>
  <c r="D10" i="21"/>
  <c r="H4" i="21"/>
  <c r="C10" i="21"/>
  <c r="D5" i="21"/>
  <c r="C5" i="21"/>
  <c r="D4" i="21"/>
  <c r="M10" i="14"/>
  <c r="G18" i="14"/>
  <c r="I10" i="14"/>
  <c r="C18" i="14"/>
  <c r="J10" i="14"/>
  <c r="D18" i="14"/>
  <c r="N10" i="14"/>
  <c r="H18" i="14"/>
  <c r="F10" i="14"/>
  <c r="F17" i="14"/>
  <c r="G10" i="14"/>
  <c r="G17" i="14"/>
  <c r="C10" i="14"/>
  <c r="C17" i="14"/>
  <c r="H10" i="14"/>
  <c r="H17" i="14"/>
  <c r="D10" i="14"/>
  <c r="D17" i="14"/>
  <c r="E10" i="14"/>
  <c r="E17" i="14"/>
  <c r="D8" i="19"/>
  <c r="E33" i="21" l="1"/>
  <c r="F33" i="21"/>
  <c r="D12" i="21"/>
  <c r="D22" i="21"/>
  <c r="F18" i="14"/>
  <c r="F5" i="21"/>
  <c r="E18" i="14"/>
  <c r="E5" i="21"/>
  <c r="L10" i="14"/>
  <c r="K10" i="14"/>
  <c r="G33" i="21" l="1"/>
</calcChain>
</file>

<file path=xl/sharedStrings.xml><?xml version="1.0" encoding="utf-8"?>
<sst xmlns="http://schemas.openxmlformats.org/spreadsheetml/2006/main" count="951" uniqueCount="394">
  <si>
    <t>Beta</t>
  </si>
  <si>
    <t>Dirichlet</t>
  </si>
  <si>
    <t>Relative risk for patients with an ISS ≥ 16 treated at a local hospital for death within 30 days</t>
  </si>
  <si>
    <t>Lognormal</t>
  </si>
  <si>
    <t>Relative risk for patients with an ISS ≥ 16 treated at a local hospital for deaths after 30 days and before 1 year</t>
  </si>
  <si>
    <t>State Transition Probabilities</t>
  </si>
  <si>
    <r>
      <t xml:space="preserve">Hazard ratio for deaths for patients whose ISS </t>
    </r>
    <r>
      <rPr>
        <sz val="11"/>
        <color theme="1"/>
        <rFont val="Aptos Narrow"/>
        <family val="2"/>
      </rPr>
      <t>≥ 16</t>
    </r>
    <r>
      <rPr>
        <sz val="11"/>
        <color theme="1"/>
        <rFont val="新細明體"/>
        <family val="2"/>
        <scheme val="minor"/>
      </rPr>
      <t xml:space="preserve"> compared to the general population</t>
    </r>
  </si>
  <si>
    <r>
      <t>Hazard ratio for deaths for patients whose ISS &lt;</t>
    </r>
    <r>
      <rPr>
        <sz val="11"/>
        <color theme="1"/>
        <rFont val="Aptos Narrow"/>
        <family val="2"/>
      </rPr>
      <t xml:space="preserve"> 16</t>
    </r>
    <r>
      <rPr>
        <sz val="11"/>
        <color theme="1"/>
        <rFont val="新細明體"/>
        <family val="2"/>
        <scheme val="minor"/>
      </rPr>
      <t xml:space="preserve"> compared to the general population</t>
    </r>
  </si>
  <si>
    <t>Gamma</t>
  </si>
  <si>
    <r>
      <t xml:space="preserve">Utility of people whose ISS </t>
    </r>
    <r>
      <rPr>
        <sz val="11"/>
        <color theme="1"/>
        <rFont val="Aptos Narrow"/>
        <family val="2"/>
      </rPr>
      <t>≥ 16</t>
    </r>
  </si>
  <si>
    <t>Utility of people whose ISS &lt; 16</t>
  </si>
  <si>
    <t>Injury Severity (ISS)</t>
  </si>
  <si>
    <t>ISS ≥ 16</t>
  </si>
  <si>
    <t>9 ≤ ISS &lt; 16</t>
  </si>
  <si>
    <t>ISS &lt; 9</t>
  </si>
  <si>
    <t>Triage Decision (Rule 1)</t>
  </si>
  <si>
    <t>Triage Positive (ISS ≥ 16)</t>
  </si>
  <si>
    <t>Triage Negative (ISS ≥ 16)</t>
  </si>
  <si>
    <t>Outcome Probabilities</t>
  </si>
  <si>
    <t>Death within 30 days (ISS ≥ 16, MTC)</t>
  </si>
  <si>
    <t>Death within 30 days (ISS &lt; 16)</t>
  </si>
  <si>
    <t>Death between 30 days and 1 year (ISS ≥ 16, MTC)</t>
  </si>
  <si>
    <t>Death between 30 days and 1 year (ISS &lt; 16)</t>
  </si>
  <si>
    <t>Sensitivity P= 38/38+2</t>
    <phoneticPr fontId="6" type="noConversion"/>
  </si>
  <si>
    <t>Specificity P= 200/200+800</t>
    <phoneticPr fontId="6" type="noConversion"/>
  </si>
  <si>
    <t>mean</t>
    <phoneticPr fontId="6" type="noConversion"/>
  </si>
  <si>
    <t>In-hospital cost (ISS 1-8)</t>
  </si>
  <si>
    <t>In-hospital cost (ISS 9-15)</t>
  </si>
  <si>
    <t>In-hospital cost (ISS 16-24)</t>
  </si>
  <si>
    <t>In-hospital cost (ISS 25-34)</t>
  </si>
  <si>
    <t>In-hospital cost (ISS 35-75)</t>
  </si>
  <si>
    <t>Post-discharge cost (ISS &lt; 16, MTC)</t>
  </si>
  <si>
    <t>Annual long-term cost (ISS &lt; 16)</t>
  </si>
  <si>
    <t>Adjusted Cost (£)</t>
  </si>
  <si>
    <t>Ambulance cost</t>
  </si>
  <si>
    <t>MTC cost (≥ISS 16)</t>
  </si>
  <si>
    <t>Fixed at £3,342</t>
  </si>
  <si>
    <t>Best practice tariff fixed until 2025 as per NHS guidelines.</t>
  </si>
  <si>
    <t>MTC cost (9≤ISS&lt;16)</t>
  </si>
  <si>
    <t>Fixed at £1,739</t>
  </si>
  <si>
    <t>Post-discharge cost (ISS ≥ 16, MTC)</t>
  </si>
  <si>
    <t>Post-discharge cost (ISS ≥ 16, local)</t>
  </si>
  <si>
    <t>Post-discharge cost (ISS &lt; 16, local)</t>
  </si>
  <si>
    <t>Annual long-term cost (ISS ≥ 16)</t>
  </si>
  <si>
    <t>In-hospital cost (ISS&gt;16 ,weighted average cost)</t>
    <phoneticPr fontId="6" type="noConversion"/>
  </si>
  <si>
    <r>
      <t>(9453×150)+(12347×139)+(16438×27)</t>
    </r>
    <r>
      <rPr>
        <sz val="11"/>
        <color theme="1"/>
        <rFont val="新細明體"/>
        <family val="1"/>
        <scheme val="minor"/>
      </rPr>
      <t>​</t>
    </r>
    <r>
      <rPr>
        <sz val="11"/>
        <color theme="1"/>
        <rFont val="新細明體"/>
        <family val="2"/>
        <scheme val="minor"/>
      </rPr>
      <t>/(150+139+27)</t>
    </r>
    <phoneticPr fontId="6" type="noConversion"/>
  </si>
  <si>
    <t>Variable description</t>
  </si>
  <si>
    <t>Deterministic mean</t>
  </si>
  <si>
    <t>Sampled value</t>
  </si>
  <si>
    <t>Event probabilities</t>
  </si>
  <si>
    <t>Name (cell reference)</t>
  </si>
  <si>
    <t>Distribution type</t>
  </si>
  <si>
    <t>Cost parameters</t>
  </si>
  <si>
    <t>Triage Decision (Rule 2)</t>
    <phoneticPr fontId="6" type="noConversion"/>
  </si>
  <si>
    <t>Alpha/N</t>
    <phoneticPr fontId="6" type="noConversion"/>
  </si>
  <si>
    <t>Beta</t>
    <phoneticPr fontId="6" type="noConversion"/>
  </si>
  <si>
    <t>Low</t>
  </si>
  <si>
    <t>High</t>
  </si>
  <si>
    <t>Alive</t>
    <phoneticPr fontId="6" type="noConversion"/>
  </si>
  <si>
    <t>Dead</t>
    <phoneticPr fontId="6" type="noConversion"/>
  </si>
  <si>
    <t>male</t>
    <phoneticPr fontId="6" type="noConversion"/>
  </si>
  <si>
    <t>female</t>
    <phoneticPr fontId="6" type="noConversion"/>
  </si>
  <si>
    <t>SE</t>
    <phoneticPr fontId="6" type="noConversion"/>
  </si>
  <si>
    <t>HRQoL parameters</t>
  </si>
  <si>
    <t>Random</t>
    <phoneticPr fontId="6" type="noConversion"/>
  </si>
  <si>
    <t>Fixed</t>
    <phoneticPr fontId="6" type="noConversion"/>
  </si>
  <si>
    <t>Note</t>
    <phoneticPr fontId="6" type="noConversion"/>
  </si>
  <si>
    <t>Adjusted Calculation</t>
    <phoneticPr fontId="6" type="noConversion"/>
  </si>
  <si>
    <t>Scale</t>
    <phoneticPr fontId="6" type="noConversion"/>
  </si>
  <si>
    <t>Shape</t>
    <phoneticPr fontId="6" type="noConversion"/>
  </si>
  <si>
    <t>Triage Decision (Rule 3)</t>
    <phoneticPr fontId="6" type="noConversion"/>
  </si>
  <si>
    <t>Triage Decision (Rule 4)</t>
    <phoneticPr fontId="6" type="noConversion"/>
  </si>
  <si>
    <t>Triage Decision (Rule 5)</t>
    <phoneticPr fontId="6" type="noConversion"/>
  </si>
  <si>
    <t>Triage Decision (Rule 6)</t>
    <phoneticPr fontId="6" type="noConversion"/>
  </si>
  <si>
    <t>Prob_ISS_lag16</t>
    <phoneticPr fontId="6" type="noConversion"/>
  </si>
  <si>
    <t>Prob_ISS_btw916</t>
    <phoneticPr fontId="6" type="noConversion"/>
  </si>
  <si>
    <t>Prob_ISS_sma9</t>
    <phoneticPr fontId="6" type="noConversion"/>
  </si>
  <si>
    <t>Prob_R1_sen</t>
    <phoneticPr fontId="6" type="noConversion"/>
  </si>
  <si>
    <t>Prob_R1_spe</t>
    <phoneticPr fontId="6" type="noConversion"/>
  </si>
  <si>
    <t>Prob_R2_sen</t>
    <phoneticPr fontId="6" type="noConversion"/>
  </si>
  <si>
    <t>Prob_R2_spe</t>
    <phoneticPr fontId="6" type="noConversion"/>
  </si>
  <si>
    <t>Prob_R3_sen</t>
    <phoneticPr fontId="6" type="noConversion"/>
  </si>
  <si>
    <t>Prob_R3_spe</t>
    <phoneticPr fontId="6" type="noConversion"/>
  </si>
  <si>
    <t>Prob_R4_sen</t>
    <phoneticPr fontId="6" type="noConversion"/>
  </si>
  <si>
    <t>Prob_R4_spe</t>
    <phoneticPr fontId="6" type="noConversion"/>
  </si>
  <si>
    <t>Prob_R5_sen</t>
    <phoneticPr fontId="6" type="noConversion"/>
  </si>
  <si>
    <t>Prob_R5_spe</t>
    <phoneticPr fontId="6" type="noConversion"/>
  </si>
  <si>
    <t>Prob_R6_sen</t>
    <phoneticPr fontId="6" type="noConversion"/>
  </si>
  <si>
    <t>Prob_R6_spe</t>
    <phoneticPr fontId="6" type="noConversion"/>
  </si>
  <si>
    <t>Prob_Min30_lar16_mtc</t>
    <phoneticPr fontId="6" type="noConversion"/>
  </si>
  <si>
    <t>Prob_Min30_sma16</t>
    <phoneticPr fontId="6" type="noConversion"/>
  </si>
  <si>
    <t>RR_Min30_lar16_local</t>
    <phoneticPr fontId="6" type="noConversion"/>
  </si>
  <si>
    <t>Prob_Min1y_lar16_mtc</t>
    <phoneticPr fontId="6" type="noConversion"/>
  </si>
  <si>
    <t>Prob_Min1y_sma16</t>
    <phoneticPr fontId="6" type="noConversion"/>
  </si>
  <si>
    <t>Cst_amb</t>
    <phoneticPr fontId="6" type="noConversion"/>
  </si>
  <si>
    <t>Cst_sma9_hosp</t>
    <phoneticPr fontId="6" type="noConversion"/>
  </si>
  <si>
    <t>Cst_btw916_hosp</t>
    <phoneticPr fontId="6" type="noConversion"/>
  </si>
  <si>
    <t>Cst_lar16_hosp</t>
    <phoneticPr fontId="6" type="noConversion"/>
  </si>
  <si>
    <t>Cst_post_lar16_mtc</t>
    <phoneticPr fontId="6" type="noConversion"/>
  </si>
  <si>
    <t>Cst_post_lar16_local</t>
    <phoneticPr fontId="6" type="noConversion"/>
  </si>
  <si>
    <t>Cst_post_sma16_mtc</t>
    <phoneticPr fontId="6" type="noConversion"/>
  </si>
  <si>
    <t>Cst_post_sma16_local</t>
    <phoneticPr fontId="6" type="noConversion"/>
  </si>
  <si>
    <t>Cst_ann_lar16</t>
    <phoneticPr fontId="6" type="noConversion"/>
  </si>
  <si>
    <t>Cst_ann_sma16</t>
    <phoneticPr fontId="6" type="noConversion"/>
  </si>
  <si>
    <t>U_lar16</t>
    <phoneticPr fontId="6" type="noConversion"/>
  </si>
  <si>
    <t>U_sma16</t>
    <phoneticPr fontId="6" type="noConversion"/>
  </si>
  <si>
    <t>CHECK</t>
    <phoneticPr fontId="6" type="noConversion"/>
  </si>
  <si>
    <t>Total Costs</t>
  </si>
  <si>
    <t>Total QALYs</t>
  </si>
  <si>
    <t xml:space="preserve">Results </t>
    <phoneticPr fontId="6" type="noConversion"/>
  </si>
  <si>
    <t xml:space="preserve">Rule1 </t>
    <phoneticPr fontId="6" type="noConversion"/>
  </si>
  <si>
    <t>Rule2</t>
    <phoneticPr fontId="6" type="noConversion"/>
  </si>
  <si>
    <t>Rule3</t>
    <phoneticPr fontId="6" type="noConversion"/>
  </si>
  <si>
    <t>Rule4</t>
    <phoneticPr fontId="6" type="noConversion"/>
  </si>
  <si>
    <t>Rule5</t>
    <phoneticPr fontId="6" type="noConversion"/>
  </si>
  <si>
    <t>Rule6</t>
    <phoneticPr fontId="6" type="noConversion"/>
  </si>
  <si>
    <t>HR_lar16</t>
    <phoneticPr fontId="6" type="noConversion"/>
  </si>
  <si>
    <t>HR_sma16</t>
    <phoneticPr fontId="6" type="noConversion"/>
  </si>
  <si>
    <t>age</t>
    <phoneticPr fontId="6" type="noConversion"/>
  </si>
  <si>
    <t>Cycle</t>
    <phoneticPr fontId="6" type="noConversion"/>
  </si>
  <si>
    <t>QALY</t>
    <phoneticPr fontId="6" type="noConversion"/>
  </si>
  <si>
    <t>Result</t>
    <phoneticPr fontId="6" type="noConversion"/>
  </si>
  <si>
    <t>Total</t>
  </si>
  <si>
    <t>QALYs</t>
  </si>
  <si>
    <t>Rule1</t>
    <phoneticPr fontId="6" type="noConversion"/>
  </si>
  <si>
    <t>PSA</t>
    <phoneticPr fontId="6" type="noConversion"/>
  </si>
  <si>
    <t>Rule1</t>
  </si>
  <si>
    <t>Rule2</t>
  </si>
  <si>
    <t>Decision Tree</t>
    <phoneticPr fontId="6" type="noConversion"/>
  </si>
  <si>
    <t>Rule1</t>
    <phoneticPr fontId="6" type="noConversion"/>
  </si>
  <si>
    <t>Threshold</t>
  </si>
  <si>
    <t>Rule2</t>
    <phoneticPr fontId="6" type="noConversion"/>
  </si>
  <si>
    <t>Rule3</t>
  </si>
  <si>
    <t>Rule3</t>
    <phoneticPr fontId="6" type="noConversion"/>
  </si>
  <si>
    <t>Rele4</t>
    <phoneticPr fontId="6" type="noConversion"/>
  </si>
  <si>
    <t>Rule5</t>
  </si>
  <si>
    <t>Rule5</t>
    <phoneticPr fontId="6" type="noConversion"/>
  </si>
  <si>
    <t>Rule6</t>
  </si>
  <si>
    <t>Rule6</t>
    <phoneticPr fontId="6" type="noConversion"/>
  </si>
  <si>
    <t>Cst_R1</t>
  </si>
  <si>
    <t>Cst_lar16_MTC</t>
    <phoneticPr fontId="6" type="noConversion"/>
  </si>
  <si>
    <t>Cst_sma16_MTC</t>
    <phoneticPr fontId="6" type="noConversion"/>
  </si>
  <si>
    <t>Cst_R2</t>
    <phoneticPr fontId="6" type="noConversion"/>
  </si>
  <si>
    <t>Cst_R3</t>
    <phoneticPr fontId="6" type="noConversion"/>
  </si>
  <si>
    <t>Cst_R4</t>
    <phoneticPr fontId="6" type="noConversion"/>
  </si>
  <si>
    <t>Cst_R5</t>
    <phoneticPr fontId="6" type="noConversion"/>
  </si>
  <si>
    <t>Cst_R6</t>
    <phoneticPr fontId="6" type="noConversion"/>
  </si>
  <si>
    <t>Rule4</t>
  </si>
  <si>
    <t>AVERAGE</t>
    <phoneticPr fontId="6" type="noConversion"/>
  </si>
  <si>
    <t>Total QALY</t>
    <phoneticPr fontId="6" type="noConversion"/>
  </si>
  <si>
    <t>MIN</t>
    <phoneticPr fontId="6" type="noConversion"/>
  </si>
  <si>
    <t>MAX</t>
    <phoneticPr fontId="6" type="noConversion"/>
  </si>
  <si>
    <t>Average</t>
    <phoneticPr fontId="6" type="noConversion"/>
  </si>
  <si>
    <t>Prob/Det</t>
    <phoneticPr fontId="6" type="noConversion"/>
  </si>
  <si>
    <t>LIVE</t>
    <phoneticPr fontId="6" type="noConversion"/>
  </si>
  <si>
    <t>Samples</t>
    <phoneticPr fontId="6" type="noConversion"/>
  </si>
  <si>
    <t>Costs</t>
    <phoneticPr fontId="6" type="noConversion"/>
  </si>
  <si>
    <t>Total</t>
    <phoneticPr fontId="6" type="noConversion"/>
  </si>
  <si>
    <t>Toatal cost</t>
    <phoneticPr fontId="6" type="noConversion"/>
  </si>
  <si>
    <t>DETERMINISTIC</t>
    <phoneticPr fontId="6" type="noConversion"/>
  </si>
  <si>
    <t>PROBABILISTIC</t>
    <phoneticPr fontId="6" type="noConversion"/>
  </si>
  <si>
    <t>Net Benefit</t>
    <phoneticPr fontId="6" type="noConversion"/>
  </si>
  <si>
    <t>Threshold</t>
    <phoneticPr fontId="6" type="noConversion"/>
  </si>
  <si>
    <t>WTP</t>
    <phoneticPr fontId="6" type="noConversion"/>
  </si>
  <si>
    <t>Rule1_Accepted</t>
    <phoneticPr fontId="6" type="noConversion"/>
  </si>
  <si>
    <t>Rule2_Accepted</t>
    <phoneticPr fontId="6" type="noConversion"/>
  </si>
  <si>
    <t>Rule3_Accepted</t>
    <phoneticPr fontId="6" type="noConversion"/>
  </si>
  <si>
    <t>Rule4_Accepted</t>
    <phoneticPr fontId="6" type="noConversion"/>
  </si>
  <si>
    <t>Rule5_Accepted</t>
    <phoneticPr fontId="6" type="noConversion"/>
  </si>
  <si>
    <t>Rule6_Accepted</t>
    <phoneticPr fontId="6" type="noConversion"/>
  </si>
  <si>
    <t>MAX NB</t>
    <phoneticPr fontId="6" type="noConversion"/>
  </si>
  <si>
    <t>Individual EVPI</t>
    <phoneticPr fontId="6" type="noConversion"/>
  </si>
  <si>
    <t>Baseline Values</t>
    <phoneticPr fontId="6" type="noConversion"/>
  </si>
  <si>
    <t>Markov Transition Matrix</t>
    <phoneticPr fontId="6" type="noConversion"/>
  </si>
  <si>
    <t>CEAC</t>
    <phoneticPr fontId="6" type="noConversion"/>
  </si>
  <si>
    <t>Induvidual EVPI</t>
    <phoneticPr fontId="6" type="noConversion"/>
  </si>
  <si>
    <t>Population EVPI</t>
    <phoneticPr fontId="6" type="noConversion"/>
  </si>
  <si>
    <t>ALIVE</t>
    <phoneticPr fontId="6" type="noConversion"/>
  </si>
  <si>
    <t>DEAD</t>
    <phoneticPr fontId="6" type="noConversion"/>
  </si>
  <si>
    <t>Baseline Mortality</t>
    <phoneticPr fontId="6" type="noConversion"/>
  </si>
  <si>
    <t>Cost</t>
    <phoneticPr fontId="6" type="noConversion"/>
  </si>
  <si>
    <t>POPULATION EVPI data</t>
  </si>
  <si>
    <t>Duration of drug life in use (years)</t>
  </si>
  <si>
    <t>Number patients in UK</t>
  </si>
  <si>
    <t>Discount</t>
  </si>
  <si>
    <t>Year</t>
  </si>
  <si>
    <t>Discounted population</t>
  </si>
  <si>
    <r>
      <t>Triage Positive (</t>
    </r>
    <r>
      <rPr>
        <sz val="11"/>
        <color theme="1"/>
        <rFont val="新細明體"/>
        <family val="1"/>
        <charset val="136"/>
        <scheme val="minor"/>
      </rPr>
      <t>ISS &lt; 16)</t>
    </r>
    <phoneticPr fontId="6" type="noConversion"/>
  </si>
  <si>
    <t>Triage Negative (ISS &lt; 16)</t>
    <phoneticPr fontId="6" type="noConversion"/>
  </si>
  <si>
    <t>95%CI Low</t>
    <phoneticPr fontId="6" type="noConversion"/>
  </si>
  <si>
    <t>95%CI High</t>
    <phoneticPr fontId="6" type="noConversion"/>
  </si>
  <si>
    <t>ISS&gt;16</t>
    <phoneticPr fontId="6" type="noConversion"/>
  </si>
  <si>
    <t>Patient Distribution</t>
    <phoneticPr fontId="6" type="noConversion"/>
  </si>
  <si>
    <t>ISS&lt;16</t>
    <phoneticPr fontId="6" type="noConversion"/>
  </si>
  <si>
    <t>Total Cost</t>
    <phoneticPr fontId="6" type="noConversion"/>
  </si>
  <si>
    <t>Total QALYs</t>
    <phoneticPr fontId="6" type="noConversion"/>
  </si>
  <si>
    <t>Discharge alive in 1 year in MTC</t>
    <phoneticPr fontId="6" type="noConversion"/>
  </si>
  <si>
    <t>rolled back probabilities</t>
  </si>
  <si>
    <t>rolled back costs</t>
  </si>
  <si>
    <t>expected costs</t>
  </si>
  <si>
    <t>Alive within 30 days in MTC</t>
    <phoneticPr fontId="6" type="noConversion"/>
  </si>
  <si>
    <t>Die in 1 year in MTC</t>
    <phoneticPr fontId="6" type="noConversion"/>
  </si>
  <si>
    <t>Die within 30 days in MTC</t>
    <phoneticPr fontId="6" type="noConversion"/>
  </si>
  <si>
    <t xml:space="preserve">Serious injury </t>
    <phoneticPr fontId="6" type="noConversion"/>
  </si>
  <si>
    <t>ISS&gt;=16</t>
    <phoneticPr fontId="6" type="noConversion"/>
  </si>
  <si>
    <t>Discharge alive in 1 year in local hospital</t>
    <phoneticPr fontId="6" type="noConversion"/>
  </si>
  <si>
    <t>Alive within 30 days in local hospital</t>
    <phoneticPr fontId="6" type="noConversion"/>
  </si>
  <si>
    <t>Die in 1 year in local hospital</t>
    <phoneticPr fontId="6" type="noConversion"/>
  </si>
  <si>
    <t>Die within 30 days in local hospital</t>
    <phoneticPr fontId="6" type="noConversion"/>
  </si>
  <si>
    <t>Moderate injury</t>
    <phoneticPr fontId="6" type="noConversion"/>
  </si>
  <si>
    <t>RULE 1</t>
    <phoneticPr fontId="6" type="noConversion"/>
  </si>
  <si>
    <t>9&lt;=ISS&lt;16</t>
    <phoneticPr fontId="6" type="noConversion"/>
  </si>
  <si>
    <t>Sensitivity =95%</t>
    <phoneticPr fontId="6" type="noConversion"/>
  </si>
  <si>
    <t>Specificity=20%</t>
    <phoneticPr fontId="6" type="noConversion"/>
  </si>
  <si>
    <t>Mild Injury</t>
    <phoneticPr fontId="6" type="noConversion"/>
  </si>
  <si>
    <t>ISS&lt;=9</t>
    <phoneticPr fontId="6" type="noConversion"/>
  </si>
  <si>
    <t>rolled back QALY gains</t>
    <phoneticPr fontId="6" type="noConversion"/>
  </si>
  <si>
    <t>expected QALY gains</t>
    <phoneticPr fontId="6" type="noConversion"/>
  </si>
  <si>
    <t>RR_Min1y_lar16_local</t>
    <phoneticPr fontId="6" type="noConversion"/>
  </si>
  <si>
    <t>MTC treatment</t>
    <phoneticPr fontId="6" type="noConversion"/>
  </si>
  <si>
    <t>Local hospital treatment</t>
    <phoneticPr fontId="6" type="noConversion"/>
  </si>
  <si>
    <t>HAZARD RATIO</t>
    <phoneticPr fontId="6" type="noConversion"/>
  </si>
  <si>
    <t>Markov Metric</t>
    <phoneticPr fontId="6" type="noConversion"/>
  </si>
  <si>
    <t>Check</t>
    <phoneticPr fontId="6" type="noConversion"/>
  </si>
  <si>
    <t>1-Qx"</t>
    <phoneticPr fontId="6" type="noConversion"/>
  </si>
  <si>
    <t>Qx"(Adjusted mortality)</t>
    <phoneticPr fontId="6" type="noConversion"/>
  </si>
  <si>
    <t>(1-Qx)^HR</t>
    <phoneticPr fontId="6" type="noConversion"/>
  </si>
  <si>
    <t>Qx"</t>
    <phoneticPr fontId="6" type="noConversion"/>
  </si>
  <si>
    <t>Weight Average Qx</t>
  </si>
  <si>
    <t>Weight Average Qx</t>
    <phoneticPr fontId="6" type="noConversion"/>
  </si>
  <si>
    <t>Half-cycle correction</t>
  </si>
  <si>
    <t>Undiscounted</t>
    <phoneticPr fontId="6" type="noConversion"/>
  </si>
  <si>
    <t>Discounted</t>
    <phoneticPr fontId="6" type="noConversion"/>
  </si>
  <si>
    <t>Cst_lar16_life</t>
  </si>
  <si>
    <t>QALY_lar16_life</t>
  </si>
  <si>
    <t>Cst_sma16_life</t>
  </si>
  <si>
    <t>QALY_sma16_life</t>
  </si>
  <si>
    <t>Lifetime costs</t>
    <phoneticPr fontId="6" type="noConversion"/>
  </si>
  <si>
    <t>Lifetime QALYs</t>
    <phoneticPr fontId="6" type="noConversion"/>
  </si>
  <si>
    <t>Total costs</t>
    <phoneticPr fontId="6" type="noConversion"/>
  </si>
  <si>
    <t>RULE 2</t>
    <phoneticPr fontId="6" type="noConversion"/>
  </si>
  <si>
    <t>RULE 3</t>
    <phoneticPr fontId="6" type="noConversion"/>
  </si>
  <si>
    <t>RULE 4</t>
    <phoneticPr fontId="6" type="noConversion"/>
  </si>
  <si>
    <t>RULE 5</t>
    <phoneticPr fontId="6" type="noConversion"/>
  </si>
  <si>
    <t>RULE 6</t>
    <phoneticPr fontId="6" type="noConversion"/>
  </si>
  <si>
    <t>Probability</t>
    <phoneticPr fontId="6" type="noConversion"/>
  </si>
  <si>
    <t>Accumulated Costs</t>
    <phoneticPr fontId="6" type="noConversion"/>
  </si>
  <si>
    <t>Accumulated QALYs</t>
    <phoneticPr fontId="6" type="noConversion"/>
  </si>
  <si>
    <t>Discount Rate</t>
    <phoneticPr fontId="6" type="noConversion"/>
  </si>
  <si>
    <t>0.6*qx(male)+0.4*qx(female)</t>
    <phoneticPr fontId="6" type="noConversion"/>
  </si>
  <si>
    <t>£6,501 (2003/04 price) ×(HCHS Index (2015/16)/(2003/04))× 
2016-2023 (1+NHSCII Inflation Rate)</t>
    <phoneticPr fontId="6" type="noConversion"/>
  </si>
  <si>
    <t>£390.08 (2021/22 price) ×2021-23(1+NHSCII Inflation Rate)</t>
    <phoneticPr fontId="6" type="noConversion"/>
  </si>
  <si>
    <t>£6,035 (2003/04 price) ×(HCHS Index (2015/16)/(2003/04))× 
2016-2023 (1+NHSCII Inflation Rate)</t>
    <phoneticPr fontId="6" type="noConversion"/>
  </si>
  <si>
    <t>£9453 (2003/04 price) ×(HCHS Index (2015/16)/(2003/04))× 
2016-2023 (1+NHSCII Inflation Rate)</t>
    <phoneticPr fontId="6" type="noConversion"/>
  </si>
  <si>
    <t>£12347 (2003/04 price) ×(HCHS Index (2015/16)/(2003/04))× 
2016-2023 (1+NHSCII Inflation Rate)</t>
    <phoneticPr fontId="6" type="noConversion"/>
  </si>
  <si>
    <t>£16438 (2003/04 price) ×(HCHS Index (2015/16)/(2003/04))× 
2016-2023 (1+NHSCII Inflation Rate)</t>
    <phoneticPr fontId="6" type="noConversion"/>
  </si>
  <si>
    <t>The NHS cost inflation index(NHSCII)</t>
    <phoneticPr fontId="6" type="noConversion"/>
  </si>
  <si>
    <t>Annual % increase on previous year</t>
    <phoneticPr fontId="6" type="noConversion"/>
  </si>
  <si>
    <t>NHSCII prices</t>
    <phoneticPr fontId="6" type="noConversion"/>
  </si>
  <si>
    <t>2015/2016</t>
    <phoneticPr fontId="6" type="noConversion"/>
  </si>
  <si>
    <t>2016/2017</t>
    <phoneticPr fontId="6" type="noConversion"/>
  </si>
  <si>
    <t>2017/2018</t>
    <phoneticPr fontId="6" type="noConversion"/>
  </si>
  <si>
    <t>2018/2019</t>
    <phoneticPr fontId="6" type="noConversion"/>
  </si>
  <si>
    <t>2019/2020</t>
    <phoneticPr fontId="6" type="noConversion"/>
  </si>
  <si>
    <t>2020/2021</t>
    <phoneticPr fontId="6" type="noConversion"/>
  </si>
  <si>
    <t>2021/2022</t>
    <phoneticPr fontId="6" type="noConversion"/>
  </si>
  <si>
    <t>2022/2023</t>
    <phoneticPr fontId="6" type="noConversion"/>
  </si>
  <si>
    <t>NHSCII pay</t>
    <phoneticPr fontId="6" type="noConversion"/>
  </si>
  <si>
    <t>NHSCII pay and prices</t>
    <phoneticPr fontId="6" type="noConversion"/>
  </si>
  <si>
    <t>The hospital &amp; community health services(HCHS) index</t>
    <phoneticPr fontId="6" type="noConversion"/>
  </si>
  <si>
    <t>2003/2004</t>
    <phoneticPr fontId="6" type="noConversion"/>
  </si>
  <si>
    <t>2004/2005</t>
    <phoneticPr fontId="6" type="noConversion"/>
  </si>
  <si>
    <t>2005/2006</t>
    <phoneticPr fontId="6" type="noConversion"/>
  </si>
  <si>
    <t>2006/2007</t>
    <phoneticPr fontId="6" type="noConversion"/>
  </si>
  <si>
    <t>2007/2008</t>
    <phoneticPr fontId="6" type="noConversion"/>
  </si>
  <si>
    <t>2008/2009</t>
    <phoneticPr fontId="6" type="noConversion"/>
  </si>
  <si>
    <t>2009/2010</t>
    <phoneticPr fontId="6" type="noConversion"/>
  </si>
  <si>
    <t>2010/2011</t>
    <phoneticPr fontId="6" type="noConversion"/>
  </si>
  <si>
    <t>2011/2012</t>
    <phoneticPr fontId="6" type="noConversion"/>
  </si>
  <si>
    <t>2012/2013</t>
    <phoneticPr fontId="6" type="noConversion"/>
  </si>
  <si>
    <t>2013/2014</t>
    <phoneticPr fontId="6" type="noConversion"/>
  </si>
  <si>
    <t>2014/2015</t>
    <phoneticPr fontId="6" type="noConversion"/>
  </si>
  <si>
    <t>Pay &amp; prices index</t>
    <phoneticPr fontId="6" type="noConversion"/>
  </si>
  <si>
    <t>(1987/8=100)</t>
    <phoneticPr fontId="6" type="noConversion"/>
  </si>
  <si>
    <t>*Cumulative Inflation Factor=(1+NHSCII pay and prices)*(1+NHSCII pay and prices) etc.</t>
    <phoneticPr fontId="6" type="noConversion"/>
  </si>
  <si>
    <t xml:space="preserve">Cumulative Factor </t>
    <phoneticPr fontId="6" type="noConversion"/>
  </si>
  <si>
    <t>2021-2023</t>
    <phoneticPr fontId="6" type="noConversion"/>
  </si>
  <si>
    <t>Ambulance cost</t>
    <phoneticPr fontId="6" type="noConversion"/>
  </si>
  <si>
    <t>Purchasing Power Parity (PPP)</t>
  </si>
  <si>
    <t>2008 PPP conversion factor (US to UK)</t>
    <phoneticPr fontId="6" type="noConversion"/>
  </si>
  <si>
    <t>PPP_08</t>
    <phoneticPr fontId="6" type="noConversion"/>
  </si>
  <si>
    <t>value</t>
    <phoneticPr fontId="6" type="noConversion"/>
  </si>
  <si>
    <t>Cost Adjust Factors Index</t>
    <phoneticPr fontId="6" type="noConversion"/>
  </si>
  <si>
    <t xml:space="preserve">HCHS </t>
    <phoneticPr fontId="6" type="noConversion"/>
  </si>
  <si>
    <t>2003-2016</t>
    <phoneticPr fontId="6" type="noConversion"/>
  </si>
  <si>
    <t>2016-2023</t>
    <phoneticPr fontId="6" type="noConversion"/>
  </si>
  <si>
    <t>Adjust Factor</t>
    <phoneticPr fontId="6" type="noConversion"/>
  </si>
  <si>
    <t>Cost variable</t>
    <phoneticPr fontId="6" type="noConversion"/>
  </si>
  <si>
    <t>In-hospital cost,post discharge cost</t>
    <phoneticPr fontId="6" type="noConversion"/>
  </si>
  <si>
    <t>2008-2023</t>
    <phoneticPr fontId="6" type="noConversion"/>
  </si>
  <si>
    <t>Ad_2123</t>
    <phoneticPr fontId="6" type="noConversion"/>
  </si>
  <si>
    <t>Ad_0823</t>
    <phoneticPr fontId="6" type="noConversion"/>
  </si>
  <si>
    <t xml:space="preserve">Adjusted from 2003/04 </t>
    <phoneticPr fontId="6" type="noConversion"/>
  </si>
  <si>
    <t xml:space="preserve">Adjusted from 2021/22 </t>
    <phoneticPr fontId="6" type="noConversion"/>
  </si>
  <si>
    <t xml:space="preserve">Adjusted from 2003/04 </t>
    <phoneticPr fontId="6" type="noConversion"/>
  </si>
  <si>
    <t>Adjusted from 2008 USD price</t>
    <phoneticPr fontId="6" type="noConversion"/>
  </si>
  <si>
    <t xml:space="preserve">Adjusted from 2008 USD price </t>
    <phoneticPr fontId="6" type="noConversion"/>
  </si>
  <si>
    <t xml:space="preserve">Adjusted from 2008 USD price </t>
    <phoneticPr fontId="6" type="noConversion"/>
  </si>
  <si>
    <t>$35,081 (2008 price) x 2008 ppp × (HCHS Index (2015/16)/(2008/09))× 
2016-2023 (1+NHSCII Inflation Rate)</t>
    <phoneticPr fontId="6" type="noConversion"/>
  </si>
  <si>
    <t>$34,442(2008 price)x 2008 ppp × (HCHS Index (2015/16)/(2008/09))× 
2016-2023 (1+NHSCII Inflation Rate)</t>
    <phoneticPr fontId="6" type="noConversion"/>
  </si>
  <si>
    <t>$9,300 (2008 price) x 2008 ppp × (HCHS Index (2015/16)/(2008/09))× 
2016-2023 (1+NHSCII Inflation Rate)</t>
    <phoneticPr fontId="6" type="noConversion"/>
  </si>
  <si>
    <t>$10,400 (2008 price) (2008 price)x 2008 ppp × (HCHS Index (2015/16)/(2008/09))× 
2016-2023 (1+NHSCII Inflation Rate)</t>
    <phoneticPr fontId="6" type="noConversion"/>
  </si>
  <si>
    <t>Strategy</t>
  </si>
  <si>
    <t>Rule</t>
  </si>
  <si>
    <t>Rule 1</t>
  </si>
  <si>
    <t>Cost (£)</t>
  </si>
  <si>
    <t>QALY</t>
  </si>
  <si>
    <t>Rule 3</t>
  </si>
  <si>
    <t>Rule 5</t>
  </si>
  <si>
    <t>Rule 6</t>
  </si>
  <si>
    <t>1.3 Calculate ICER</t>
    <phoneticPr fontId="6" type="noConversion"/>
  </si>
  <si>
    <t>Incremental QALY</t>
  </si>
  <si>
    <t>Cost (£)</t>
    <phoneticPr fontId="6" type="noConversion"/>
  </si>
  <si>
    <t>ICER (£/QALY)</t>
  </si>
  <si>
    <t>-</t>
  </si>
  <si>
    <t>Incremental Cost (£)</t>
  </si>
  <si>
    <t>1.4 Final Conclusion</t>
    <phoneticPr fontId="6" type="noConversion"/>
  </si>
  <si>
    <t>Rule2 is the reference (cheapest, non-dominated).</t>
  </si>
  <si>
    <t>Specificity=40%</t>
    <phoneticPr fontId="6" type="noConversion"/>
  </si>
  <si>
    <t>Sensitivity =80%</t>
    <phoneticPr fontId="6" type="noConversion"/>
  </si>
  <si>
    <t>Sensitivity =75%</t>
    <phoneticPr fontId="6" type="noConversion"/>
  </si>
  <si>
    <t>Specificity=55%</t>
    <phoneticPr fontId="6" type="noConversion"/>
  </si>
  <si>
    <t>Sensitivity =60%</t>
    <phoneticPr fontId="6" type="noConversion"/>
  </si>
  <si>
    <t>Specificity=60%</t>
    <phoneticPr fontId="6" type="noConversion"/>
  </si>
  <si>
    <t>Sensitivity =50%</t>
    <phoneticPr fontId="6" type="noConversion"/>
  </si>
  <si>
    <t>Specificity=75%</t>
    <phoneticPr fontId="6" type="noConversion"/>
  </si>
  <si>
    <t>Sensitivity =30%</t>
    <phoneticPr fontId="6" type="noConversion"/>
  </si>
  <si>
    <t>Specificity=90%</t>
    <phoneticPr fontId="6" type="noConversion"/>
  </si>
  <si>
    <t>BASE CASE RESULT</t>
  </si>
  <si>
    <t>BASE CASE RESULT</t>
    <phoneticPr fontId="6" type="noConversion"/>
  </si>
  <si>
    <t>Toatal cost</t>
  </si>
  <si>
    <t>Total QALY</t>
  </si>
  <si>
    <t>BASE CASE Result</t>
    <phoneticPr fontId="6" type="noConversion"/>
  </si>
  <si>
    <t>Utility(ISS&gt;=16)</t>
    <phoneticPr fontId="6" type="noConversion"/>
  </si>
  <si>
    <t>Utility (ISS ≥ 16)</t>
  </si>
  <si>
    <t>Rule</t>
    <phoneticPr fontId="6" type="noConversion"/>
  </si>
  <si>
    <t>-</t>
    <phoneticPr fontId="6" type="noConversion"/>
  </si>
  <si>
    <t>✅</t>
  </si>
  <si>
    <t>Total Cost (£)</t>
    <phoneticPr fontId="6" type="noConversion"/>
  </si>
  <si>
    <t>Total QALY</t>
    <phoneticPr fontId="6" type="noConversion"/>
  </si>
  <si>
    <t>ICER vs Rule2</t>
    <phoneticPr fontId="6" type="noConversion"/>
  </si>
  <si>
    <t>Preferred Strategy</t>
    <phoneticPr fontId="6" type="noConversion"/>
  </si>
  <si>
    <t>Low (0.7)</t>
    <phoneticPr fontId="6" type="noConversion"/>
  </si>
  <si>
    <t>Base (0.8)</t>
    <phoneticPr fontId="6" type="noConversion"/>
  </si>
  <si>
    <t>High (0.9)</t>
    <phoneticPr fontId="6" type="noConversion"/>
  </si>
  <si>
    <t>Post-discharge cost (ISS ≥ 16, MTC)</t>
    <phoneticPr fontId="6" type="noConversion"/>
  </si>
  <si>
    <t>Base (£36,915.46)</t>
    <phoneticPr fontId="6" type="noConversion"/>
  </si>
  <si>
    <t>Relative risk of death (ISS ≥ 16, local hospital)</t>
    <phoneticPr fontId="6" type="noConversion"/>
  </si>
  <si>
    <t>Base (1.25)</t>
    <phoneticPr fontId="6" type="noConversion"/>
  </si>
  <si>
    <t>High (1.375)</t>
    <phoneticPr fontId="6" type="noConversion"/>
  </si>
  <si>
    <t>Low (1.125)</t>
    <phoneticPr fontId="6" type="noConversion"/>
  </si>
  <si>
    <t>±10%</t>
    <phoneticPr fontId="6" type="noConversion"/>
  </si>
  <si>
    <t>High (£40607.1)</t>
    <phoneticPr fontId="6" type="noConversion"/>
  </si>
  <si>
    <t>Low (£33223.92)</t>
    <phoneticPr fontId="6" type="noConversion"/>
  </si>
  <si>
    <t>DSA</t>
    <phoneticPr fontId="6" type="noConversion"/>
  </si>
  <si>
    <t>Annual long-term cost (ISS ≥ 16)</t>
    <phoneticPr fontId="6" type="noConversion"/>
  </si>
  <si>
    <t>Base (£5625)</t>
    <phoneticPr fontId="6" type="noConversion"/>
  </si>
  <si>
    <t>High (£6187)</t>
    <phoneticPr fontId="6" type="noConversion"/>
  </si>
  <si>
    <t>Low (£5062)</t>
    <phoneticPr fontId="6" type="noConversion"/>
  </si>
  <si>
    <t>Parameter</t>
  </si>
  <si>
    <t>ICER @ Low</t>
  </si>
  <si>
    <t>ICER @ Base</t>
  </si>
  <si>
    <t>ICER @ High</t>
  </si>
  <si>
    <t>Post-discharge cost</t>
  </si>
  <si>
    <t>Annual long-term cost</t>
  </si>
  <si>
    <t>Relative risk of death</t>
  </si>
  <si>
    <t>Left = MIN(Base - Low, Base - High)</t>
  </si>
  <si>
    <t>Right = MAX(High - Base, Low - Base)</t>
  </si>
  <si>
    <t>Offset</t>
    <phoneticPr fontId="6" type="noConversion"/>
  </si>
  <si>
    <t>LEFT</t>
    <phoneticPr fontId="6" type="noConversion"/>
  </si>
  <si>
    <t>RIGHT</t>
    <phoneticPr fontId="6" type="noConversion"/>
  </si>
  <si>
    <t>Tornado Diagram</t>
    <phoneticPr fontId="6" type="noConversion"/>
  </si>
  <si>
    <t>1.1 Sort Strategies by QALY</t>
    <phoneticPr fontId="6" type="noConversion"/>
  </si>
  <si>
    <t>Rule 4</t>
    <phoneticPr fontId="6" type="noConversion"/>
  </si>
  <si>
    <t>Rule 2</t>
    <phoneticPr fontId="6" type="noConversion"/>
  </si>
  <si>
    <r>
      <t>Rule6 is strictly dominated</t>
    </r>
    <r>
      <rPr>
        <sz val="11"/>
        <color theme="1"/>
        <rFont val="新細明體"/>
        <family val="2"/>
        <scheme val="minor"/>
      </rPr>
      <t xml:space="preserve"> by Rule5 (higher cost, lower QALY). </t>
    </r>
    <r>
      <rPr>
        <b/>
        <sz val="11"/>
        <color theme="1"/>
        <rFont val="新細明體"/>
        <family val="1"/>
        <charset val="136"/>
        <scheme val="minor"/>
      </rPr>
      <t>Remove Rule6</t>
    </r>
    <r>
      <rPr>
        <sz val="11"/>
        <color theme="1"/>
        <rFont val="新細明體"/>
        <family val="2"/>
        <scheme val="minor"/>
      </rPr>
      <t>.</t>
    </r>
    <phoneticPr fontId="6" type="noConversion"/>
  </si>
  <si>
    <r>
      <t>Rule5 is strictly dominated</t>
    </r>
    <r>
      <rPr>
        <sz val="11"/>
        <color theme="1"/>
        <rFont val="新細明體"/>
        <family val="2"/>
        <scheme val="minor"/>
      </rPr>
      <t xml:space="preserve"> by Rule4 (higher cost, lower QALY). </t>
    </r>
    <r>
      <rPr>
        <b/>
        <sz val="11"/>
        <color theme="1"/>
        <rFont val="新細明體"/>
        <family val="1"/>
        <charset val="136"/>
        <scheme val="minor"/>
      </rPr>
      <t>Remove Rule5</t>
    </r>
    <r>
      <rPr>
        <sz val="11"/>
        <color theme="1"/>
        <rFont val="新細明體"/>
        <family val="2"/>
        <scheme val="minor"/>
      </rPr>
      <t>.</t>
    </r>
    <phoneticPr fontId="6" type="noConversion"/>
  </si>
  <si>
    <t>1.2 Compare Rule1-4</t>
    <phoneticPr fontId="6" type="noConversion"/>
  </si>
  <si>
    <t>Rule4 → Rule3: ICER=7,703/QALY</t>
    <phoneticPr fontId="6" type="noConversion"/>
  </si>
  <si>
    <t>Rule3 → Rule2:Rule2 dominare Rule3</t>
    <phoneticPr fontId="6" type="noConversion"/>
  </si>
  <si>
    <t>dominated by R2</t>
    <phoneticPr fontId="6" type="noConversion"/>
  </si>
  <si>
    <t>Extendly dominated by R2</t>
    <phoneticPr fontId="6" type="noConversion"/>
  </si>
  <si>
    <t>Rule1 is cost-effective if WTP &gt; £28,442/QALY.</t>
    <phoneticPr fontId="6" type="noConversion"/>
  </si>
  <si>
    <t>ICER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</si>
</sst>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£&quot;#,##0;[Red]\-&quot;£&quot;#,##0"/>
    <numFmt numFmtId="8" formatCode="&quot;£&quot;#,##0.00;[Red]\-&quot;£&quot;#,##0.00"/>
    <numFmt numFmtId="176" formatCode="0.0%"/>
    <numFmt numFmtId="177" formatCode="0.000000"/>
    <numFmt numFmtId="178" formatCode="&quot;£&quot;#,##0.00"/>
    <numFmt numFmtId="179" formatCode="0.00000000000000"/>
    <numFmt numFmtId="180" formatCode="0.00_);[Red]\(0.00\)"/>
    <numFmt numFmtId="181" formatCode="&quot;£&quot;#,##0.00_);[Red]\(&quot;£&quot;#,##0.00\)"/>
    <numFmt numFmtId="182" formatCode="0.000_ "/>
    <numFmt numFmtId="183" formatCode="0.000_);[Red]\(0.000\)"/>
  </numFmts>
  <fonts count="30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sz val="11"/>
      <color theme="1"/>
      <name val="Aptos Narrow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9"/>
      <name val="新細明體"/>
      <family val="3"/>
      <charset val="136"/>
      <scheme val="minor"/>
    </font>
    <font>
      <sz val="11"/>
      <color theme="1"/>
      <name val="Arial"/>
      <family val="2"/>
    </font>
    <font>
      <b/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scheme val="minor"/>
    </font>
    <font>
      <b/>
      <sz val="10"/>
      <name val="Arial"/>
      <family val="2"/>
    </font>
    <font>
      <sz val="10"/>
      <color indexed="10"/>
      <name val="Arial"/>
      <family val="2"/>
    </font>
    <font>
      <b/>
      <i/>
      <sz val="10"/>
      <name val="Arial"/>
      <family val="2"/>
    </font>
    <font>
      <sz val="11"/>
      <color theme="1"/>
      <name val="新細明體"/>
      <family val="2"/>
      <charset val="161"/>
      <scheme val="minor"/>
    </font>
    <font>
      <sz val="11"/>
      <color rgb="FFFF0000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8"/>
      <name val="Arial"/>
      <family val="2"/>
    </font>
    <font>
      <b/>
      <sz val="18"/>
      <color theme="1"/>
      <name val="Arial"/>
      <family val="2"/>
    </font>
    <font>
      <sz val="10"/>
      <color rgb="FFFF0000"/>
      <name val="Arial"/>
      <family val="2"/>
    </font>
    <font>
      <sz val="11"/>
      <color rgb="FF000000"/>
      <name val="新細明體"/>
      <family val="1"/>
      <charset val="136"/>
    </font>
    <font>
      <b/>
      <i/>
      <sz val="11"/>
      <color rgb="FFFF0000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新細明體"/>
      <family val="1"/>
      <charset val="136"/>
      <scheme val="major"/>
    </font>
    <font>
      <b/>
      <sz val="11"/>
      <color rgb="FFFF0000"/>
      <name val="Arial"/>
      <family val="2"/>
    </font>
    <font>
      <sz val="11"/>
      <color rgb="FFFF0000"/>
      <name val="新細明體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EE2E2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8">
    <xf numFmtId="0" fontId="0" fillId="0" borderId="0" xfId="0"/>
    <xf numFmtId="0" fontId="0" fillId="0" borderId="0" xfId="0" applyAlignment="1">
      <alignment wrapText="1"/>
    </xf>
    <xf numFmtId="10" fontId="0" fillId="0" borderId="0" xfId="0" applyNumberFormat="1"/>
    <xf numFmtId="176" fontId="0" fillId="0" borderId="0" xfId="1" applyNumberFormat="1" applyFont="1"/>
    <xf numFmtId="2" fontId="0" fillId="0" borderId="0" xfId="0" applyNumberFormat="1"/>
    <xf numFmtId="0" fontId="2" fillId="0" borderId="0" xfId="0" applyFont="1" applyAlignment="1">
      <alignment wrapText="1"/>
    </xf>
    <xf numFmtId="6" fontId="0" fillId="0" borderId="0" xfId="0" applyNumberFormat="1"/>
    <xf numFmtId="0" fontId="4" fillId="0" borderId="1" xfId="0" applyFont="1" applyBorder="1" applyAlignment="1">
      <alignment horizontal="center" vertical="center"/>
    </xf>
    <xf numFmtId="0" fontId="5" fillId="0" borderId="0" xfId="0" applyFont="1"/>
    <xf numFmtId="177" fontId="5" fillId="0" borderId="0" xfId="0" applyNumberFormat="1" applyFont="1"/>
    <xf numFmtId="178" fontId="0" fillId="0" borderId="0" xfId="0" applyNumberFormat="1"/>
    <xf numFmtId="0" fontId="7" fillId="0" borderId="0" xfId="0" applyFont="1"/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 wrapText="1"/>
    </xf>
    <xf numFmtId="0" fontId="0" fillId="0" borderId="0" xfId="0" applyAlignment="1">
      <alignment vertical="center"/>
    </xf>
    <xf numFmtId="8" fontId="0" fillId="0" borderId="0" xfId="0" applyNumberFormat="1" applyAlignment="1">
      <alignment vertical="center" wrapText="1"/>
    </xf>
    <xf numFmtId="0" fontId="8" fillId="0" borderId="0" xfId="0" applyFont="1" applyAlignment="1">
      <alignment horizontal="left" vertical="center" wrapText="1"/>
    </xf>
    <xf numFmtId="0" fontId="10" fillId="0" borderId="0" xfId="0" applyFont="1"/>
    <xf numFmtId="0" fontId="11" fillId="0" borderId="0" xfId="0" applyFont="1"/>
    <xf numFmtId="179" fontId="10" fillId="0" borderId="0" xfId="0" applyNumberFormat="1" applyFont="1"/>
    <xf numFmtId="179" fontId="10" fillId="0" borderId="0" xfId="0" applyNumberFormat="1" applyFont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5" xfId="0" applyBorder="1"/>
    <xf numFmtId="0" fontId="4" fillId="0" borderId="2" xfId="0" applyFont="1" applyBorder="1" applyAlignment="1">
      <alignment horizontal="center" vertical="center"/>
    </xf>
    <xf numFmtId="0" fontId="13" fillId="0" borderId="0" xfId="0" applyFont="1"/>
    <xf numFmtId="0" fontId="4" fillId="0" borderId="0" xfId="0" applyFont="1" applyAlignment="1">
      <alignment horizontal="center" vertical="center"/>
    </xf>
    <xf numFmtId="0" fontId="0" fillId="0" borderId="15" xfId="0" applyBorder="1"/>
    <xf numFmtId="181" fontId="0" fillId="0" borderId="0" xfId="0" applyNumberFormat="1"/>
    <xf numFmtId="0" fontId="0" fillId="0" borderId="10" xfId="0" applyBorder="1"/>
    <xf numFmtId="0" fontId="0" fillId="0" borderId="11" xfId="0" applyBorder="1"/>
    <xf numFmtId="0" fontId="2" fillId="0" borderId="12" xfId="0" applyFont="1" applyBorder="1"/>
    <xf numFmtId="0" fontId="2" fillId="0" borderId="14" xfId="0" applyFont="1" applyBorder="1"/>
    <xf numFmtId="181" fontId="0" fillId="0" borderId="15" xfId="0" applyNumberFormat="1" applyBorder="1"/>
    <xf numFmtId="0" fontId="14" fillId="0" borderId="0" xfId="0" applyFont="1"/>
    <xf numFmtId="181" fontId="7" fillId="0" borderId="0" xfId="0" applyNumberFormat="1" applyFont="1"/>
    <xf numFmtId="0" fontId="7" fillId="0" borderId="0" xfId="0" applyFont="1" applyAlignment="1">
      <alignment horizontal="center"/>
    </xf>
    <xf numFmtId="0" fontId="15" fillId="0" borderId="0" xfId="0" applyFont="1"/>
    <xf numFmtId="0" fontId="7" fillId="0" borderId="9" xfId="0" applyFont="1" applyBorder="1"/>
    <xf numFmtId="0" fontId="7" fillId="0" borderId="12" xfId="0" applyFont="1" applyBorder="1"/>
    <xf numFmtId="0" fontId="7" fillId="0" borderId="13" xfId="0" applyFont="1" applyBorder="1"/>
    <xf numFmtId="181" fontId="7" fillId="0" borderId="13" xfId="0" applyNumberFormat="1" applyFont="1" applyBorder="1"/>
    <xf numFmtId="0" fontId="7" fillId="0" borderId="14" xfId="0" applyFont="1" applyBorder="1"/>
    <xf numFmtId="0" fontId="7" fillId="0" borderId="16" xfId="0" applyFont="1" applyBorder="1"/>
    <xf numFmtId="0" fontId="10" fillId="0" borderId="3" xfId="0" applyFont="1" applyBorder="1"/>
    <xf numFmtId="10" fontId="7" fillId="0" borderId="0" xfId="0" applyNumberFormat="1" applyFont="1"/>
    <xf numFmtId="0" fontId="0" fillId="0" borderId="19" xfId="0" applyBorder="1"/>
    <xf numFmtId="0" fontId="0" fillId="0" borderId="20" xfId="0" applyBorder="1"/>
    <xf numFmtId="6" fontId="16" fillId="0" borderId="0" xfId="0" applyNumberFormat="1" applyFont="1"/>
    <xf numFmtId="0" fontId="17" fillId="0" borderId="0" xfId="0" applyFont="1"/>
    <xf numFmtId="0" fontId="18" fillId="0" borderId="0" xfId="0" applyFont="1"/>
    <xf numFmtId="0" fontId="10" fillId="0" borderId="3" xfId="0" applyFont="1" applyBorder="1" applyAlignment="1">
      <alignment horizontal="center" vertical="center"/>
    </xf>
    <xf numFmtId="180" fontId="5" fillId="0" borderId="0" xfId="0" applyNumberFormat="1" applyFont="1"/>
    <xf numFmtId="0" fontId="4" fillId="0" borderId="3" xfId="0" applyFont="1" applyBorder="1" applyAlignment="1">
      <alignment horizontal="center" vertical="center"/>
    </xf>
    <xf numFmtId="180" fontId="0" fillId="0" borderId="0" xfId="0" applyNumberFormat="1"/>
    <xf numFmtId="0" fontId="0" fillId="0" borderId="21" xfId="0" applyBorder="1"/>
    <xf numFmtId="0" fontId="0" fillId="0" borderId="22" xfId="0" applyBorder="1"/>
    <xf numFmtId="0" fontId="19" fillId="0" borderId="7" xfId="0" applyFont="1" applyBorder="1"/>
    <xf numFmtId="6" fontId="0" fillId="0" borderId="23" xfId="0" applyNumberFormat="1" applyBorder="1"/>
    <xf numFmtId="0" fontId="0" fillId="0" borderId="8" xfId="0" applyBorder="1"/>
    <xf numFmtId="0" fontId="19" fillId="0" borderId="0" xfId="0" applyFont="1"/>
    <xf numFmtId="1" fontId="10" fillId="0" borderId="0" xfId="0" applyNumberFormat="1" applyFont="1"/>
    <xf numFmtId="0" fontId="7" fillId="3" borderId="0" xfId="0" applyFont="1" applyFill="1"/>
    <xf numFmtId="0" fontId="21" fillId="0" borderId="9" xfId="0" applyFont="1" applyBorder="1"/>
    <xf numFmtId="178" fontId="7" fillId="0" borderId="0" xfId="0" applyNumberFormat="1" applyFont="1"/>
    <xf numFmtId="8" fontId="0" fillId="0" borderId="0" xfId="0" applyNumberFormat="1"/>
    <xf numFmtId="6" fontId="7" fillId="0" borderId="0" xfId="0" applyNumberFormat="1" applyFont="1"/>
    <xf numFmtId="8" fontId="7" fillId="0" borderId="0" xfId="0" applyNumberFormat="1" applyFont="1"/>
    <xf numFmtId="180" fontId="7" fillId="0" borderId="0" xfId="0" applyNumberFormat="1" applyFont="1"/>
    <xf numFmtId="0" fontId="7" fillId="0" borderId="11" xfId="0" applyFont="1" applyBorder="1"/>
    <xf numFmtId="0" fontId="7" fillId="0" borderId="10" xfId="0" applyFont="1" applyBorder="1"/>
    <xf numFmtId="0" fontId="7" fillId="0" borderId="15" xfId="0" applyFont="1" applyBorder="1"/>
    <xf numFmtId="0" fontId="4" fillId="0" borderId="10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12" fillId="0" borderId="0" xfId="0" applyFont="1" applyAlignment="1">
      <alignment wrapText="1"/>
    </xf>
    <xf numFmtId="0" fontId="7" fillId="4" borderId="0" xfId="0" applyFont="1" applyFill="1"/>
    <xf numFmtId="0" fontId="7" fillId="5" borderId="0" xfId="0" applyFont="1" applyFill="1"/>
    <xf numFmtId="0" fontId="7" fillId="6" borderId="0" xfId="0" applyFont="1" applyFill="1"/>
    <xf numFmtId="8" fontId="7" fillId="7" borderId="0" xfId="0" applyNumberFormat="1" applyFont="1" applyFill="1"/>
    <xf numFmtId="0" fontId="7" fillId="7" borderId="0" xfId="0" applyFont="1" applyFill="1"/>
    <xf numFmtId="181" fontId="7" fillId="7" borderId="0" xfId="0" applyNumberFormat="1" applyFont="1" applyFill="1"/>
    <xf numFmtId="181" fontId="7" fillId="8" borderId="0" xfId="0" applyNumberFormat="1" applyFont="1" applyFill="1"/>
    <xf numFmtId="0" fontId="7" fillId="8" borderId="0" xfId="0" applyFont="1" applyFill="1"/>
    <xf numFmtId="8" fontId="7" fillId="8" borderId="0" xfId="0" applyNumberFormat="1" applyFont="1" applyFill="1"/>
    <xf numFmtId="0" fontId="0" fillId="9" borderId="0" xfId="0" applyFill="1"/>
    <xf numFmtId="0" fontId="7" fillId="9" borderId="0" xfId="0" applyFont="1" applyFill="1"/>
    <xf numFmtId="180" fontId="0" fillId="9" borderId="0" xfId="0" applyNumberFormat="1" applyFill="1"/>
    <xf numFmtId="181" fontId="0" fillId="9" borderId="0" xfId="0" applyNumberFormat="1" applyFill="1"/>
    <xf numFmtId="0" fontId="0" fillId="9" borderId="24" xfId="0" applyFill="1" applyBorder="1"/>
    <xf numFmtId="181" fontId="7" fillId="9" borderId="24" xfId="0" applyNumberFormat="1" applyFont="1" applyFill="1" applyBorder="1"/>
    <xf numFmtId="0" fontId="7" fillId="9" borderId="24" xfId="0" applyFont="1" applyFill="1" applyBorder="1"/>
    <xf numFmtId="6" fontId="7" fillId="5" borderId="0" xfId="0" applyNumberFormat="1" applyFont="1" applyFill="1"/>
    <xf numFmtId="0" fontId="8" fillId="0" borderId="0" xfId="0" applyFont="1"/>
    <xf numFmtId="0" fontId="0" fillId="0" borderId="0" xfId="0" applyAlignment="1">
      <alignment horizontal="right"/>
    </xf>
    <xf numFmtId="0" fontId="0" fillId="5" borderId="0" xfId="0" applyFill="1"/>
    <xf numFmtId="0" fontId="0" fillId="4" borderId="0" xfId="0" applyFill="1"/>
    <xf numFmtId="0" fontId="0" fillId="10" borderId="0" xfId="0" applyFill="1"/>
    <xf numFmtId="0" fontId="14" fillId="0" borderId="9" xfId="0" applyFont="1" applyBorder="1"/>
    <xf numFmtId="0" fontId="4" fillId="0" borderId="11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23" fillId="0" borderId="0" xfId="0" applyFont="1"/>
    <xf numFmtId="0" fontId="23" fillId="0" borderId="9" xfId="0" applyFont="1" applyBorder="1"/>
    <xf numFmtId="0" fontId="23" fillId="0" borderId="14" xfId="0" applyFont="1" applyBorder="1"/>
    <xf numFmtId="0" fontId="4" fillId="0" borderId="34" xfId="0" applyFont="1" applyBorder="1" applyAlignment="1">
      <alignment horizontal="center" vertical="center"/>
    </xf>
    <xf numFmtId="0" fontId="5" fillId="0" borderId="12" xfId="0" applyFont="1" applyBorder="1"/>
    <xf numFmtId="0" fontId="5" fillId="0" borderId="14" xfId="0" applyFont="1" applyBorder="1"/>
    <xf numFmtId="180" fontId="5" fillId="0" borderId="15" xfId="0" applyNumberFormat="1" applyFont="1" applyBorder="1"/>
    <xf numFmtId="0" fontId="5" fillId="0" borderId="15" xfId="0" applyFont="1" applyBorder="1"/>
    <xf numFmtId="0" fontId="4" fillId="0" borderId="25" xfId="0" applyFont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25" fillId="9" borderId="10" xfId="0" applyFont="1" applyFill="1" applyBorder="1"/>
    <xf numFmtId="0" fontId="25" fillId="9" borderId="11" xfId="0" applyFont="1" applyFill="1" applyBorder="1"/>
    <xf numFmtId="0" fontId="23" fillId="11" borderId="9" xfId="0" applyFont="1" applyFill="1" applyBorder="1"/>
    <xf numFmtId="0" fontId="7" fillId="11" borderId="10" xfId="0" applyFont="1" applyFill="1" applyBorder="1"/>
    <xf numFmtId="0" fontId="7" fillId="11" borderId="11" xfId="0" applyFont="1" applyFill="1" applyBorder="1"/>
    <xf numFmtId="0" fontId="7" fillId="11" borderId="12" xfId="0" applyFont="1" applyFill="1" applyBorder="1"/>
    <xf numFmtId="0" fontId="7" fillId="11" borderId="0" xfId="0" applyFont="1" applyFill="1"/>
    <xf numFmtId="0" fontId="7" fillId="11" borderId="13" xfId="0" applyFont="1" applyFill="1" applyBorder="1"/>
    <xf numFmtId="0" fontId="7" fillId="11" borderId="14" xfId="0" applyFont="1" applyFill="1" applyBorder="1"/>
    <xf numFmtId="0" fontId="7" fillId="11" borderId="15" xfId="0" applyFont="1" applyFill="1" applyBorder="1"/>
    <xf numFmtId="0" fontId="7" fillId="11" borderId="16" xfId="0" applyFont="1" applyFill="1" applyBorder="1"/>
    <xf numFmtId="0" fontId="23" fillId="12" borderId="9" xfId="0" applyFont="1" applyFill="1" applyBorder="1"/>
    <xf numFmtId="0" fontId="7" fillId="12" borderId="11" xfId="0" applyFont="1" applyFill="1" applyBorder="1"/>
    <xf numFmtId="0" fontId="7" fillId="12" borderId="12" xfId="0" applyFont="1" applyFill="1" applyBorder="1"/>
    <xf numFmtId="0" fontId="7" fillId="12" borderId="13" xfId="0" applyFont="1" applyFill="1" applyBorder="1"/>
    <xf numFmtId="0" fontId="7" fillId="12" borderId="14" xfId="0" applyFont="1" applyFill="1" applyBorder="1"/>
    <xf numFmtId="0" fontId="7" fillId="12" borderId="16" xfId="0" applyFont="1" applyFill="1" applyBorder="1"/>
    <xf numFmtId="0" fontId="7" fillId="13" borderId="17" xfId="0" applyFont="1" applyFill="1" applyBorder="1"/>
    <xf numFmtId="0" fontId="4" fillId="13" borderId="28" xfId="0" applyFont="1" applyFill="1" applyBorder="1" applyAlignment="1">
      <alignment horizontal="center" vertical="center"/>
    </xf>
    <xf numFmtId="10" fontId="7" fillId="13" borderId="18" xfId="0" applyNumberFormat="1" applyFont="1" applyFill="1" applyBorder="1"/>
    <xf numFmtId="0" fontId="5" fillId="5" borderId="12" xfId="0" applyFont="1" applyFill="1" applyBorder="1"/>
    <xf numFmtId="181" fontId="0" fillId="0" borderId="0" xfId="0" applyNumberFormat="1" applyAlignment="1">
      <alignment vertical="center"/>
    </xf>
    <xf numFmtId="181" fontId="0" fillId="0" borderId="0" xfId="0" applyNumberFormat="1" applyAlignment="1">
      <alignment vertical="center" wrapText="1"/>
    </xf>
    <xf numFmtId="0" fontId="10" fillId="9" borderId="0" xfId="0" applyFont="1" applyFill="1"/>
    <xf numFmtId="179" fontId="10" fillId="9" borderId="0" xfId="0" applyNumberFormat="1" applyFont="1" applyFill="1"/>
    <xf numFmtId="0" fontId="8" fillId="9" borderId="0" xfId="0" applyFont="1" applyFill="1" applyAlignment="1">
      <alignment horizontal="left" vertical="center" wrapText="1"/>
    </xf>
    <xf numFmtId="0" fontId="0" fillId="13" borderId="0" xfId="0" applyFill="1" applyAlignment="1">
      <alignment wrapText="1"/>
    </xf>
    <xf numFmtId="0" fontId="8" fillId="13" borderId="0" xfId="0" applyFont="1" applyFill="1" applyAlignment="1">
      <alignment horizontal="left" vertical="center" wrapText="1"/>
    </xf>
    <xf numFmtId="0" fontId="10" fillId="13" borderId="0" xfId="0" applyFont="1" applyFill="1"/>
    <xf numFmtId="179" fontId="10" fillId="13" borderId="0" xfId="0" applyNumberFormat="1" applyFont="1" applyFill="1"/>
    <xf numFmtId="179" fontId="10" fillId="13" borderId="0" xfId="0" applyNumberFormat="1" applyFont="1" applyFill="1" applyAlignment="1">
      <alignment horizontal="center"/>
    </xf>
    <xf numFmtId="0" fontId="0" fillId="13" borderId="0" xfId="0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10" fontId="7" fillId="0" borderId="15" xfId="0" applyNumberFormat="1" applyFont="1" applyBorder="1"/>
    <xf numFmtId="10" fontId="7" fillId="4" borderId="0" xfId="0" applyNumberFormat="1" applyFont="1" applyFill="1"/>
    <xf numFmtId="10" fontId="7" fillId="4" borderId="15" xfId="0" applyNumberFormat="1" applyFont="1" applyFill="1" applyBorder="1"/>
    <xf numFmtId="0" fontId="7" fillId="4" borderId="15" xfId="0" applyFont="1" applyFill="1" applyBorder="1"/>
    <xf numFmtId="0" fontId="26" fillId="0" borderId="0" xfId="0" applyFont="1"/>
    <xf numFmtId="0" fontId="10" fillId="9" borderId="10" xfId="0" applyFont="1" applyFill="1" applyBorder="1"/>
    <xf numFmtId="0" fontId="27" fillId="0" borderId="15" xfId="0" applyFont="1" applyBorder="1"/>
    <xf numFmtId="0" fontId="23" fillId="0" borderId="10" xfId="0" applyFont="1" applyBorder="1"/>
    <xf numFmtId="0" fontId="22" fillId="0" borderId="0" xfId="0" applyFont="1"/>
    <xf numFmtId="0" fontId="22" fillId="0" borderId="15" xfId="0" applyFont="1" applyBorder="1"/>
    <xf numFmtId="178" fontId="2" fillId="0" borderId="0" xfId="0" applyNumberFormat="1" applyFont="1"/>
    <xf numFmtId="0" fontId="2" fillId="0" borderId="13" xfId="0" applyFont="1" applyBorder="1"/>
    <xf numFmtId="181" fontId="15" fillId="0" borderId="0" xfId="0" applyNumberFormat="1" applyFont="1"/>
    <xf numFmtId="0" fontId="23" fillId="0" borderId="12" xfId="0" applyFont="1" applyBorder="1"/>
    <xf numFmtId="0" fontId="8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0" fillId="0" borderId="12" xfId="0" applyBorder="1" applyAlignment="1">
      <alignment vertical="center"/>
    </xf>
    <xf numFmtId="0" fontId="8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8" fillId="13" borderId="12" xfId="0" applyFont="1" applyFill="1" applyBorder="1"/>
    <xf numFmtId="0" fontId="0" fillId="9" borderId="12" xfId="0" applyFill="1" applyBorder="1"/>
    <xf numFmtId="0" fontId="0" fillId="9" borderId="14" xfId="0" applyFill="1" applyBorder="1"/>
    <xf numFmtId="0" fontId="0" fillId="9" borderId="15" xfId="0" applyFill="1" applyBorder="1"/>
    <xf numFmtId="0" fontId="0" fillId="2" borderId="0" xfId="0" applyFill="1"/>
    <xf numFmtId="182" fontId="0" fillId="0" borderId="0" xfId="0" applyNumberFormat="1"/>
    <xf numFmtId="182" fontId="0" fillId="0" borderId="12" xfId="0" applyNumberFormat="1" applyBorder="1"/>
    <xf numFmtId="182" fontId="0" fillId="0" borderId="13" xfId="0" applyNumberFormat="1" applyBorder="1"/>
    <xf numFmtId="182" fontId="0" fillId="0" borderId="14" xfId="0" applyNumberFormat="1" applyBorder="1"/>
    <xf numFmtId="182" fontId="0" fillId="0" borderId="15" xfId="0" applyNumberFormat="1" applyBorder="1"/>
    <xf numFmtId="182" fontId="0" fillId="0" borderId="16" xfId="0" applyNumberFormat="1" applyBorder="1"/>
    <xf numFmtId="182" fontId="0" fillId="0" borderId="35" xfId="0" applyNumberFormat="1" applyBorder="1"/>
    <xf numFmtId="182" fontId="0" fillId="0" borderId="36" xfId="0" applyNumberFormat="1" applyBorder="1"/>
    <xf numFmtId="182" fontId="0" fillId="0" borderId="37" xfId="0" applyNumberFormat="1" applyBorder="1"/>
    <xf numFmtId="0" fontId="8" fillId="0" borderId="17" xfId="0" applyFont="1" applyBorder="1" applyAlignment="1">
      <alignment horizontal="center" vertical="center" wrapText="1"/>
    </xf>
    <xf numFmtId="0" fontId="8" fillId="0" borderId="28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182" fontId="8" fillId="6" borderId="12" xfId="0" applyNumberFormat="1" applyFont="1" applyFill="1" applyBorder="1"/>
    <xf numFmtId="182" fontId="8" fillId="0" borderId="12" xfId="0" applyNumberFormat="1" applyFont="1" applyBorder="1"/>
    <xf numFmtId="182" fontId="8" fillId="13" borderId="12" xfId="0" applyNumberFormat="1" applyFont="1" applyFill="1" applyBorder="1"/>
    <xf numFmtId="0" fontId="28" fillId="0" borderId="0" xfId="0" applyFont="1"/>
    <xf numFmtId="183" fontId="0" fillId="0" borderId="0" xfId="0" applyNumberFormat="1"/>
    <xf numFmtId="183" fontId="0" fillId="0" borderId="36" xfId="0" applyNumberFormat="1" applyBorder="1"/>
    <xf numFmtId="183" fontId="0" fillId="0" borderId="15" xfId="0" applyNumberFormat="1" applyBorder="1"/>
    <xf numFmtId="182" fontId="0" fillId="0" borderId="9" xfId="0" applyNumberFormat="1" applyBorder="1"/>
    <xf numFmtId="182" fontId="0" fillId="0" borderId="10" xfId="0" applyNumberFormat="1" applyBorder="1"/>
    <xf numFmtId="182" fontId="0" fillId="0" borderId="11" xfId="0" applyNumberFormat="1" applyBorder="1"/>
    <xf numFmtId="0" fontId="7" fillId="0" borderId="28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178" fontId="7" fillId="0" borderId="28" xfId="0" applyNumberFormat="1" applyFont="1" applyBorder="1" applyAlignment="1">
      <alignment horizontal="center"/>
    </xf>
    <xf numFmtId="180" fontId="7" fillId="0" borderId="28" xfId="0" applyNumberFormat="1" applyFont="1" applyBorder="1" applyAlignment="1">
      <alignment horizontal="center"/>
    </xf>
    <xf numFmtId="181" fontId="7" fillId="0" borderId="28" xfId="0" applyNumberFormat="1" applyFont="1" applyBorder="1" applyAlignment="1">
      <alignment horizontal="center"/>
    </xf>
    <xf numFmtId="0" fontId="24" fillId="0" borderId="17" xfId="0" applyFont="1" applyBorder="1" applyAlignment="1">
      <alignment horizontal="center"/>
    </xf>
    <xf numFmtId="0" fontId="24" fillId="0" borderId="18" xfId="0" applyFont="1" applyBorder="1" applyAlignment="1">
      <alignment horizontal="center"/>
    </xf>
    <xf numFmtId="0" fontId="0" fillId="0" borderId="0" xfId="0" applyAlignment="1">
      <alignment horizontal="center"/>
    </xf>
    <xf numFmtId="0" fontId="24" fillId="0" borderId="31" xfId="0" applyFont="1" applyBorder="1" applyAlignment="1">
      <alignment horizontal="center"/>
    </xf>
    <xf numFmtId="0" fontId="24" fillId="0" borderId="32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4" fillId="0" borderId="1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/>
    </xf>
    <xf numFmtId="0" fontId="24" fillId="0" borderId="25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7" fillId="0" borderId="0" xfId="0" applyFont="1" applyAlignment="1">
      <alignment horizontal="center"/>
    </xf>
    <xf numFmtId="0" fontId="18" fillId="2" borderId="0" xfId="0" applyFont="1" applyFill="1" applyAlignment="1">
      <alignment horizontal="center"/>
    </xf>
    <xf numFmtId="0" fontId="7" fillId="0" borderId="0" xfId="0" applyFont="1" applyBorder="1"/>
    <xf numFmtId="181" fontId="7" fillId="0" borderId="0" xfId="0" applyNumberFormat="1" applyFont="1" applyBorder="1"/>
    <xf numFmtId="0" fontId="8" fillId="0" borderId="0" xfId="0" applyFont="1" applyBorder="1" applyAlignment="1">
      <alignment horizontal="center" vertical="center" wrapText="1"/>
    </xf>
    <xf numFmtId="0" fontId="0" fillId="0" borderId="0" xfId="0" applyBorder="1"/>
    <xf numFmtId="4" fontId="0" fillId="0" borderId="0" xfId="0" applyNumberForma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8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8" fillId="0" borderId="0" xfId="0" applyFont="1" applyBorder="1" applyAlignment="1">
      <alignment vertical="center" wrapText="1"/>
    </xf>
    <xf numFmtId="6" fontId="8" fillId="0" borderId="0" xfId="0" applyNumberFormat="1" applyFont="1" applyBorder="1" applyAlignment="1">
      <alignment vertical="center" wrapText="1"/>
    </xf>
    <xf numFmtId="0" fontId="0" fillId="9" borderId="0" xfId="0" applyFill="1" applyBorder="1"/>
    <xf numFmtId="182" fontId="0" fillId="0" borderId="0" xfId="0" applyNumberFormat="1" applyBorder="1"/>
    <xf numFmtId="183" fontId="0" fillId="0" borderId="0" xfId="0" applyNumberFormat="1" applyBorder="1"/>
    <xf numFmtId="0" fontId="29" fillId="0" borderId="0" xfId="0" applyFont="1" applyBorder="1" applyAlignment="1">
      <alignment vertical="center"/>
    </xf>
    <xf numFmtId="181" fontId="8" fillId="0" borderId="0" xfId="0" applyNumberFormat="1" applyFont="1" applyBorder="1" applyAlignment="1">
      <alignment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EE2E2"/>
      <color rgb="FFFFFF99"/>
      <color rgb="FFFFCC66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altLang="zh-TW" sz="1400" b="0" i="0" u="none" strike="noStrike" baseline="0"/>
              <a:t>One-Way Sensitivity Analysis of ICER for Rule 1 vs Rule 2</a:t>
            </a:r>
            <a:endParaRPr lang="en-GB" altLang="zh-TW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 altLang="zh-TW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'ICER &amp; DSA'!$Q$32</c:f>
              <c:strCache>
                <c:ptCount val="1"/>
                <c:pt idx="0">
                  <c:v>Offset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'ICER &amp; DSA'!$K$33:$K$36</c:f>
              <c:strCache>
                <c:ptCount val="4"/>
                <c:pt idx="0">
                  <c:v>Post-discharge cost</c:v>
                </c:pt>
                <c:pt idx="1">
                  <c:v>Annual long-term cost</c:v>
                </c:pt>
                <c:pt idx="2">
                  <c:v>Relative risk of death</c:v>
                </c:pt>
                <c:pt idx="3">
                  <c:v>Utility (ISS ≥ 16)</c:v>
                </c:pt>
              </c:strCache>
            </c:strRef>
          </c:cat>
          <c:val>
            <c:numRef>
              <c:f>'ICER &amp; DSA'!$Q$33:$Q$36</c:f>
              <c:numCache>
                <c:formatCode>General</c:formatCode>
                <c:ptCount val="4"/>
                <c:pt idx="0">
                  <c:v>19328.169999999998</c:v>
                </c:pt>
                <c:pt idx="1">
                  <c:v>23621.31</c:v>
                </c:pt>
                <c:pt idx="2">
                  <c:v>23285.63</c:v>
                </c:pt>
                <c:pt idx="3">
                  <c:v>23256.28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3C-42EB-9CC3-119824EA9A66}"/>
            </c:ext>
          </c:extLst>
        </c:ser>
        <c:ser>
          <c:idx val="1"/>
          <c:order val="1"/>
          <c:tx>
            <c:strRef>
              <c:f>'ICER &amp; DSA'!$R$32</c:f>
              <c:strCache>
                <c:ptCount val="1"/>
                <c:pt idx="0">
                  <c:v>LEFT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'ICER &amp; DSA'!$K$33:$K$36</c:f>
              <c:strCache>
                <c:ptCount val="4"/>
                <c:pt idx="0">
                  <c:v>Post-discharge cost</c:v>
                </c:pt>
                <c:pt idx="1">
                  <c:v>Annual long-term cost</c:v>
                </c:pt>
                <c:pt idx="2">
                  <c:v>Relative risk of death</c:v>
                </c:pt>
                <c:pt idx="3">
                  <c:v>Utility (ISS ≥ 16)</c:v>
                </c:pt>
              </c:strCache>
            </c:strRef>
          </c:cat>
          <c:val>
            <c:numRef>
              <c:f>'ICER &amp; DSA'!$R$33:$R$36</c:f>
              <c:numCache>
                <c:formatCode>General</c:formatCode>
                <c:ptCount val="4"/>
                <c:pt idx="0">
                  <c:v>6510.8300000000017</c:v>
                </c:pt>
                <c:pt idx="1">
                  <c:v>2217.6899999999987</c:v>
                </c:pt>
                <c:pt idx="2">
                  <c:v>2553.369999999999</c:v>
                </c:pt>
                <c:pt idx="3">
                  <c:v>2582.7200000000012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3C-42EB-9CC3-119824EA9A66}"/>
            </c:ext>
          </c:extLst>
        </c:ser>
        <c:ser>
          <c:idx val="2"/>
          <c:order val="2"/>
          <c:tx>
            <c:strRef>
              <c:f>'ICER &amp; DSA'!$S$32</c:f>
              <c:strCache>
                <c:ptCount val="1"/>
                <c:pt idx="0">
                  <c:v>RIGHT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'ICER &amp; DSA'!$K$33:$K$36</c:f>
              <c:strCache>
                <c:ptCount val="4"/>
                <c:pt idx="0">
                  <c:v>Post-discharge cost</c:v>
                </c:pt>
                <c:pt idx="1">
                  <c:v>Annual long-term cost</c:v>
                </c:pt>
                <c:pt idx="2">
                  <c:v>Relative risk of death</c:v>
                </c:pt>
                <c:pt idx="3">
                  <c:v>Utility (ISS ≥ 16)</c:v>
                </c:pt>
              </c:strCache>
            </c:strRef>
          </c:cat>
          <c:val>
            <c:numRef>
              <c:f>'ICER &amp; DSA'!$S$33:$S$36</c:f>
              <c:numCache>
                <c:formatCode>General</c:formatCode>
                <c:ptCount val="4"/>
                <c:pt idx="0">
                  <c:v>33616.269999999997</c:v>
                </c:pt>
                <c:pt idx="1">
                  <c:v>5462.2200000000012</c:v>
                </c:pt>
                <c:pt idx="2">
                  <c:v>2602.7200000000012</c:v>
                </c:pt>
                <c:pt idx="3">
                  <c:v>3227.9700000000012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3C-42EB-9CC3-119824EA9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5713392"/>
        <c:axId val="475710928"/>
      </c:barChart>
      <c:catAx>
        <c:axId val="47571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75710928"/>
        <c:crosses val="autoZero"/>
        <c:auto val="1"/>
        <c:lblAlgn val="ctr"/>
        <c:lblOffset val="100"/>
        <c:noMultiLvlLbl val="0"/>
      </c:catAx>
      <c:valAx>
        <c:axId val="475710928"/>
        <c:scaling>
          <c:orientation val="minMax"/>
          <c:min val="1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7571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altLang="zh-TW"/>
              <a:t>Cost-Effectiveness Acceptability Curve (CEAC)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PSA!$R$2</c:f>
              <c:strCache>
                <c:ptCount val="1"/>
                <c:pt idx="0">
                  <c:v>Rule1</c:v>
                </c:pt>
              </c:strCache>
            </c:strRef>
          </c:tx>
          <c:val>
            <c:numRef>
              <c:f>PSA!$R$3:$R$33</c:f>
              <c:numCache>
                <c:formatCode>0.00%</c:formatCode>
                <c:ptCount val="31"/>
                <c:pt idx="0">
                  <c:v>2.1999999999999999E-2</c:v>
                </c:pt>
                <c:pt idx="1">
                  <c:v>2.4E-2</c:v>
                </c:pt>
                <c:pt idx="2">
                  <c:v>2.5999999999999999E-2</c:v>
                </c:pt>
                <c:pt idx="3">
                  <c:v>0.03</c:v>
                </c:pt>
                <c:pt idx="4">
                  <c:v>0.04</c:v>
                </c:pt>
                <c:pt idx="5">
                  <c:v>4.8000000000000001E-2</c:v>
                </c:pt>
                <c:pt idx="6">
                  <c:v>5.3999999999999999E-2</c:v>
                </c:pt>
                <c:pt idx="7">
                  <c:v>0.06</c:v>
                </c:pt>
                <c:pt idx="8">
                  <c:v>7.8E-2</c:v>
                </c:pt>
                <c:pt idx="9">
                  <c:v>0.09</c:v>
                </c:pt>
                <c:pt idx="10">
                  <c:v>0.10199999999999999</c:v>
                </c:pt>
                <c:pt idx="11">
                  <c:v>0.11600000000000001</c:v>
                </c:pt>
                <c:pt idx="12">
                  <c:v>0.13200000000000001</c:v>
                </c:pt>
                <c:pt idx="13">
                  <c:v>0.156</c:v>
                </c:pt>
                <c:pt idx="14">
                  <c:v>0.186</c:v>
                </c:pt>
                <c:pt idx="15">
                  <c:v>0.20200000000000001</c:v>
                </c:pt>
                <c:pt idx="16">
                  <c:v>0.22800000000000001</c:v>
                </c:pt>
                <c:pt idx="17">
                  <c:v>0.254</c:v>
                </c:pt>
                <c:pt idx="18">
                  <c:v>0.27400000000000002</c:v>
                </c:pt>
                <c:pt idx="19">
                  <c:v>0.312</c:v>
                </c:pt>
                <c:pt idx="20">
                  <c:v>0.32800000000000001</c:v>
                </c:pt>
                <c:pt idx="21">
                  <c:v>0.35</c:v>
                </c:pt>
                <c:pt idx="22">
                  <c:v>0.374</c:v>
                </c:pt>
                <c:pt idx="23">
                  <c:v>0.39200000000000002</c:v>
                </c:pt>
                <c:pt idx="24">
                  <c:v>0.40799999999999997</c:v>
                </c:pt>
                <c:pt idx="25">
                  <c:v>0.434</c:v>
                </c:pt>
                <c:pt idx="26">
                  <c:v>0.46400000000000002</c:v>
                </c:pt>
                <c:pt idx="27">
                  <c:v>0.49199999999999999</c:v>
                </c:pt>
                <c:pt idx="28">
                  <c:v>0.52</c:v>
                </c:pt>
                <c:pt idx="29">
                  <c:v>0.54400000000000004</c:v>
                </c:pt>
                <c:pt idx="30">
                  <c:v>0.56599999999999995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EA-4894-AC91-EB5ADCEE508E}"/>
            </c:ext>
          </c:extLst>
        </c:ser>
        <c:ser>
          <c:idx val="1"/>
          <c:order val="1"/>
          <c:tx>
            <c:strRef>
              <c:f>PSA!$S$2</c:f>
              <c:strCache>
                <c:ptCount val="1"/>
                <c:pt idx="0">
                  <c:v>Rule2</c:v>
                </c:pt>
              </c:strCache>
            </c:strRef>
          </c:tx>
          <c:val>
            <c:numRef>
              <c:f>PSA!$S$3:$S$33</c:f>
              <c:numCache>
                <c:formatCode>0.00%</c:formatCode>
                <c:ptCount val="31"/>
                <c:pt idx="0">
                  <c:v>0.73</c:v>
                </c:pt>
                <c:pt idx="1">
                  <c:v>0.75800000000000001</c:v>
                </c:pt>
                <c:pt idx="2">
                  <c:v>0.78400000000000003</c:v>
                </c:pt>
                <c:pt idx="3">
                  <c:v>0.79400000000000004</c:v>
                </c:pt>
                <c:pt idx="4">
                  <c:v>0.80400000000000005</c:v>
                </c:pt>
                <c:pt idx="5">
                  <c:v>0.82599999999999996</c:v>
                </c:pt>
                <c:pt idx="6">
                  <c:v>0.84199999999999997</c:v>
                </c:pt>
                <c:pt idx="7">
                  <c:v>0.85</c:v>
                </c:pt>
                <c:pt idx="8">
                  <c:v>0.84799999999999998</c:v>
                </c:pt>
                <c:pt idx="9">
                  <c:v>0.84599999999999997</c:v>
                </c:pt>
                <c:pt idx="10">
                  <c:v>0.84399999999999997</c:v>
                </c:pt>
                <c:pt idx="11">
                  <c:v>0.83799999999999997</c:v>
                </c:pt>
                <c:pt idx="12">
                  <c:v>0.83199999999999996</c:v>
                </c:pt>
                <c:pt idx="13">
                  <c:v>0.81</c:v>
                </c:pt>
                <c:pt idx="14">
                  <c:v>0.78200000000000003</c:v>
                </c:pt>
                <c:pt idx="15">
                  <c:v>0.76800000000000002</c:v>
                </c:pt>
                <c:pt idx="16">
                  <c:v>0.74399999999999999</c:v>
                </c:pt>
                <c:pt idx="17">
                  <c:v>0.72</c:v>
                </c:pt>
                <c:pt idx="18">
                  <c:v>0.70199999999999996</c:v>
                </c:pt>
                <c:pt idx="19">
                  <c:v>0.66800000000000004</c:v>
                </c:pt>
                <c:pt idx="20">
                  <c:v>0.65400000000000003</c:v>
                </c:pt>
                <c:pt idx="21">
                  <c:v>0.63400000000000001</c:v>
                </c:pt>
                <c:pt idx="22">
                  <c:v>0.61399999999999999</c:v>
                </c:pt>
                <c:pt idx="23">
                  <c:v>0.59799999999999998</c:v>
                </c:pt>
                <c:pt idx="24">
                  <c:v>0.58199999999999996</c:v>
                </c:pt>
                <c:pt idx="25">
                  <c:v>0.55600000000000005</c:v>
                </c:pt>
                <c:pt idx="26">
                  <c:v>0.52600000000000002</c:v>
                </c:pt>
                <c:pt idx="27">
                  <c:v>0.498</c:v>
                </c:pt>
                <c:pt idx="28">
                  <c:v>0.47399999999999998</c:v>
                </c:pt>
                <c:pt idx="29">
                  <c:v>0.45</c:v>
                </c:pt>
                <c:pt idx="30">
                  <c:v>0.42799999999999999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EA-4894-AC91-EB5ADCEE508E}"/>
            </c:ext>
          </c:extLst>
        </c:ser>
        <c:ser>
          <c:idx val="2"/>
          <c:order val="2"/>
          <c:tx>
            <c:strRef>
              <c:f>PSA!$T$2</c:f>
              <c:strCache>
                <c:ptCount val="1"/>
                <c:pt idx="0">
                  <c:v>Rule3</c:v>
                </c:pt>
              </c:strCache>
            </c:strRef>
          </c:tx>
          <c:val>
            <c:numRef>
              <c:f>PSA!$T$3:$T$33</c:f>
              <c:numCache>
                <c:formatCode>0.00%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EA-4894-AC91-EB5ADCEE508E}"/>
            </c:ext>
          </c:extLst>
        </c:ser>
        <c:ser>
          <c:idx val="3"/>
          <c:order val="3"/>
          <c:tx>
            <c:strRef>
              <c:f>PSA!$U$2</c:f>
              <c:strCache>
                <c:ptCount val="1"/>
                <c:pt idx="0">
                  <c:v>Rule4</c:v>
                </c:pt>
              </c:strCache>
            </c:strRef>
          </c:tx>
          <c:val>
            <c:numRef>
              <c:f>PSA!$U$3:$U$33</c:f>
              <c:numCache>
                <c:formatCode>0.00%</c:formatCode>
                <c:ptCount val="31"/>
                <c:pt idx="0">
                  <c:v>0.126</c:v>
                </c:pt>
                <c:pt idx="1">
                  <c:v>0.11799999999999999</c:v>
                </c:pt>
                <c:pt idx="2">
                  <c:v>0.1</c:v>
                </c:pt>
                <c:pt idx="3">
                  <c:v>0.1</c:v>
                </c:pt>
                <c:pt idx="4">
                  <c:v>9.1999999999999998E-2</c:v>
                </c:pt>
                <c:pt idx="5">
                  <c:v>7.1999999999999995E-2</c:v>
                </c:pt>
                <c:pt idx="6">
                  <c:v>6.4000000000000001E-2</c:v>
                </c:pt>
                <c:pt idx="7">
                  <c:v>5.3999999999999999E-2</c:v>
                </c:pt>
                <c:pt idx="8">
                  <c:v>4.2000000000000003E-2</c:v>
                </c:pt>
                <c:pt idx="9">
                  <c:v>3.5999999999999997E-2</c:v>
                </c:pt>
                <c:pt idx="10">
                  <c:v>3.4000000000000002E-2</c:v>
                </c:pt>
                <c:pt idx="11">
                  <c:v>0.03</c:v>
                </c:pt>
                <c:pt idx="12">
                  <c:v>2.5999999999999999E-2</c:v>
                </c:pt>
                <c:pt idx="13">
                  <c:v>2.4E-2</c:v>
                </c:pt>
                <c:pt idx="14">
                  <c:v>2.1999999999999999E-2</c:v>
                </c:pt>
                <c:pt idx="15">
                  <c:v>0.02</c:v>
                </c:pt>
                <c:pt idx="16">
                  <c:v>1.7999999999999999E-2</c:v>
                </c:pt>
                <c:pt idx="17">
                  <c:v>1.7999999999999999E-2</c:v>
                </c:pt>
                <c:pt idx="18">
                  <c:v>1.6E-2</c:v>
                </c:pt>
                <c:pt idx="19">
                  <c:v>1.4E-2</c:v>
                </c:pt>
                <c:pt idx="20">
                  <c:v>1.4E-2</c:v>
                </c:pt>
                <c:pt idx="21">
                  <c:v>1.4E-2</c:v>
                </c:pt>
                <c:pt idx="22">
                  <c:v>0.01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6.0000000000000001E-3</c:v>
                </c:pt>
                <c:pt idx="29">
                  <c:v>6.0000000000000001E-3</c:v>
                </c:pt>
                <c:pt idx="30">
                  <c:v>6.0000000000000001E-3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EA-4894-AC91-EB5ADCEE508E}"/>
            </c:ext>
          </c:extLst>
        </c:ser>
        <c:ser>
          <c:idx val="4"/>
          <c:order val="4"/>
          <c:tx>
            <c:strRef>
              <c:f>PSA!$V$2</c:f>
              <c:strCache>
                <c:ptCount val="1"/>
                <c:pt idx="0">
                  <c:v>Rule5</c:v>
                </c:pt>
              </c:strCache>
            </c:strRef>
          </c:tx>
          <c:val>
            <c:numRef>
              <c:f>PSA!$V$3:$V$33</c:f>
              <c:numCache>
                <c:formatCode>0.00%</c:formatCode>
                <c:ptCount val="31"/>
                <c:pt idx="0">
                  <c:v>6.4000000000000001E-2</c:v>
                </c:pt>
                <c:pt idx="1">
                  <c:v>4.5999999999999999E-2</c:v>
                </c:pt>
                <c:pt idx="2">
                  <c:v>4.3999999999999997E-2</c:v>
                </c:pt>
                <c:pt idx="3">
                  <c:v>4.3999999999999997E-2</c:v>
                </c:pt>
                <c:pt idx="4">
                  <c:v>3.5999999999999997E-2</c:v>
                </c:pt>
                <c:pt idx="5">
                  <c:v>3.2000000000000001E-2</c:v>
                </c:pt>
                <c:pt idx="6">
                  <c:v>0.02</c:v>
                </c:pt>
                <c:pt idx="7">
                  <c:v>1.7999999999999999E-2</c:v>
                </c:pt>
                <c:pt idx="8">
                  <c:v>1.6E-2</c:v>
                </c:pt>
                <c:pt idx="9">
                  <c:v>1.2E-2</c:v>
                </c:pt>
                <c:pt idx="10">
                  <c:v>8.0000000000000002E-3</c:v>
                </c:pt>
                <c:pt idx="11">
                  <c:v>6.0000000000000001E-3</c:v>
                </c:pt>
                <c:pt idx="12">
                  <c:v>4.0000000000000001E-3</c:v>
                </c:pt>
                <c:pt idx="13">
                  <c:v>4.0000000000000001E-3</c:v>
                </c:pt>
                <c:pt idx="14">
                  <c:v>4.0000000000000001E-3</c:v>
                </c:pt>
                <c:pt idx="15">
                  <c:v>4.0000000000000001E-3</c:v>
                </c:pt>
                <c:pt idx="16">
                  <c:v>4.0000000000000001E-3</c:v>
                </c:pt>
                <c:pt idx="17">
                  <c:v>4.0000000000000001E-3</c:v>
                </c:pt>
                <c:pt idx="18">
                  <c:v>6.0000000000000001E-3</c:v>
                </c:pt>
                <c:pt idx="19">
                  <c:v>6.0000000000000001E-3</c:v>
                </c:pt>
                <c:pt idx="20">
                  <c:v>4.0000000000000001E-3</c:v>
                </c:pt>
                <c:pt idx="21">
                  <c:v>2E-3</c:v>
                </c:pt>
                <c:pt idx="22">
                  <c:v>2E-3</c:v>
                </c:pt>
                <c:pt idx="23">
                  <c:v>2E-3</c:v>
                </c:pt>
                <c:pt idx="24">
                  <c:v>2E-3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EA-4894-AC91-EB5ADCEE508E}"/>
            </c:ext>
          </c:extLst>
        </c:ser>
        <c:ser>
          <c:idx val="5"/>
          <c:order val="5"/>
          <c:tx>
            <c:strRef>
              <c:f>PSA!$W$2</c:f>
              <c:strCache>
                <c:ptCount val="1"/>
                <c:pt idx="0">
                  <c:v>Rule6</c:v>
                </c:pt>
              </c:strCache>
            </c:strRef>
          </c:tx>
          <c:val>
            <c:numRef>
              <c:f>PSA!$W$3:$W$33</c:f>
              <c:numCache>
                <c:formatCode>0.00%</c:formatCode>
                <c:ptCount val="31"/>
                <c:pt idx="0">
                  <c:v>5.8000000000000003E-2</c:v>
                </c:pt>
                <c:pt idx="1">
                  <c:v>5.3999999999999999E-2</c:v>
                </c:pt>
                <c:pt idx="2">
                  <c:v>4.5999999999999999E-2</c:v>
                </c:pt>
                <c:pt idx="3">
                  <c:v>3.2000000000000001E-2</c:v>
                </c:pt>
                <c:pt idx="4">
                  <c:v>2.8000000000000001E-2</c:v>
                </c:pt>
                <c:pt idx="5">
                  <c:v>2.1999999999999999E-2</c:v>
                </c:pt>
                <c:pt idx="6">
                  <c:v>0.02</c:v>
                </c:pt>
                <c:pt idx="7">
                  <c:v>1.7999999999999999E-2</c:v>
                </c:pt>
                <c:pt idx="8">
                  <c:v>1.6E-2</c:v>
                </c:pt>
                <c:pt idx="9">
                  <c:v>1.6E-2</c:v>
                </c:pt>
                <c:pt idx="10">
                  <c:v>1.2E-2</c:v>
                </c:pt>
                <c:pt idx="11">
                  <c:v>0.01</c:v>
                </c:pt>
                <c:pt idx="12">
                  <c:v>6.0000000000000001E-3</c:v>
                </c:pt>
                <c:pt idx="13">
                  <c:v>6.0000000000000001E-3</c:v>
                </c:pt>
                <c:pt idx="14">
                  <c:v>6.0000000000000001E-3</c:v>
                </c:pt>
                <c:pt idx="15">
                  <c:v>6.0000000000000001E-3</c:v>
                </c:pt>
                <c:pt idx="16">
                  <c:v>6.0000000000000001E-3</c:v>
                </c:pt>
                <c:pt idx="17">
                  <c:v>4.0000000000000001E-3</c:v>
                </c:pt>
                <c:pt idx="18">
                  <c:v>2E-3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2EA-4894-AC91-EB5ADCEE5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969376"/>
        <c:axId val="720967968"/>
      </c:lineChart>
      <c:catAx>
        <c:axId val="720969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 altLang="zh-TW"/>
                  <a:t>Willingness-To-Pay (WTP)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20967968"/>
        <c:crosses val="autoZero"/>
        <c:auto val="1"/>
        <c:lblAlgn val="ctr"/>
        <c:lblOffset val="100"/>
        <c:noMultiLvlLbl val="0"/>
      </c:catAx>
      <c:valAx>
        <c:axId val="720967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 altLang="zh-TW"/>
                  <a:t>Probability of Acceptability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72096937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EVPI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PSA!$AC$3:$AC$33</c:f>
              <c:numCache>
                <c:formatCode>"£"#,##0.00_);[Red]\("£"#,##0.00\)</c:formatCode>
                <c:ptCount val="3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</c:numCache>
            </c:numRef>
          </c:cat>
          <c:val>
            <c:numRef>
              <c:f>PSA!$AD$3:$AD$33</c:f>
              <c:numCache>
                <c:formatCode>"£"#,##0.00_);[Red]\("£"#,##0.00\)</c:formatCode>
                <c:ptCount val="31"/>
                <c:pt idx="0">
                  <c:v>74.95</c:v>
                </c:pt>
                <c:pt idx="1">
                  <c:v>63.73</c:v>
                </c:pt>
                <c:pt idx="2">
                  <c:v>54.72</c:v>
                </c:pt>
                <c:pt idx="3">
                  <c:v>47.04</c:v>
                </c:pt>
                <c:pt idx="4">
                  <c:v>40.89</c:v>
                </c:pt>
                <c:pt idx="5">
                  <c:v>36.04</c:v>
                </c:pt>
                <c:pt idx="6">
                  <c:v>33</c:v>
                </c:pt>
                <c:pt idx="7">
                  <c:v>31.15</c:v>
                </c:pt>
                <c:pt idx="8">
                  <c:v>30.45</c:v>
                </c:pt>
                <c:pt idx="9">
                  <c:v>31</c:v>
                </c:pt>
                <c:pt idx="10">
                  <c:v>32.46</c:v>
                </c:pt>
                <c:pt idx="11">
                  <c:v>34.82</c:v>
                </c:pt>
                <c:pt idx="12">
                  <c:v>38.53</c:v>
                </c:pt>
                <c:pt idx="13">
                  <c:v>42.91</c:v>
                </c:pt>
                <c:pt idx="14">
                  <c:v>48.24</c:v>
                </c:pt>
                <c:pt idx="15">
                  <c:v>54.64</c:v>
                </c:pt>
                <c:pt idx="16">
                  <c:v>61.94</c:v>
                </c:pt>
                <c:pt idx="17">
                  <c:v>70.06</c:v>
                </c:pt>
                <c:pt idx="18">
                  <c:v>79.5</c:v>
                </c:pt>
                <c:pt idx="19">
                  <c:v>90.31</c:v>
                </c:pt>
                <c:pt idx="20">
                  <c:v>102.17</c:v>
                </c:pt>
                <c:pt idx="21">
                  <c:v>114.67</c:v>
                </c:pt>
                <c:pt idx="22">
                  <c:v>128.24</c:v>
                </c:pt>
                <c:pt idx="23">
                  <c:v>142.79</c:v>
                </c:pt>
                <c:pt idx="24">
                  <c:v>157.96</c:v>
                </c:pt>
                <c:pt idx="25">
                  <c:v>173.88</c:v>
                </c:pt>
                <c:pt idx="26">
                  <c:v>190.55</c:v>
                </c:pt>
                <c:pt idx="27">
                  <c:v>182.04</c:v>
                </c:pt>
                <c:pt idx="28">
                  <c:v>170.75</c:v>
                </c:pt>
                <c:pt idx="29">
                  <c:v>160.4</c:v>
                </c:pt>
                <c:pt idx="30">
                  <c:v>150.77000000000001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C1-4E26-A8D7-34EBB85EE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1005280"/>
        <c:axId val="721004224"/>
      </c:lineChart>
      <c:catAx>
        <c:axId val="721005280"/>
        <c:scaling>
          <c:orientation val="minMax"/>
        </c:scaling>
        <c:delete val="0"/>
        <c:axPos val="b"/>
        <c:numFmt formatCode="&quot;£&quot;#,##0.00_);[Red]\(&quot;£&quot;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21004224"/>
        <c:crosses val="autoZero"/>
        <c:auto val="1"/>
        <c:lblAlgn val="ctr"/>
        <c:lblOffset val="100"/>
        <c:noMultiLvlLbl val="0"/>
      </c:catAx>
      <c:valAx>
        <c:axId val="72100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_);[Red]\(&quot;£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210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542258</xdr:colOff>
      <xdr:row>43</xdr:row>
      <xdr:rowOff>83636</xdr:rowOff>
    </xdr:from>
    <xdr:to>
      <xdr:col>18</xdr:col>
      <xdr:colOff>481376</xdr:colOff>
      <xdr:row>61</xdr:row>
      <xdr:rowOff>165505</xdr:rowOff>
    </xdr:to>
    <xdr:cxnSp macro="">
      <xdr:nvCxnSpPr>
        <xdr:cNvPr id="2" name="Elbow Connector 39">
          <a:extLst>
            <a:ext uri="{FF2B5EF4-FFF2-40B4-BE49-F238E27FC236}">
              <a16:creationId xmlns:a16="http://schemas.microsoft.com/office/drawing/2014/main" id="{4D7966D4-7447-4EBF-8A83-C5E17B94C6F9}"/>
            </a:ext>
          </a:extLst>
        </xdr:cNvPr>
        <xdr:cNvCxnSpPr>
          <a:cxnSpLocks/>
          <a:stCxn id="4" idx="4"/>
          <a:endCxn id="274" idx="2"/>
        </xdr:cNvCxnSpPr>
      </xdr:nvCxnSpPr>
      <xdr:spPr>
        <a:xfrm rot="16200000" flipH="1">
          <a:off x="12691256" y="8835596"/>
          <a:ext cx="3675698" cy="2708799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100014</xdr:colOff>
      <xdr:row>42</xdr:row>
      <xdr:rowOff>183576</xdr:rowOff>
    </xdr:from>
    <xdr:to>
      <xdr:col>19</xdr:col>
      <xdr:colOff>0</xdr:colOff>
      <xdr:row>43</xdr:row>
      <xdr:rowOff>13511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31F60ADC-F73B-4D27-927F-C41F2D108423}"/>
            </a:ext>
          </a:extLst>
        </xdr:cNvPr>
        <xdr:cNvCxnSpPr/>
      </xdr:nvCxnSpPr>
      <xdr:spPr>
        <a:xfrm>
          <a:off x="5770564" y="5892226"/>
          <a:ext cx="2846386" cy="1408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471662</xdr:colOff>
      <xdr:row>42</xdr:row>
      <xdr:rowOff>99512</xdr:rowOff>
    </xdr:from>
    <xdr:to>
      <xdr:col>14</xdr:col>
      <xdr:colOff>58920</xdr:colOff>
      <xdr:row>43</xdr:row>
      <xdr:rowOff>83636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CA7E5A1D-5114-4FAA-9AB0-AE523DCD2866}"/>
            </a:ext>
          </a:extLst>
        </xdr:cNvPr>
        <xdr:cNvSpPr/>
      </xdr:nvSpPr>
      <xdr:spPr>
        <a:xfrm>
          <a:off x="5583412" y="5808162"/>
          <a:ext cx="146058" cy="16827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503680</xdr:colOff>
      <xdr:row>24</xdr:row>
      <xdr:rowOff>162127</xdr:rowOff>
    </xdr:from>
    <xdr:to>
      <xdr:col>18</xdr:col>
      <xdr:colOff>540426</xdr:colOff>
      <xdr:row>42</xdr:row>
      <xdr:rowOff>98357</xdr:rowOff>
    </xdr:to>
    <xdr:cxnSp macro="">
      <xdr:nvCxnSpPr>
        <xdr:cNvPr id="5" name="Elbow Connector 34">
          <a:extLst>
            <a:ext uri="{FF2B5EF4-FFF2-40B4-BE49-F238E27FC236}">
              <a16:creationId xmlns:a16="http://schemas.microsoft.com/office/drawing/2014/main" id="{582C6058-CF76-461C-B4B7-47B19A1D6C2E}"/>
            </a:ext>
          </a:extLst>
        </xdr:cNvPr>
        <xdr:cNvCxnSpPr/>
      </xdr:nvCxnSpPr>
      <xdr:spPr>
        <a:xfrm flipV="1">
          <a:off x="5615430" y="2556077"/>
          <a:ext cx="2983146" cy="3250930"/>
        </a:xfrm>
        <a:prstGeom prst="bentConnector3">
          <a:avLst>
            <a:gd name="adj1" fmla="val 18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24</xdr:row>
      <xdr:rowOff>82043</xdr:rowOff>
    </xdr:from>
    <xdr:to>
      <xdr:col>19</xdr:col>
      <xdr:colOff>68635</xdr:colOff>
      <xdr:row>25</xdr:row>
      <xdr:rowOff>59817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E266AC99-5511-4D93-897F-BD20D01D5A9D}"/>
            </a:ext>
          </a:extLst>
        </xdr:cNvPr>
        <xdr:cNvSpPr/>
      </xdr:nvSpPr>
      <xdr:spPr>
        <a:xfrm>
          <a:off x="8539527" y="24759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20</xdr:row>
      <xdr:rowOff>13510</xdr:rowOff>
    </xdr:from>
    <xdr:to>
      <xdr:col>24</xdr:col>
      <xdr:colOff>0</xdr:colOff>
      <xdr:row>24</xdr:row>
      <xdr:rowOff>121595</xdr:rowOff>
    </xdr:to>
    <xdr:cxnSp macro="">
      <xdr:nvCxnSpPr>
        <xdr:cNvPr id="7" name="Elbow Connector 59">
          <a:extLst>
            <a:ext uri="{FF2B5EF4-FFF2-40B4-BE49-F238E27FC236}">
              <a16:creationId xmlns:a16="http://schemas.microsoft.com/office/drawing/2014/main" id="{C8B661AF-1278-458A-BB2A-C7445CC9AD3B}"/>
            </a:ext>
          </a:extLst>
        </xdr:cNvPr>
        <xdr:cNvCxnSpPr>
          <a:cxnSpLocks/>
        </xdr:cNvCxnSpPr>
      </xdr:nvCxnSpPr>
      <xdr:spPr>
        <a:xfrm flipV="1">
          <a:off x="8616950" y="1670860"/>
          <a:ext cx="2978150" cy="844685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25</xdr:row>
      <xdr:rowOff>67823</xdr:rowOff>
    </xdr:from>
    <xdr:to>
      <xdr:col>24</xdr:col>
      <xdr:colOff>21585</xdr:colOff>
      <xdr:row>29</xdr:row>
      <xdr:rowOff>13511</xdr:rowOff>
    </xdr:to>
    <xdr:cxnSp macro="">
      <xdr:nvCxnSpPr>
        <xdr:cNvPr id="8" name="Elbow Connector 61">
          <a:extLst>
            <a:ext uri="{FF2B5EF4-FFF2-40B4-BE49-F238E27FC236}">
              <a16:creationId xmlns:a16="http://schemas.microsoft.com/office/drawing/2014/main" id="{112E7BEE-0604-4BB9-A1A2-F71CB5508866}"/>
            </a:ext>
          </a:extLst>
        </xdr:cNvPr>
        <xdr:cNvCxnSpPr/>
      </xdr:nvCxnSpPr>
      <xdr:spPr>
        <a:xfrm>
          <a:off x="8632456" y="2645923"/>
          <a:ext cx="2984229" cy="682288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24</xdr:row>
      <xdr:rowOff>82043</xdr:rowOff>
    </xdr:from>
    <xdr:to>
      <xdr:col>19</xdr:col>
      <xdr:colOff>68635</xdr:colOff>
      <xdr:row>25</xdr:row>
      <xdr:rowOff>59817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8956B159-2DE3-44BB-AAA7-383CEEE68368}"/>
            </a:ext>
          </a:extLst>
        </xdr:cNvPr>
        <xdr:cNvSpPr/>
      </xdr:nvSpPr>
      <xdr:spPr>
        <a:xfrm>
          <a:off x="8539527" y="24759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20</xdr:row>
      <xdr:rowOff>82043</xdr:rowOff>
    </xdr:from>
    <xdr:to>
      <xdr:col>24</xdr:col>
      <xdr:colOff>68635</xdr:colOff>
      <xdr:row>21</xdr:row>
      <xdr:rowOff>59817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C8403570-53A5-4D2D-93E0-3529EF3A8614}"/>
            </a:ext>
          </a:extLst>
        </xdr:cNvPr>
        <xdr:cNvSpPr/>
      </xdr:nvSpPr>
      <xdr:spPr>
        <a:xfrm>
          <a:off x="11517677" y="17393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0</xdr:colOff>
      <xdr:row>18</xdr:row>
      <xdr:rowOff>13510</xdr:rowOff>
    </xdr:from>
    <xdr:to>
      <xdr:col>31</xdr:col>
      <xdr:colOff>27021</xdr:colOff>
      <xdr:row>20</xdr:row>
      <xdr:rowOff>121595</xdr:rowOff>
    </xdr:to>
    <xdr:cxnSp macro="">
      <xdr:nvCxnSpPr>
        <xdr:cNvPr id="11" name="Elbow Connector 59">
          <a:extLst>
            <a:ext uri="{FF2B5EF4-FFF2-40B4-BE49-F238E27FC236}">
              <a16:creationId xmlns:a16="http://schemas.microsoft.com/office/drawing/2014/main" id="{9FA14C91-B0DF-46D9-A94A-315D968FE144}"/>
            </a:ext>
          </a:extLst>
        </xdr:cNvPr>
        <xdr:cNvCxnSpPr>
          <a:cxnSpLocks/>
        </xdr:cNvCxnSpPr>
      </xdr:nvCxnSpPr>
      <xdr:spPr>
        <a:xfrm flipV="1">
          <a:off x="11595100" y="1302560"/>
          <a:ext cx="4129121" cy="476385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20</xdr:row>
      <xdr:rowOff>67823</xdr:rowOff>
    </xdr:from>
    <xdr:to>
      <xdr:col>36</xdr:col>
      <xdr:colOff>0</xdr:colOff>
      <xdr:row>21</xdr:row>
      <xdr:rowOff>171349</xdr:rowOff>
    </xdr:to>
    <xdr:cxnSp macro="">
      <xdr:nvCxnSpPr>
        <xdr:cNvPr id="12" name="Elbow Connector 61">
          <a:extLst>
            <a:ext uri="{FF2B5EF4-FFF2-40B4-BE49-F238E27FC236}">
              <a16:creationId xmlns:a16="http://schemas.microsoft.com/office/drawing/2014/main" id="{E2D01857-99F7-4B9E-94FF-E5809C3176B4}"/>
            </a:ext>
          </a:extLst>
        </xdr:cNvPr>
        <xdr:cNvCxnSpPr/>
      </xdr:nvCxnSpPr>
      <xdr:spPr>
        <a:xfrm>
          <a:off x="11602862" y="1725173"/>
          <a:ext cx="6970888" cy="287676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20</xdr:row>
      <xdr:rowOff>82043</xdr:rowOff>
    </xdr:from>
    <xdr:to>
      <xdr:col>24</xdr:col>
      <xdr:colOff>68635</xdr:colOff>
      <xdr:row>21</xdr:row>
      <xdr:rowOff>59817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5383EE9B-55EF-469F-A57F-8B1DB151C407}"/>
            </a:ext>
          </a:extLst>
        </xdr:cNvPr>
        <xdr:cNvSpPr/>
      </xdr:nvSpPr>
      <xdr:spPr>
        <a:xfrm>
          <a:off x="11517677" y="17393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0</xdr:colOff>
      <xdr:row>18</xdr:row>
      <xdr:rowOff>13510</xdr:rowOff>
    </xdr:from>
    <xdr:to>
      <xdr:col>31</xdr:col>
      <xdr:colOff>27021</xdr:colOff>
      <xdr:row>20</xdr:row>
      <xdr:rowOff>121595</xdr:rowOff>
    </xdr:to>
    <xdr:cxnSp macro="">
      <xdr:nvCxnSpPr>
        <xdr:cNvPr id="14" name="Elbow Connector 59">
          <a:extLst>
            <a:ext uri="{FF2B5EF4-FFF2-40B4-BE49-F238E27FC236}">
              <a16:creationId xmlns:a16="http://schemas.microsoft.com/office/drawing/2014/main" id="{1462AE82-7D6E-47F2-BA62-3DE3A3C63AD5}"/>
            </a:ext>
          </a:extLst>
        </xdr:cNvPr>
        <xdr:cNvCxnSpPr>
          <a:cxnSpLocks/>
        </xdr:cNvCxnSpPr>
      </xdr:nvCxnSpPr>
      <xdr:spPr>
        <a:xfrm flipV="1">
          <a:off x="11595100" y="1302560"/>
          <a:ext cx="4129121" cy="476385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20</xdr:row>
      <xdr:rowOff>82043</xdr:rowOff>
    </xdr:from>
    <xdr:to>
      <xdr:col>24</xdr:col>
      <xdr:colOff>68635</xdr:colOff>
      <xdr:row>21</xdr:row>
      <xdr:rowOff>59817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F5D40567-D01C-4A74-BBD7-11F2FE61ADA6}"/>
            </a:ext>
          </a:extLst>
        </xdr:cNvPr>
        <xdr:cNvSpPr/>
      </xdr:nvSpPr>
      <xdr:spPr>
        <a:xfrm>
          <a:off x="11517677" y="17393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20</xdr:row>
      <xdr:rowOff>82043</xdr:rowOff>
    </xdr:from>
    <xdr:to>
      <xdr:col>24</xdr:col>
      <xdr:colOff>68635</xdr:colOff>
      <xdr:row>21</xdr:row>
      <xdr:rowOff>59817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8A2FC333-A451-46D8-9A7F-7816EFEB7483}"/>
            </a:ext>
          </a:extLst>
        </xdr:cNvPr>
        <xdr:cNvSpPr/>
      </xdr:nvSpPr>
      <xdr:spPr>
        <a:xfrm>
          <a:off x="11517677" y="17393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28</xdr:row>
      <xdr:rowOff>82043</xdr:rowOff>
    </xdr:from>
    <xdr:to>
      <xdr:col>24</xdr:col>
      <xdr:colOff>68635</xdr:colOff>
      <xdr:row>29</xdr:row>
      <xdr:rowOff>59817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C9FF6F47-CEA0-4263-AFE4-969DDC00F243}"/>
            </a:ext>
          </a:extLst>
        </xdr:cNvPr>
        <xdr:cNvSpPr/>
      </xdr:nvSpPr>
      <xdr:spPr>
        <a:xfrm>
          <a:off x="11517677" y="32125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28</xdr:row>
      <xdr:rowOff>82043</xdr:rowOff>
    </xdr:from>
    <xdr:to>
      <xdr:col>24</xdr:col>
      <xdr:colOff>68635</xdr:colOff>
      <xdr:row>29</xdr:row>
      <xdr:rowOff>59817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F19879E2-63A8-4A0D-952E-49D40D968D45}"/>
            </a:ext>
          </a:extLst>
        </xdr:cNvPr>
        <xdr:cNvSpPr/>
      </xdr:nvSpPr>
      <xdr:spPr>
        <a:xfrm>
          <a:off x="11517677" y="32125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28</xdr:row>
      <xdr:rowOff>82043</xdr:rowOff>
    </xdr:from>
    <xdr:to>
      <xdr:col>24</xdr:col>
      <xdr:colOff>68635</xdr:colOff>
      <xdr:row>29</xdr:row>
      <xdr:rowOff>59817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7896563D-4BFD-4DE0-83CC-9DE7323DA11B}"/>
            </a:ext>
          </a:extLst>
        </xdr:cNvPr>
        <xdr:cNvSpPr/>
      </xdr:nvSpPr>
      <xdr:spPr>
        <a:xfrm>
          <a:off x="11517677" y="32125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28</xdr:row>
      <xdr:rowOff>82043</xdr:rowOff>
    </xdr:from>
    <xdr:to>
      <xdr:col>24</xdr:col>
      <xdr:colOff>68635</xdr:colOff>
      <xdr:row>29</xdr:row>
      <xdr:rowOff>59817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751AE618-803C-4144-8C46-67E0B405941C}"/>
            </a:ext>
          </a:extLst>
        </xdr:cNvPr>
        <xdr:cNvSpPr/>
      </xdr:nvSpPr>
      <xdr:spPr>
        <a:xfrm>
          <a:off x="11517677" y="32125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27</xdr:row>
      <xdr:rowOff>13512</xdr:rowOff>
    </xdr:from>
    <xdr:to>
      <xdr:col>30</xdr:col>
      <xdr:colOff>513404</xdr:colOff>
      <xdr:row>28</xdr:row>
      <xdr:rowOff>82044</xdr:rowOff>
    </xdr:to>
    <xdr:cxnSp macro="">
      <xdr:nvCxnSpPr>
        <xdr:cNvPr id="21" name="Elbow Connector 59">
          <a:extLst>
            <a:ext uri="{FF2B5EF4-FFF2-40B4-BE49-F238E27FC236}">
              <a16:creationId xmlns:a16="http://schemas.microsoft.com/office/drawing/2014/main" id="{7A422A32-4370-4F21-8BC0-DAD34A38A135}"/>
            </a:ext>
          </a:extLst>
        </xdr:cNvPr>
        <xdr:cNvCxnSpPr>
          <a:cxnSpLocks/>
          <a:stCxn id="20" idx="0"/>
        </xdr:cNvCxnSpPr>
      </xdr:nvCxnSpPr>
      <xdr:spPr>
        <a:xfrm rot="5400000" flipH="1" flipV="1">
          <a:off x="13493698" y="1054488"/>
          <a:ext cx="252682" cy="4063530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17</xdr:row>
      <xdr:rowOff>82043</xdr:rowOff>
    </xdr:from>
    <xdr:to>
      <xdr:col>31</xdr:col>
      <xdr:colOff>68635</xdr:colOff>
      <xdr:row>18</xdr:row>
      <xdr:rowOff>59817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3983D52C-BE17-4930-90C7-464A153F7FF3}"/>
            </a:ext>
          </a:extLst>
        </xdr:cNvPr>
        <xdr:cNvSpPr/>
      </xdr:nvSpPr>
      <xdr:spPr>
        <a:xfrm>
          <a:off x="15619777" y="118694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15</xdr:row>
      <xdr:rowOff>168388</xdr:rowOff>
    </xdr:from>
    <xdr:to>
      <xdr:col>36</xdr:col>
      <xdr:colOff>27021</xdr:colOff>
      <xdr:row>18</xdr:row>
      <xdr:rowOff>90619</xdr:rowOff>
    </xdr:to>
    <xdr:cxnSp macro="">
      <xdr:nvCxnSpPr>
        <xdr:cNvPr id="23" name="Elbow Connector 59">
          <a:extLst>
            <a:ext uri="{FF2B5EF4-FFF2-40B4-BE49-F238E27FC236}">
              <a16:creationId xmlns:a16="http://schemas.microsoft.com/office/drawing/2014/main" id="{F233D429-CBEB-4E11-B2DB-DDBE82962C57}"/>
            </a:ext>
          </a:extLst>
        </xdr:cNvPr>
        <xdr:cNvCxnSpPr>
          <a:cxnSpLocks/>
        </xdr:cNvCxnSpPr>
      </xdr:nvCxnSpPr>
      <xdr:spPr>
        <a:xfrm flipV="1">
          <a:off x="15697200" y="904988"/>
          <a:ext cx="2903571" cy="474681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17</xdr:row>
      <xdr:rowOff>67823</xdr:rowOff>
    </xdr:from>
    <xdr:to>
      <xdr:col>35</xdr:col>
      <xdr:colOff>555915</xdr:colOff>
      <xdr:row>20</xdr:row>
      <xdr:rowOff>13511</xdr:rowOff>
    </xdr:to>
    <xdr:cxnSp macro="">
      <xdr:nvCxnSpPr>
        <xdr:cNvPr id="24" name="Elbow Connector 61">
          <a:extLst>
            <a:ext uri="{FF2B5EF4-FFF2-40B4-BE49-F238E27FC236}">
              <a16:creationId xmlns:a16="http://schemas.microsoft.com/office/drawing/2014/main" id="{317E9CA9-3FCC-4285-B666-BE67020E337D}"/>
            </a:ext>
          </a:extLst>
        </xdr:cNvPr>
        <xdr:cNvCxnSpPr/>
      </xdr:nvCxnSpPr>
      <xdr:spPr>
        <a:xfrm>
          <a:off x="15688236" y="1172723"/>
          <a:ext cx="2882629" cy="498138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17</xdr:row>
      <xdr:rowOff>82043</xdr:rowOff>
    </xdr:from>
    <xdr:to>
      <xdr:col>31</xdr:col>
      <xdr:colOff>68635</xdr:colOff>
      <xdr:row>18</xdr:row>
      <xdr:rowOff>59817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3BE3DAB1-B5E5-4CBB-9C25-80145B6C64B4}"/>
            </a:ext>
          </a:extLst>
        </xdr:cNvPr>
        <xdr:cNvSpPr/>
      </xdr:nvSpPr>
      <xdr:spPr>
        <a:xfrm>
          <a:off x="15619777" y="118694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17</xdr:row>
      <xdr:rowOff>82043</xdr:rowOff>
    </xdr:from>
    <xdr:to>
      <xdr:col>31</xdr:col>
      <xdr:colOff>68635</xdr:colOff>
      <xdr:row>18</xdr:row>
      <xdr:rowOff>59817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3B2969DF-11C8-4296-9190-C81F281F5600}"/>
            </a:ext>
          </a:extLst>
        </xdr:cNvPr>
        <xdr:cNvSpPr/>
      </xdr:nvSpPr>
      <xdr:spPr>
        <a:xfrm>
          <a:off x="15619777" y="118694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17</xdr:row>
      <xdr:rowOff>82043</xdr:rowOff>
    </xdr:from>
    <xdr:to>
      <xdr:col>31</xdr:col>
      <xdr:colOff>68635</xdr:colOff>
      <xdr:row>18</xdr:row>
      <xdr:rowOff>59817</xdr:rowOff>
    </xdr:to>
    <xdr:sp macro="" textlink="">
      <xdr:nvSpPr>
        <xdr:cNvPr id="27" name="Oval 26">
          <a:extLst>
            <a:ext uri="{FF2B5EF4-FFF2-40B4-BE49-F238E27FC236}">
              <a16:creationId xmlns:a16="http://schemas.microsoft.com/office/drawing/2014/main" id="{FCCFA3AB-B09C-4A9C-A2E4-DC8D934F9E83}"/>
            </a:ext>
          </a:extLst>
        </xdr:cNvPr>
        <xdr:cNvSpPr/>
      </xdr:nvSpPr>
      <xdr:spPr>
        <a:xfrm>
          <a:off x="15619777" y="118694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307697</xdr:colOff>
      <xdr:row>14</xdr:row>
      <xdr:rowOff>121954</xdr:rowOff>
    </xdr:from>
    <xdr:to>
      <xdr:col>36</xdr:col>
      <xdr:colOff>191977</xdr:colOff>
      <xdr:row>17</xdr:row>
      <xdr:rowOff>29535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F27C6B60-990C-4128-8D8A-C3F8AD7934D5}"/>
            </a:ext>
          </a:extLst>
        </xdr:cNvPr>
        <xdr:cNvSpPr/>
      </xdr:nvSpPr>
      <xdr:spPr>
        <a:xfrm>
          <a:off x="18322647" y="674404"/>
          <a:ext cx="443080" cy="460031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414468</xdr:colOff>
      <xdr:row>19</xdr:row>
      <xdr:rowOff>112082</xdr:rowOff>
    </xdr:from>
    <xdr:to>
      <xdr:col>36</xdr:col>
      <xdr:colOff>14091</xdr:colOff>
      <xdr:row>20</xdr:row>
      <xdr:rowOff>122741</xdr:rowOff>
    </xdr:to>
    <xdr:sp macro="" textlink="">
      <xdr:nvSpPr>
        <xdr:cNvPr id="29" name="Isosceles Triangle 28">
          <a:extLst>
            <a:ext uri="{FF2B5EF4-FFF2-40B4-BE49-F238E27FC236}">
              <a16:creationId xmlns:a16="http://schemas.microsoft.com/office/drawing/2014/main" id="{E45A03B3-0702-4A5F-92A7-40D0083471C9}"/>
            </a:ext>
          </a:extLst>
        </xdr:cNvPr>
        <xdr:cNvSpPr/>
      </xdr:nvSpPr>
      <xdr:spPr>
        <a:xfrm rot="16200000">
          <a:off x="18411225" y="1603475"/>
          <a:ext cx="194809" cy="158423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29</xdr:row>
      <xdr:rowOff>57743</xdr:rowOff>
    </xdr:from>
    <xdr:to>
      <xdr:col>36</xdr:col>
      <xdr:colOff>10080</xdr:colOff>
      <xdr:row>30</xdr:row>
      <xdr:rowOff>161270</xdr:rowOff>
    </xdr:to>
    <xdr:cxnSp macro="">
      <xdr:nvCxnSpPr>
        <xdr:cNvPr id="30" name="Elbow Connector 61">
          <a:extLst>
            <a:ext uri="{FF2B5EF4-FFF2-40B4-BE49-F238E27FC236}">
              <a16:creationId xmlns:a16="http://schemas.microsoft.com/office/drawing/2014/main" id="{9DD40799-1F4C-4E9F-B173-C20A7038C488}"/>
            </a:ext>
          </a:extLst>
        </xdr:cNvPr>
        <xdr:cNvCxnSpPr/>
      </xdr:nvCxnSpPr>
      <xdr:spPr>
        <a:xfrm>
          <a:off x="11612942" y="3372443"/>
          <a:ext cx="6970888" cy="287677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26</xdr:row>
      <xdr:rowOff>82043</xdr:rowOff>
    </xdr:from>
    <xdr:to>
      <xdr:col>31</xdr:col>
      <xdr:colOff>68635</xdr:colOff>
      <xdr:row>27</xdr:row>
      <xdr:rowOff>59817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A75DCFF4-16F5-4E65-882C-62CA8E65880E}"/>
            </a:ext>
          </a:extLst>
        </xdr:cNvPr>
        <xdr:cNvSpPr/>
      </xdr:nvSpPr>
      <xdr:spPr>
        <a:xfrm>
          <a:off x="15619777" y="28442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24</xdr:row>
      <xdr:rowOff>168388</xdr:rowOff>
    </xdr:from>
    <xdr:to>
      <xdr:col>36</xdr:col>
      <xdr:colOff>27021</xdr:colOff>
      <xdr:row>27</xdr:row>
      <xdr:rowOff>90619</xdr:rowOff>
    </xdr:to>
    <xdr:cxnSp macro="">
      <xdr:nvCxnSpPr>
        <xdr:cNvPr id="32" name="Elbow Connector 59">
          <a:extLst>
            <a:ext uri="{FF2B5EF4-FFF2-40B4-BE49-F238E27FC236}">
              <a16:creationId xmlns:a16="http://schemas.microsoft.com/office/drawing/2014/main" id="{0BE4F1F7-9780-4859-B064-D6C408153DD3}"/>
            </a:ext>
          </a:extLst>
        </xdr:cNvPr>
        <xdr:cNvCxnSpPr>
          <a:cxnSpLocks/>
        </xdr:cNvCxnSpPr>
      </xdr:nvCxnSpPr>
      <xdr:spPr>
        <a:xfrm flipV="1">
          <a:off x="15697200" y="2562338"/>
          <a:ext cx="2903571" cy="474681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26</xdr:row>
      <xdr:rowOff>67823</xdr:rowOff>
    </xdr:from>
    <xdr:to>
      <xdr:col>35</xdr:col>
      <xdr:colOff>555915</xdr:colOff>
      <xdr:row>29</xdr:row>
      <xdr:rowOff>13511</xdr:rowOff>
    </xdr:to>
    <xdr:cxnSp macro="">
      <xdr:nvCxnSpPr>
        <xdr:cNvPr id="33" name="Elbow Connector 61">
          <a:extLst>
            <a:ext uri="{FF2B5EF4-FFF2-40B4-BE49-F238E27FC236}">
              <a16:creationId xmlns:a16="http://schemas.microsoft.com/office/drawing/2014/main" id="{90B13D3C-D7A4-4D02-8BB5-FC9EA3971523}"/>
            </a:ext>
          </a:extLst>
        </xdr:cNvPr>
        <xdr:cNvCxnSpPr/>
      </xdr:nvCxnSpPr>
      <xdr:spPr>
        <a:xfrm>
          <a:off x="15688236" y="2830073"/>
          <a:ext cx="2882629" cy="498138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26</xdr:row>
      <xdr:rowOff>82043</xdr:rowOff>
    </xdr:from>
    <xdr:to>
      <xdr:col>31</xdr:col>
      <xdr:colOff>68635</xdr:colOff>
      <xdr:row>27</xdr:row>
      <xdr:rowOff>59817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38C88D5D-FE40-4297-A4F8-1EFFA2624A9C}"/>
            </a:ext>
          </a:extLst>
        </xdr:cNvPr>
        <xdr:cNvSpPr/>
      </xdr:nvSpPr>
      <xdr:spPr>
        <a:xfrm>
          <a:off x="15619777" y="28442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26</xdr:row>
      <xdr:rowOff>82043</xdr:rowOff>
    </xdr:from>
    <xdr:to>
      <xdr:col>31</xdr:col>
      <xdr:colOff>68635</xdr:colOff>
      <xdr:row>27</xdr:row>
      <xdr:rowOff>59817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FFE3DD34-712C-427C-B456-8B1DDE3080D9}"/>
            </a:ext>
          </a:extLst>
        </xdr:cNvPr>
        <xdr:cNvSpPr/>
      </xdr:nvSpPr>
      <xdr:spPr>
        <a:xfrm>
          <a:off x="15619777" y="28442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26</xdr:row>
      <xdr:rowOff>82043</xdr:rowOff>
    </xdr:from>
    <xdr:to>
      <xdr:col>31</xdr:col>
      <xdr:colOff>68635</xdr:colOff>
      <xdr:row>27</xdr:row>
      <xdr:rowOff>59817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D76A8B3C-692E-40EF-A981-54C5F8601202}"/>
            </a:ext>
          </a:extLst>
        </xdr:cNvPr>
        <xdr:cNvSpPr/>
      </xdr:nvSpPr>
      <xdr:spPr>
        <a:xfrm>
          <a:off x="15619777" y="28442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24</xdr:row>
      <xdr:rowOff>48117</xdr:rowOff>
    </xdr:from>
    <xdr:to>
      <xdr:col>36</xdr:col>
      <xdr:colOff>100793</xdr:colOff>
      <xdr:row>25</xdr:row>
      <xdr:rowOff>120953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C6356B90-A552-4AF4-A29E-6D38E6C6D8E1}"/>
            </a:ext>
          </a:extLst>
        </xdr:cNvPr>
        <xdr:cNvSpPr/>
      </xdr:nvSpPr>
      <xdr:spPr>
        <a:xfrm>
          <a:off x="18426019" y="2442067"/>
          <a:ext cx="248524" cy="25698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30</xdr:row>
      <xdr:rowOff>90713</xdr:rowOff>
    </xdr:from>
    <xdr:to>
      <xdr:col>36</xdr:col>
      <xdr:colOff>12880</xdr:colOff>
      <xdr:row>31</xdr:row>
      <xdr:rowOff>101372</xdr:rowOff>
    </xdr:to>
    <xdr:sp macro="" textlink="">
      <xdr:nvSpPr>
        <xdr:cNvPr id="38" name="Isosceles Triangle 37">
          <a:extLst>
            <a:ext uri="{FF2B5EF4-FFF2-40B4-BE49-F238E27FC236}">
              <a16:creationId xmlns:a16="http://schemas.microsoft.com/office/drawing/2014/main" id="{72BAD3D3-E5B4-49EB-BFDB-9CD5C3583DA1}"/>
            </a:ext>
          </a:extLst>
        </xdr:cNvPr>
        <xdr:cNvSpPr/>
      </xdr:nvSpPr>
      <xdr:spPr>
        <a:xfrm rot="16200000">
          <a:off x="18410014" y="3607756"/>
          <a:ext cx="194809" cy="158423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28</xdr:row>
      <xdr:rowOff>112082</xdr:rowOff>
    </xdr:from>
    <xdr:to>
      <xdr:col>36</xdr:col>
      <xdr:colOff>14091</xdr:colOff>
      <xdr:row>29</xdr:row>
      <xdr:rowOff>122741</xdr:rowOff>
    </xdr:to>
    <xdr:sp macro="" textlink="">
      <xdr:nvSpPr>
        <xdr:cNvPr id="39" name="Isosceles Triangle 38">
          <a:extLst>
            <a:ext uri="{FF2B5EF4-FFF2-40B4-BE49-F238E27FC236}">
              <a16:creationId xmlns:a16="http://schemas.microsoft.com/office/drawing/2014/main" id="{CD8AC905-8DEB-401E-8B53-7B96715E04A5}"/>
            </a:ext>
          </a:extLst>
        </xdr:cNvPr>
        <xdr:cNvSpPr/>
      </xdr:nvSpPr>
      <xdr:spPr>
        <a:xfrm rot="16200000">
          <a:off x="18411225" y="3260825"/>
          <a:ext cx="194809" cy="158423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21</xdr:row>
      <xdr:rowOff>83054</xdr:rowOff>
    </xdr:from>
    <xdr:to>
      <xdr:col>36</xdr:col>
      <xdr:colOff>15299</xdr:colOff>
      <xdr:row>22</xdr:row>
      <xdr:rowOff>93713</xdr:rowOff>
    </xdr:to>
    <xdr:sp macro="" textlink="">
      <xdr:nvSpPr>
        <xdr:cNvPr id="40" name="Isosceles Triangle 39">
          <a:extLst>
            <a:ext uri="{FF2B5EF4-FFF2-40B4-BE49-F238E27FC236}">
              <a16:creationId xmlns:a16="http://schemas.microsoft.com/office/drawing/2014/main" id="{EB2FF436-9C9D-4E8E-9352-87FCA6728F8B}"/>
            </a:ext>
          </a:extLst>
        </xdr:cNvPr>
        <xdr:cNvSpPr/>
      </xdr:nvSpPr>
      <xdr:spPr>
        <a:xfrm rot="16200000">
          <a:off x="18412433" y="1942747"/>
          <a:ext cx="194809" cy="158423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481377</xdr:colOff>
      <xdr:row>42</xdr:row>
      <xdr:rowOff>82043</xdr:rowOff>
    </xdr:from>
    <xdr:to>
      <xdr:col>19</xdr:col>
      <xdr:colOff>68635</xdr:colOff>
      <xdr:row>43</xdr:row>
      <xdr:rowOff>59817</xdr:rowOff>
    </xdr:to>
    <xdr:sp macro="" textlink="">
      <xdr:nvSpPr>
        <xdr:cNvPr id="41" name="Oval 40">
          <a:extLst>
            <a:ext uri="{FF2B5EF4-FFF2-40B4-BE49-F238E27FC236}">
              <a16:creationId xmlns:a16="http://schemas.microsoft.com/office/drawing/2014/main" id="{DED8EA54-0835-4E31-98FA-52A54391FF92}"/>
            </a:ext>
          </a:extLst>
        </xdr:cNvPr>
        <xdr:cNvSpPr/>
      </xdr:nvSpPr>
      <xdr:spPr>
        <a:xfrm>
          <a:off x="8539527" y="57906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38</xdr:row>
      <xdr:rowOff>13510</xdr:rowOff>
    </xdr:from>
    <xdr:to>
      <xdr:col>24</xdr:col>
      <xdr:colOff>0</xdr:colOff>
      <xdr:row>42</xdr:row>
      <xdr:rowOff>121595</xdr:rowOff>
    </xdr:to>
    <xdr:cxnSp macro="">
      <xdr:nvCxnSpPr>
        <xdr:cNvPr id="42" name="Elbow Connector 59">
          <a:extLst>
            <a:ext uri="{FF2B5EF4-FFF2-40B4-BE49-F238E27FC236}">
              <a16:creationId xmlns:a16="http://schemas.microsoft.com/office/drawing/2014/main" id="{0E5041FB-9427-4C69-9052-29739243C87F}"/>
            </a:ext>
          </a:extLst>
        </xdr:cNvPr>
        <xdr:cNvCxnSpPr>
          <a:cxnSpLocks/>
        </xdr:cNvCxnSpPr>
      </xdr:nvCxnSpPr>
      <xdr:spPr>
        <a:xfrm flipV="1">
          <a:off x="8616950" y="4985560"/>
          <a:ext cx="2978150" cy="844685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43</xdr:row>
      <xdr:rowOff>67823</xdr:rowOff>
    </xdr:from>
    <xdr:to>
      <xdr:col>24</xdr:col>
      <xdr:colOff>21585</xdr:colOff>
      <xdr:row>47</xdr:row>
      <xdr:rowOff>13511</xdr:rowOff>
    </xdr:to>
    <xdr:cxnSp macro="">
      <xdr:nvCxnSpPr>
        <xdr:cNvPr id="43" name="Elbow Connector 61">
          <a:extLst>
            <a:ext uri="{FF2B5EF4-FFF2-40B4-BE49-F238E27FC236}">
              <a16:creationId xmlns:a16="http://schemas.microsoft.com/office/drawing/2014/main" id="{55522BFD-A68E-4695-935D-B2F638AF3EC0}"/>
            </a:ext>
          </a:extLst>
        </xdr:cNvPr>
        <xdr:cNvCxnSpPr/>
      </xdr:nvCxnSpPr>
      <xdr:spPr>
        <a:xfrm>
          <a:off x="8632456" y="5960623"/>
          <a:ext cx="2984229" cy="682288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42</xdr:row>
      <xdr:rowOff>82043</xdr:rowOff>
    </xdr:from>
    <xdr:to>
      <xdr:col>19</xdr:col>
      <xdr:colOff>68635</xdr:colOff>
      <xdr:row>43</xdr:row>
      <xdr:rowOff>59817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F1B32289-B679-4BDB-8A1F-9EC8B44E0674}"/>
            </a:ext>
          </a:extLst>
        </xdr:cNvPr>
        <xdr:cNvSpPr/>
      </xdr:nvSpPr>
      <xdr:spPr>
        <a:xfrm>
          <a:off x="8539527" y="57906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501536</xdr:colOff>
      <xdr:row>37</xdr:row>
      <xdr:rowOff>112280</xdr:rowOff>
    </xdr:from>
    <xdr:to>
      <xdr:col>24</xdr:col>
      <xdr:colOff>88794</xdr:colOff>
      <xdr:row>38</xdr:row>
      <xdr:rowOff>90055</xdr:rowOff>
    </xdr:to>
    <xdr:sp macro="" textlink="">
      <xdr:nvSpPr>
        <xdr:cNvPr id="45" name="Oval 44">
          <a:extLst>
            <a:ext uri="{FF2B5EF4-FFF2-40B4-BE49-F238E27FC236}">
              <a16:creationId xmlns:a16="http://schemas.microsoft.com/office/drawing/2014/main" id="{48CEAA38-B48F-4480-9CD6-617839377B4A}"/>
            </a:ext>
          </a:extLst>
        </xdr:cNvPr>
        <xdr:cNvSpPr/>
      </xdr:nvSpPr>
      <xdr:spPr>
        <a:xfrm>
          <a:off x="11537836" y="4900180"/>
          <a:ext cx="146058" cy="161925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534205</xdr:colOff>
      <xdr:row>35</xdr:row>
      <xdr:rowOff>161644</xdr:rowOff>
    </xdr:from>
    <xdr:to>
      <xdr:col>30</xdr:col>
      <xdr:colOff>481377</xdr:colOff>
      <xdr:row>37</xdr:row>
      <xdr:rowOff>120952</xdr:rowOff>
    </xdr:to>
    <xdr:cxnSp macro="">
      <xdr:nvCxnSpPr>
        <xdr:cNvPr id="46" name="Elbow Connector 59">
          <a:extLst>
            <a:ext uri="{FF2B5EF4-FFF2-40B4-BE49-F238E27FC236}">
              <a16:creationId xmlns:a16="http://schemas.microsoft.com/office/drawing/2014/main" id="{137FB553-0DD8-49D3-9BA0-2FA033BCCF30}"/>
            </a:ext>
          </a:extLst>
        </xdr:cNvPr>
        <xdr:cNvCxnSpPr>
          <a:cxnSpLocks/>
          <a:endCxn id="58" idx="2"/>
        </xdr:cNvCxnSpPr>
      </xdr:nvCxnSpPr>
      <xdr:spPr>
        <a:xfrm flipV="1">
          <a:off x="11570505" y="4581244"/>
          <a:ext cx="4049272" cy="327608"/>
        </a:xfrm>
        <a:prstGeom prst="bentConnector3">
          <a:avLst>
            <a:gd name="adj1" fmla="val 495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38</xdr:row>
      <xdr:rowOff>67823</xdr:rowOff>
    </xdr:from>
    <xdr:to>
      <xdr:col>36</xdr:col>
      <xdr:colOff>0</xdr:colOff>
      <xdr:row>39</xdr:row>
      <xdr:rowOff>171349</xdr:rowOff>
    </xdr:to>
    <xdr:cxnSp macro="">
      <xdr:nvCxnSpPr>
        <xdr:cNvPr id="47" name="Elbow Connector 61">
          <a:extLst>
            <a:ext uri="{FF2B5EF4-FFF2-40B4-BE49-F238E27FC236}">
              <a16:creationId xmlns:a16="http://schemas.microsoft.com/office/drawing/2014/main" id="{8426E683-4242-41BB-886F-93A2285BC78D}"/>
            </a:ext>
          </a:extLst>
        </xdr:cNvPr>
        <xdr:cNvCxnSpPr/>
      </xdr:nvCxnSpPr>
      <xdr:spPr>
        <a:xfrm>
          <a:off x="11602862" y="5039873"/>
          <a:ext cx="6970888" cy="287676"/>
        </a:xfrm>
        <a:prstGeom prst="bentConnector3">
          <a:avLst>
            <a:gd name="adj1" fmla="val -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46</xdr:row>
      <xdr:rowOff>82043</xdr:rowOff>
    </xdr:from>
    <xdr:to>
      <xdr:col>24</xdr:col>
      <xdr:colOff>68635</xdr:colOff>
      <xdr:row>47</xdr:row>
      <xdr:rowOff>59817</xdr:rowOff>
    </xdr:to>
    <xdr:sp macro="" textlink="">
      <xdr:nvSpPr>
        <xdr:cNvPr id="48" name="Oval 47">
          <a:extLst>
            <a:ext uri="{FF2B5EF4-FFF2-40B4-BE49-F238E27FC236}">
              <a16:creationId xmlns:a16="http://schemas.microsoft.com/office/drawing/2014/main" id="{E4F4AC3E-9374-460E-B645-1E72FEF7BC0F}"/>
            </a:ext>
          </a:extLst>
        </xdr:cNvPr>
        <xdr:cNvSpPr/>
      </xdr:nvSpPr>
      <xdr:spPr>
        <a:xfrm>
          <a:off x="11517677" y="65272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46</xdr:row>
      <xdr:rowOff>82043</xdr:rowOff>
    </xdr:from>
    <xdr:to>
      <xdr:col>24</xdr:col>
      <xdr:colOff>68635</xdr:colOff>
      <xdr:row>47</xdr:row>
      <xdr:rowOff>59817</xdr:rowOff>
    </xdr:to>
    <xdr:sp macro="" textlink="">
      <xdr:nvSpPr>
        <xdr:cNvPr id="49" name="Oval 48">
          <a:extLst>
            <a:ext uri="{FF2B5EF4-FFF2-40B4-BE49-F238E27FC236}">
              <a16:creationId xmlns:a16="http://schemas.microsoft.com/office/drawing/2014/main" id="{590026A5-D9D6-4970-AFA7-17451CF6072C}"/>
            </a:ext>
          </a:extLst>
        </xdr:cNvPr>
        <xdr:cNvSpPr/>
      </xdr:nvSpPr>
      <xdr:spPr>
        <a:xfrm>
          <a:off x="11517677" y="65272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46</xdr:row>
      <xdr:rowOff>82043</xdr:rowOff>
    </xdr:from>
    <xdr:to>
      <xdr:col>24</xdr:col>
      <xdr:colOff>68635</xdr:colOff>
      <xdr:row>47</xdr:row>
      <xdr:rowOff>59817</xdr:rowOff>
    </xdr:to>
    <xdr:sp macro="" textlink="">
      <xdr:nvSpPr>
        <xdr:cNvPr id="50" name="Oval 49">
          <a:extLst>
            <a:ext uri="{FF2B5EF4-FFF2-40B4-BE49-F238E27FC236}">
              <a16:creationId xmlns:a16="http://schemas.microsoft.com/office/drawing/2014/main" id="{6E154C18-8D0F-4B9B-9DFD-FAB2B016CE62}"/>
            </a:ext>
          </a:extLst>
        </xdr:cNvPr>
        <xdr:cNvSpPr/>
      </xdr:nvSpPr>
      <xdr:spPr>
        <a:xfrm>
          <a:off x="11517677" y="65272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46</xdr:row>
      <xdr:rowOff>82043</xdr:rowOff>
    </xdr:from>
    <xdr:to>
      <xdr:col>24</xdr:col>
      <xdr:colOff>68635</xdr:colOff>
      <xdr:row>47</xdr:row>
      <xdr:rowOff>59817</xdr:rowOff>
    </xdr:to>
    <xdr:sp macro="" textlink="">
      <xdr:nvSpPr>
        <xdr:cNvPr id="51" name="Oval 50">
          <a:extLst>
            <a:ext uri="{FF2B5EF4-FFF2-40B4-BE49-F238E27FC236}">
              <a16:creationId xmlns:a16="http://schemas.microsoft.com/office/drawing/2014/main" id="{92A10B1D-10A2-48F9-97CC-8EB1477943F1}"/>
            </a:ext>
          </a:extLst>
        </xdr:cNvPr>
        <xdr:cNvSpPr/>
      </xdr:nvSpPr>
      <xdr:spPr>
        <a:xfrm>
          <a:off x="11517677" y="65272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45</xdr:row>
      <xdr:rowOff>13512</xdr:rowOff>
    </xdr:from>
    <xdr:to>
      <xdr:col>30</xdr:col>
      <xdr:colOff>513404</xdr:colOff>
      <xdr:row>46</xdr:row>
      <xdr:rowOff>82044</xdr:rowOff>
    </xdr:to>
    <xdr:cxnSp macro="">
      <xdr:nvCxnSpPr>
        <xdr:cNvPr id="52" name="Elbow Connector 59">
          <a:extLst>
            <a:ext uri="{FF2B5EF4-FFF2-40B4-BE49-F238E27FC236}">
              <a16:creationId xmlns:a16="http://schemas.microsoft.com/office/drawing/2014/main" id="{D29C6321-C14E-41E2-A099-37725CC2D45E}"/>
            </a:ext>
          </a:extLst>
        </xdr:cNvPr>
        <xdr:cNvCxnSpPr>
          <a:cxnSpLocks/>
          <a:stCxn id="51" idx="0"/>
        </xdr:cNvCxnSpPr>
      </xdr:nvCxnSpPr>
      <xdr:spPr>
        <a:xfrm rot="5400000" flipH="1" flipV="1">
          <a:off x="13493698" y="4369188"/>
          <a:ext cx="252682" cy="4063530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35</xdr:row>
      <xdr:rowOff>82043</xdr:rowOff>
    </xdr:from>
    <xdr:to>
      <xdr:col>31</xdr:col>
      <xdr:colOff>68635</xdr:colOff>
      <xdr:row>36</xdr:row>
      <xdr:rowOff>59817</xdr:rowOff>
    </xdr:to>
    <xdr:sp macro="" textlink="">
      <xdr:nvSpPr>
        <xdr:cNvPr id="53" name="Oval 52">
          <a:extLst>
            <a:ext uri="{FF2B5EF4-FFF2-40B4-BE49-F238E27FC236}">
              <a16:creationId xmlns:a16="http://schemas.microsoft.com/office/drawing/2014/main" id="{31DAB0BD-77A7-401E-A5BE-AB4D2EAB91E5}"/>
            </a:ext>
          </a:extLst>
        </xdr:cNvPr>
        <xdr:cNvSpPr/>
      </xdr:nvSpPr>
      <xdr:spPr>
        <a:xfrm>
          <a:off x="15619777" y="450164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33</xdr:row>
      <xdr:rowOff>168388</xdr:rowOff>
    </xdr:from>
    <xdr:to>
      <xdr:col>36</xdr:col>
      <xdr:colOff>27021</xdr:colOff>
      <xdr:row>36</xdr:row>
      <xdr:rowOff>90619</xdr:rowOff>
    </xdr:to>
    <xdr:cxnSp macro="">
      <xdr:nvCxnSpPr>
        <xdr:cNvPr id="54" name="Elbow Connector 59">
          <a:extLst>
            <a:ext uri="{FF2B5EF4-FFF2-40B4-BE49-F238E27FC236}">
              <a16:creationId xmlns:a16="http://schemas.microsoft.com/office/drawing/2014/main" id="{1F14E92F-E8C6-4E13-B989-AC2F783B7858}"/>
            </a:ext>
          </a:extLst>
        </xdr:cNvPr>
        <xdr:cNvCxnSpPr>
          <a:cxnSpLocks/>
        </xdr:cNvCxnSpPr>
      </xdr:nvCxnSpPr>
      <xdr:spPr>
        <a:xfrm flipV="1">
          <a:off x="15697200" y="4219688"/>
          <a:ext cx="2903571" cy="474681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35</xdr:row>
      <xdr:rowOff>67823</xdr:rowOff>
    </xdr:from>
    <xdr:to>
      <xdr:col>36</xdr:col>
      <xdr:colOff>290</xdr:colOff>
      <xdr:row>38</xdr:row>
      <xdr:rowOff>13511</xdr:rowOff>
    </xdr:to>
    <xdr:cxnSp macro="">
      <xdr:nvCxnSpPr>
        <xdr:cNvPr id="55" name="Elbow Connector 61">
          <a:extLst>
            <a:ext uri="{FF2B5EF4-FFF2-40B4-BE49-F238E27FC236}">
              <a16:creationId xmlns:a16="http://schemas.microsoft.com/office/drawing/2014/main" id="{F5D36633-9247-49EE-859D-504A519CA0A1}"/>
            </a:ext>
          </a:extLst>
        </xdr:cNvPr>
        <xdr:cNvCxnSpPr/>
      </xdr:nvCxnSpPr>
      <xdr:spPr>
        <a:xfrm>
          <a:off x="15688236" y="4487423"/>
          <a:ext cx="2885804" cy="498138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35</xdr:row>
      <xdr:rowOff>82043</xdr:rowOff>
    </xdr:from>
    <xdr:to>
      <xdr:col>31</xdr:col>
      <xdr:colOff>68635</xdr:colOff>
      <xdr:row>36</xdr:row>
      <xdr:rowOff>59817</xdr:rowOff>
    </xdr:to>
    <xdr:sp macro="" textlink="">
      <xdr:nvSpPr>
        <xdr:cNvPr id="56" name="Oval 55">
          <a:extLst>
            <a:ext uri="{FF2B5EF4-FFF2-40B4-BE49-F238E27FC236}">
              <a16:creationId xmlns:a16="http://schemas.microsoft.com/office/drawing/2014/main" id="{7C247CE8-4D03-4AEE-B627-618FC0BFE6B2}"/>
            </a:ext>
          </a:extLst>
        </xdr:cNvPr>
        <xdr:cNvSpPr/>
      </xdr:nvSpPr>
      <xdr:spPr>
        <a:xfrm>
          <a:off x="15619777" y="450164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35</xdr:row>
      <xdr:rowOff>82043</xdr:rowOff>
    </xdr:from>
    <xdr:to>
      <xdr:col>31</xdr:col>
      <xdr:colOff>68635</xdr:colOff>
      <xdr:row>36</xdr:row>
      <xdr:rowOff>59817</xdr:rowOff>
    </xdr:to>
    <xdr:sp macro="" textlink="">
      <xdr:nvSpPr>
        <xdr:cNvPr id="57" name="Oval 56">
          <a:extLst>
            <a:ext uri="{FF2B5EF4-FFF2-40B4-BE49-F238E27FC236}">
              <a16:creationId xmlns:a16="http://schemas.microsoft.com/office/drawing/2014/main" id="{761C4D4F-A25D-4408-BACD-2D62B2853DD8}"/>
            </a:ext>
          </a:extLst>
        </xdr:cNvPr>
        <xdr:cNvSpPr/>
      </xdr:nvSpPr>
      <xdr:spPr>
        <a:xfrm>
          <a:off x="15619777" y="450164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35</xdr:row>
      <xdr:rowOff>82043</xdr:rowOff>
    </xdr:from>
    <xdr:to>
      <xdr:col>31</xdr:col>
      <xdr:colOff>68635</xdr:colOff>
      <xdr:row>36</xdr:row>
      <xdr:rowOff>59817</xdr:rowOff>
    </xdr:to>
    <xdr:sp macro="" textlink="">
      <xdr:nvSpPr>
        <xdr:cNvPr id="58" name="Oval 57">
          <a:extLst>
            <a:ext uri="{FF2B5EF4-FFF2-40B4-BE49-F238E27FC236}">
              <a16:creationId xmlns:a16="http://schemas.microsoft.com/office/drawing/2014/main" id="{A08C38AC-3F54-483E-9704-5E9127AC2C70}"/>
            </a:ext>
          </a:extLst>
        </xdr:cNvPr>
        <xdr:cNvSpPr/>
      </xdr:nvSpPr>
      <xdr:spPr>
        <a:xfrm>
          <a:off x="15619777" y="450164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33</xdr:row>
      <xdr:rowOff>48117</xdr:rowOff>
    </xdr:from>
    <xdr:to>
      <xdr:col>36</xdr:col>
      <xdr:colOff>100793</xdr:colOff>
      <xdr:row>34</xdr:row>
      <xdr:rowOff>120953</xdr:rowOff>
    </xdr:to>
    <xdr:sp macro="" textlink="">
      <xdr:nvSpPr>
        <xdr:cNvPr id="59" name="Oval 58">
          <a:extLst>
            <a:ext uri="{FF2B5EF4-FFF2-40B4-BE49-F238E27FC236}">
              <a16:creationId xmlns:a16="http://schemas.microsoft.com/office/drawing/2014/main" id="{D583769D-4C79-4A7F-B00B-CC3AAD75C54C}"/>
            </a:ext>
          </a:extLst>
        </xdr:cNvPr>
        <xdr:cNvSpPr/>
      </xdr:nvSpPr>
      <xdr:spPr>
        <a:xfrm>
          <a:off x="18426019" y="4099417"/>
          <a:ext cx="248524" cy="25698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37</xdr:row>
      <xdr:rowOff>112082</xdr:rowOff>
    </xdr:from>
    <xdr:to>
      <xdr:col>36</xdr:col>
      <xdr:colOff>14091</xdr:colOff>
      <xdr:row>38</xdr:row>
      <xdr:rowOff>122741</xdr:rowOff>
    </xdr:to>
    <xdr:sp macro="" textlink="">
      <xdr:nvSpPr>
        <xdr:cNvPr id="60" name="Isosceles Triangle 59">
          <a:extLst>
            <a:ext uri="{FF2B5EF4-FFF2-40B4-BE49-F238E27FC236}">
              <a16:creationId xmlns:a16="http://schemas.microsoft.com/office/drawing/2014/main" id="{D5635535-32CB-42D3-8240-F5D49CA6BC02}"/>
            </a:ext>
          </a:extLst>
        </xdr:cNvPr>
        <xdr:cNvSpPr/>
      </xdr:nvSpPr>
      <xdr:spPr>
        <a:xfrm rot="16200000">
          <a:off x="18411225" y="4918175"/>
          <a:ext cx="194809" cy="158423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47</xdr:row>
      <xdr:rowOff>57743</xdr:rowOff>
    </xdr:from>
    <xdr:to>
      <xdr:col>36</xdr:col>
      <xdr:colOff>10080</xdr:colOff>
      <xdr:row>48</xdr:row>
      <xdr:rowOff>161270</xdr:rowOff>
    </xdr:to>
    <xdr:cxnSp macro="">
      <xdr:nvCxnSpPr>
        <xdr:cNvPr id="61" name="Elbow Connector 61">
          <a:extLst>
            <a:ext uri="{FF2B5EF4-FFF2-40B4-BE49-F238E27FC236}">
              <a16:creationId xmlns:a16="http://schemas.microsoft.com/office/drawing/2014/main" id="{D1FDD514-9FFC-4E98-AC0B-E31DBD99D565}"/>
            </a:ext>
          </a:extLst>
        </xdr:cNvPr>
        <xdr:cNvCxnSpPr/>
      </xdr:nvCxnSpPr>
      <xdr:spPr>
        <a:xfrm>
          <a:off x="11612942" y="6687143"/>
          <a:ext cx="6970888" cy="287677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44</xdr:row>
      <xdr:rowOff>82043</xdr:rowOff>
    </xdr:from>
    <xdr:to>
      <xdr:col>31</xdr:col>
      <xdr:colOff>68635</xdr:colOff>
      <xdr:row>45</xdr:row>
      <xdr:rowOff>59817</xdr:rowOff>
    </xdr:to>
    <xdr:sp macro="" textlink="">
      <xdr:nvSpPr>
        <xdr:cNvPr id="62" name="Oval 61">
          <a:extLst>
            <a:ext uri="{FF2B5EF4-FFF2-40B4-BE49-F238E27FC236}">
              <a16:creationId xmlns:a16="http://schemas.microsoft.com/office/drawing/2014/main" id="{5432F199-22E6-455C-A33B-479295B38DC8}"/>
            </a:ext>
          </a:extLst>
        </xdr:cNvPr>
        <xdr:cNvSpPr/>
      </xdr:nvSpPr>
      <xdr:spPr>
        <a:xfrm>
          <a:off x="15619777" y="61589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42</xdr:row>
      <xdr:rowOff>168388</xdr:rowOff>
    </xdr:from>
    <xdr:to>
      <xdr:col>36</xdr:col>
      <xdr:colOff>27021</xdr:colOff>
      <xdr:row>45</xdr:row>
      <xdr:rowOff>90619</xdr:rowOff>
    </xdr:to>
    <xdr:cxnSp macro="">
      <xdr:nvCxnSpPr>
        <xdr:cNvPr id="63" name="Elbow Connector 59">
          <a:extLst>
            <a:ext uri="{FF2B5EF4-FFF2-40B4-BE49-F238E27FC236}">
              <a16:creationId xmlns:a16="http://schemas.microsoft.com/office/drawing/2014/main" id="{C5B22C20-ED93-4985-821E-1CE73224839D}"/>
            </a:ext>
          </a:extLst>
        </xdr:cNvPr>
        <xdr:cNvCxnSpPr>
          <a:cxnSpLocks/>
        </xdr:cNvCxnSpPr>
      </xdr:nvCxnSpPr>
      <xdr:spPr>
        <a:xfrm flipV="1">
          <a:off x="15697200" y="5877038"/>
          <a:ext cx="2903571" cy="474681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44</xdr:row>
      <xdr:rowOff>67823</xdr:rowOff>
    </xdr:from>
    <xdr:to>
      <xdr:col>35</xdr:col>
      <xdr:colOff>555915</xdr:colOff>
      <xdr:row>47</xdr:row>
      <xdr:rowOff>13511</xdr:rowOff>
    </xdr:to>
    <xdr:cxnSp macro="">
      <xdr:nvCxnSpPr>
        <xdr:cNvPr id="64" name="Elbow Connector 61">
          <a:extLst>
            <a:ext uri="{FF2B5EF4-FFF2-40B4-BE49-F238E27FC236}">
              <a16:creationId xmlns:a16="http://schemas.microsoft.com/office/drawing/2014/main" id="{D84BDB2E-5342-4BAF-90A3-B02C9559EAE1}"/>
            </a:ext>
          </a:extLst>
        </xdr:cNvPr>
        <xdr:cNvCxnSpPr/>
      </xdr:nvCxnSpPr>
      <xdr:spPr>
        <a:xfrm>
          <a:off x="15688236" y="6144773"/>
          <a:ext cx="2882629" cy="498138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44</xdr:row>
      <xdr:rowOff>82043</xdr:rowOff>
    </xdr:from>
    <xdr:to>
      <xdr:col>31</xdr:col>
      <xdr:colOff>68635</xdr:colOff>
      <xdr:row>45</xdr:row>
      <xdr:rowOff>59817</xdr:rowOff>
    </xdr:to>
    <xdr:sp macro="" textlink="">
      <xdr:nvSpPr>
        <xdr:cNvPr id="65" name="Oval 64">
          <a:extLst>
            <a:ext uri="{FF2B5EF4-FFF2-40B4-BE49-F238E27FC236}">
              <a16:creationId xmlns:a16="http://schemas.microsoft.com/office/drawing/2014/main" id="{AF4A0642-6D85-44F6-8B26-929F9BD7FE70}"/>
            </a:ext>
          </a:extLst>
        </xdr:cNvPr>
        <xdr:cNvSpPr/>
      </xdr:nvSpPr>
      <xdr:spPr>
        <a:xfrm>
          <a:off x="15619777" y="61589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44</xdr:row>
      <xdr:rowOff>82043</xdr:rowOff>
    </xdr:from>
    <xdr:to>
      <xdr:col>31</xdr:col>
      <xdr:colOff>68635</xdr:colOff>
      <xdr:row>45</xdr:row>
      <xdr:rowOff>59817</xdr:rowOff>
    </xdr:to>
    <xdr:sp macro="" textlink="">
      <xdr:nvSpPr>
        <xdr:cNvPr id="66" name="Oval 65">
          <a:extLst>
            <a:ext uri="{FF2B5EF4-FFF2-40B4-BE49-F238E27FC236}">
              <a16:creationId xmlns:a16="http://schemas.microsoft.com/office/drawing/2014/main" id="{AA268D7B-699A-473C-B384-B761F39FD532}"/>
            </a:ext>
          </a:extLst>
        </xdr:cNvPr>
        <xdr:cNvSpPr/>
      </xdr:nvSpPr>
      <xdr:spPr>
        <a:xfrm>
          <a:off x="15619777" y="61589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44</xdr:row>
      <xdr:rowOff>82043</xdr:rowOff>
    </xdr:from>
    <xdr:to>
      <xdr:col>31</xdr:col>
      <xdr:colOff>68635</xdr:colOff>
      <xdr:row>45</xdr:row>
      <xdr:rowOff>59817</xdr:rowOff>
    </xdr:to>
    <xdr:sp macro="" textlink="">
      <xdr:nvSpPr>
        <xdr:cNvPr id="67" name="Oval 66">
          <a:extLst>
            <a:ext uri="{FF2B5EF4-FFF2-40B4-BE49-F238E27FC236}">
              <a16:creationId xmlns:a16="http://schemas.microsoft.com/office/drawing/2014/main" id="{9B07DA38-5F3A-455D-94B3-4C4B0F0ECAD8}"/>
            </a:ext>
          </a:extLst>
        </xdr:cNvPr>
        <xdr:cNvSpPr/>
      </xdr:nvSpPr>
      <xdr:spPr>
        <a:xfrm>
          <a:off x="15619777" y="6158993"/>
          <a:ext cx="146058" cy="161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42</xdr:row>
      <xdr:rowOff>48117</xdr:rowOff>
    </xdr:from>
    <xdr:to>
      <xdr:col>36</xdr:col>
      <xdr:colOff>100793</xdr:colOff>
      <xdr:row>43</xdr:row>
      <xdr:rowOff>120953</xdr:rowOff>
    </xdr:to>
    <xdr:sp macro="" textlink="">
      <xdr:nvSpPr>
        <xdr:cNvPr id="68" name="Oval 67">
          <a:extLst>
            <a:ext uri="{FF2B5EF4-FFF2-40B4-BE49-F238E27FC236}">
              <a16:creationId xmlns:a16="http://schemas.microsoft.com/office/drawing/2014/main" id="{2377E25E-5A30-4334-8392-B6E3B002BA15}"/>
            </a:ext>
          </a:extLst>
        </xdr:cNvPr>
        <xdr:cNvSpPr/>
      </xdr:nvSpPr>
      <xdr:spPr>
        <a:xfrm>
          <a:off x="18426019" y="5756767"/>
          <a:ext cx="248524" cy="25698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48</xdr:row>
      <xdr:rowOff>90713</xdr:rowOff>
    </xdr:from>
    <xdr:to>
      <xdr:col>36</xdr:col>
      <xdr:colOff>12880</xdr:colOff>
      <xdr:row>49</xdr:row>
      <xdr:rowOff>101372</xdr:rowOff>
    </xdr:to>
    <xdr:sp macro="" textlink="">
      <xdr:nvSpPr>
        <xdr:cNvPr id="69" name="Isosceles Triangle 68">
          <a:extLst>
            <a:ext uri="{FF2B5EF4-FFF2-40B4-BE49-F238E27FC236}">
              <a16:creationId xmlns:a16="http://schemas.microsoft.com/office/drawing/2014/main" id="{DEA31506-367E-4C36-A3C9-92A003F33441}"/>
            </a:ext>
          </a:extLst>
        </xdr:cNvPr>
        <xdr:cNvSpPr/>
      </xdr:nvSpPr>
      <xdr:spPr>
        <a:xfrm rot="16200000">
          <a:off x="18410014" y="6922456"/>
          <a:ext cx="194809" cy="158423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46</xdr:row>
      <xdr:rowOff>112082</xdr:rowOff>
    </xdr:from>
    <xdr:to>
      <xdr:col>36</xdr:col>
      <xdr:colOff>14091</xdr:colOff>
      <xdr:row>47</xdr:row>
      <xdr:rowOff>122741</xdr:rowOff>
    </xdr:to>
    <xdr:sp macro="" textlink="">
      <xdr:nvSpPr>
        <xdr:cNvPr id="70" name="Isosceles Triangle 69">
          <a:extLst>
            <a:ext uri="{FF2B5EF4-FFF2-40B4-BE49-F238E27FC236}">
              <a16:creationId xmlns:a16="http://schemas.microsoft.com/office/drawing/2014/main" id="{EE63473B-025F-47CC-921A-4A1AD153EE44}"/>
            </a:ext>
          </a:extLst>
        </xdr:cNvPr>
        <xdr:cNvSpPr/>
      </xdr:nvSpPr>
      <xdr:spPr>
        <a:xfrm rot="16200000">
          <a:off x="18411225" y="6575525"/>
          <a:ext cx="194809" cy="158423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39</xdr:row>
      <xdr:rowOff>83054</xdr:rowOff>
    </xdr:from>
    <xdr:to>
      <xdr:col>36</xdr:col>
      <xdr:colOff>15299</xdr:colOff>
      <xdr:row>40</xdr:row>
      <xdr:rowOff>93713</xdr:rowOff>
    </xdr:to>
    <xdr:sp macro="" textlink="">
      <xdr:nvSpPr>
        <xdr:cNvPr id="71" name="Isosceles Triangle 70">
          <a:extLst>
            <a:ext uri="{FF2B5EF4-FFF2-40B4-BE49-F238E27FC236}">
              <a16:creationId xmlns:a16="http://schemas.microsoft.com/office/drawing/2014/main" id="{74AD34BF-1AAC-4C9F-A74B-EEA379ED7A4E}"/>
            </a:ext>
          </a:extLst>
        </xdr:cNvPr>
        <xdr:cNvSpPr/>
      </xdr:nvSpPr>
      <xdr:spPr>
        <a:xfrm rot="16200000">
          <a:off x="18412433" y="5257447"/>
          <a:ext cx="194809" cy="158423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333247</xdr:colOff>
      <xdr:row>23</xdr:row>
      <xdr:rowOff>134612</xdr:rowOff>
    </xdr:from>
    <xdr:to>
      <xdr:col>36</xdr:col>
      <xdr:colOff>217527</xdr:colOff>
      <xdr:row>26</xdr:row>
      <xdr:rowOff>42193</xdr:rowOff>
    </xdr:to>
    <xdr:sp macro="" textlink="">
      <xdr:nvSpPr>
        <xdr:cNvPr id="87" name="Oval 86">
          <a:extLst>
            <a:ext uri="{FF2B5EF4-FFF2-40B4-BE49-F238E27FC236}">
              <a16:creationId xmlns:a16="http://schemas.microsoft.com/office/drawing/2014/main" id="{864DDE47-5EDC-45F4-AE77-2106036A4644}"/>
            </a:ext>
          </a:extLst>
        </xdr:cNvPr>
        <xdr:cNvSpPr/>
      </xdr:nvSpPr>
      <xdr:spPr>
        <a:xfrm>
          <a:off x="18348197" y="2344412"/>
          <a:ext cx="443080" cy="460031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323206</xdr:colOff>
      <xdr:row>32</xdr:row>
      <xdr:rowOff>139338</xdr:rowOff>
    </xdr:from>
    <xdr:to>
      <xdr:col>36</xdr:col>
      <xdr:colOff>207486</xdr:colOff>
      <xdr:row>35</xdr:row>
      <xdr:rowOff>46919</xdr:rowOff>
    </xdr:to>
    <xdr:sp macro="" textlink="">
      <xdr:nvSpPr>
        <xdr:cNvPr id="88" name="Oval 87">
          <a:extLst>
            <a:ext uri="{FF2B5EF4-FFF2-40B4-BE49-F238E27FC236}">
              <a16:creationId xmlns:a16="http://schemas.microsoft.com/office/drawing/2014/main" id="{514354F0-1D3A-420C-8CBE-20B4C710F3E7}"/>
            </a:ext>
          </a:extLst>
        </xdr:cNvPr>
        <xdr:cNvSpPr/>
      </xdr:nvSpPr>
      <xdr:spPr>
        <a:xfrm>
          <a:off x="18338156" y="4006488"/>
          <a:ext cx="443080" cy="460031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327932</xdr:colOff>
      <xdr:row>41</xdr:row>
      <xdr:rowOff>129296</xdr:rowOff>
    </xdr:from>
    <xdr:to>
      <xdr:col>36</xdr:col>
      <xdr:colOff>212212</xdr:colOff>
      <xdr:row>44</xdr:row>
      <xdr:rowOff>36877</xdr:rowOff>
    </xdr:to>
    <xdr:sp macro="" textlink="">
      <xdr:nvSpPr>
        <xdr:cNvPr id="89" name="Oval 88">
          <a:extLst>
            <a:ext uri="{FF2B5EF4-FFF2-40B4-BE49-F238E27FC236}">
              <a16:creationId xmlns:a16="http://schemas.microsoft.com/office/drawing/2014/main" id="{EECFA0D2-17BE-41BD-B33C-DF84A3005CCF}"/>
            </a:ext>
          </a:extLst>
        </xdr:cNvPr>
        <xdr:cNvSpPr/>
      </xdr:nvSpPr>
      <xdr:spPr>
        <a:xfrm>
          <a:off x="18342882" y="5653796"/>
          <a:ext cx="443080" cy="460031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18</xdr:col>
      <xdr:colOff>481377</xdr:colOff>
      <xdr:row>61</xdr:row>
      <xdr:rowOff>82043</xdr:rowOff>
    </xdr:from>
    <xdr:to>
      <xdr:col>19</xdr:col>
      <xdr:colOff>68635</xdr:colOff>
      <xdr:row>62</xdr:row>
      <xdr:rowOff>59817</xdr:rowOff>
    </xdr:to>
    <xdr:sp macro="" textlink="">
      <xdr:nvSpPr>
        <xdr:cNvPr id="271" name="Oval 270">
          <a:extLst>
            <a:ext uri="{FF2B5EF4-FFF2-40B4-BE49-F238E27FC236}">
              <a16:creationId xmlns:a16="http://schemas.microsoft.com/office/drawing/2014/main" id="{AB22B332-8827-45DE-A015-3209E6DDE17F}"/>
            </a:ext>
          </a:extLst>
        </xdr:cNvPr>
        <xdr:cNvSpPr/>
      </xdr:nvSpPr>
      <xdr:spPr>
        <a:xfrm>
          <a:off x="15883505" y="8161405"/>
          <a:ext cx="141194" cy="16692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57</xdr:row>
      <xdr:rowOff>13510</xdr:rowOff>
    </xdr:from>
    <xdr:to>
      <xdr:col>24</xdr:col>
      <xdr:colOff>0</xdr:colOff>
      <xdr:row>61</xdr:row>
      <xdr:rowOff>121595</xdr:rowOff>
    </xdr:to>
    <xdr:cxnSp macro="">
      <xdr:nvCxnSpPr>
        <xdr:cNvPr id="272" name="Elbow Connector 59">
          <a:extLst>
            <a:ext uri="{FF2B5EF4-FFF2-40B4-BE49-F238E27FC236}">
              <a16:creationId xmlns:a16="http://schemas.microsoft.com/office/drawing/2014/main" id="{F34C5116-C213-4C6C-9472-57D1BD5F865F}"/>
            </a:ext>
          </a:extLst>
        </xdr:cNvPr>
        <xdr:cNvCxnSpPr>
          <a:cxnSpLocks/>
        </xdr:cNvCxnSpPr>
      </xdr:nvCxnSpPr>
      <xdr:spPr>
        <a:xfrm flipV="1">
          <a:off x="15956064" y="7336276"/>
          <a:ext cx="2769681" cy="864681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62</xdr:row>
      <xdr:rowOff>67823</xdr:rowOff>
    </xdr:from>
    <xdr:to>
      <xdr:col>24</xdr:col>
      <xdr:colOff>21585</xdr:colOff>
      <xdr:row>66</xdr:row>
      <xdr:rowOff>13511</xdr:rowOff>
    </xdr:to>
    <xdr:cxnSp macro="">
      <xdr:nvCxnSpPr>
        <xdr:cNvPr id="273" name="Elbow Connector 61">
          <a:extLst>
            <a:ext uri="{FF2B5EF4-FFF2-40B4-BE49-F238E27FC236}">
              <a16:creationId xmlns:a16="http://schemas.microsoft.com/office/drawing/2014/main" id="{ADA81A07-208E-4557-A5B3-F284C57B5AE2}"/>
            </a:ext>
          </a:extLst>
        </xdr:cNvPr>
        <xdr:cNvCxnSpPr/>
      </xdr:nvCxnSpPr>
      <xdr:spPr>
        <a:xfrm>
          <a:off x="15971570" y="8336334"/>
          <a:ext cx="2775760" cy="70228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61</xdr:row>
      <xdr:rowOff>82043</xdr:rowOff>
    </xdr:from>
    <xdr:to>
      <xdr:col>19</xdr:col>
      <xdr:colOff>68635</xdr:colOff>
      <xdr:row>62</xdr:row>
      <xdr:rowOff>59817</xdr:rowOff>
    </xdr:to>
    <xdr:sp macro="" textlink="">
      <xdr:nvSpPr>
        <xdr:cNvPr id="274" name="Oval 273">
          <a:extLst>
            <a:ext uri="{FF2B5EF4-FFF2-40B4-BE49-F238E27FC236}">
              <a16:creationId xmlns:a16="http://schemas.microsoft.com/office/drawing/2014/main" id="{E99E141C-900F-4F90-863C-80555854ECF4}"/>
            </a:ext>
          </a:extLst>
        </xdr:cNvPr>
        <xdr:cNvSpPr/>
      </xdr:nvSpPr>
      <xdr:spPr>
        <a:xfrm>
          <a:off x="15883505" y="8161405"/>
          <a:ext cx="141194" cy="16692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501536</xdr:colOff>
      <xdr:row>56</xdr:row>
      <xdr:rowOff>112280</xdr:rowOff>
    </xdr:from>
    <xdr:to>
      <xdr:col>24</xdr:col>
      <xdr:colOff>88794</xdr:colOff>
      <xdr:row>57</xdr:row>
      <xdr:rowOff>90055</xdr:rowOff>
    </xdr:to>
    <xdr:sp macro="" textlink="">
      <xdr:nvSpPr>
        <xdr:cNvPr id="275" name="Oval 274">
          <a:extLst>
            <a:ext uri="{FF2B5EF4-FFF2-40B4-BE49-F238E27FC236}">
              <a16:creationId xmlns:a16="http://schemas.microsoft.com/office/drawing/2014/main" id="{7B165734-1486-4CD1-9CFC-688F6BE01D64}"/>
            </a:ext>
          </a:extLst>
        </xdr:cNvPr>
        <xdr:cNvSpPr/>
      </xdr:nvSpPr>
      <xdr:spPr>
        <a:xfrm>
          <a:off x="18673345" y="7245897"/>
          <a:ext cx="141194" cy="16692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534205</xdr:colOff>
      <xdr:row>54</xdr:row>
      <xdr:rowOff>161644</xdr:rowOff>
    </xdr:from>
    <xdr:to>
      <xdr:col>30</xdr:col>
      <xdr:colOff>481377</xdr:colOff>
      <xdr:row>56</xdr:row>
      <xdr:rowOff>120952</xdr:rowOff>
    </xdr:to>
    <xdr:cxnSp macro="">
      <xdr:nvCxnSpPr>
        <xdr:cNvPr id="276" name="Elbow Connector 59">
          <a:extLst>
            <a:ext uri="{FF2B5EF4-FFF2-40B4-BE49-F238E27FC236}">
              <a16:creationId xmlns:a16="http://schemas.microsoft.com/office/drawing/2014/main" id="{EB8C151D-7C6D-45D2-B29B-6741B2503DE5}"/>
            </a:ext>
          </a:extLst>
        </xdr:cNvPr>
        <xdr:cNvCxnSpPr>
          <a:cxnSpLocks/>
          <a:endCxn id="288" idx="2"/>
        </xdr:cNvCxnSpPr>
      </xdr:nvCxnSpPr>
      <xdr:spPr>
        <a:xfrm flipV="1">
          <a:off x="18706014" y="6916963"/>
          <a:ext cx="3824725" cy="337606"/>
        </a:xfrm>
        <a:prstGeom prst="bentConnector3">
          <a:avLst>
            <a:gd name="adj1" fmla="val 495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57</xdr:row>
      <xdr:rowOff>67823</xdr:rowOff>
    </xdr:from>
    <xdr:to>
      <xdr:col>36</xdr:col>
      <xdr:colOff>0</xdr:colOff>
      <xdr:row>58</xdr:row>
      <xdr:rowOff>171349</xdr:rowOff>
    </xdr:to>
    <xdr:cxnSp macro="">
      <xdr:nvCxnSpPr>
        <xdr:cNvPr id="277" name="Elbow Connector 61">
          <a:extLst>
            <a:ext uri="{FF2B5EF4-FFF2-40B4-BE49-F238E27FC236}">
              <a16:creationId xmlns:a16="http://schemas.microsoft.com/office/drawing/2014/main" id="{10C6305E-3CA4-4E89-80DD-87374E2E9793}"/>
            </a:ext>
          </a:extLst>
        </xdr:cNvPr>
        <xdr:cNvCxnSpPr/>
      </xdr:nvCxnSpPr>
      <xdr:spPr>
        <a:xfrm>
          <a:off x="18733507" y="7390589"/>
          <a:ext cx="6639472" cy="292675"/>
        </a:xfrm>
        <a:prstGeom prst="bentConnector3">
          <a:avLst>
            <a:gd name="adj1" fmla="val -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65</xdr:row>
      <xdr:rowOff>82043</xdr:rowOff>
    </xdr:from>
    <xdr:to>
      <xdr:col>24</xdr:col>
      <xdr:colOff>68635</xdr:colOff>
      <xdr:row>66</xdr:row>
      <xdr:rowOff>59817</xdr:rowOff>
    </xdr:to>
    <xdr:sp macro="" textlink="">
      <xdr:nvSpPr>
        <xdr:cNvPr id="278" name="Oval 277">
          <a:extLst>
            <a:ext uri="{FF2B5EF4-FFF2-40B4-BE49-F238E27FC236}">
              <a16:creationId xmlns:a16="http://schemas.microsoft.com/office/drawing/2014/main" id="{285E50EE-E67A-43C0-A151-85E459547CF7}"/>
            </a:ext>
          </a:extLst>
        </xdr:cNvPr>
        <xdr:cNvSpPr/>
      </xdr:nvSpPr>
      <xdr:spPr>
        <a:xfrm>
          <a:off x="18653186" y="8918000"/>
          <a:ext cx="141194" cy="16692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65</xdr:row>
      <xdr:rowOff>82043</xdr:rowOff>
    </xdr:from>
    <xdr:to>
      <xdr:col>24</xdr:col>
      <xdr:colOff>68635</xdr:colOff>
      <xdr:row>66</xdr:row>
      <xdr:rowOff>59817</xdr:rowOff>
    </xdr:to>
    <xdr:sp macro="" textlink="">
      <xdr:nvSpPr>
        <xdr:cNvPr id="279" name="Oval 278">
          <a:extLst>
            <a:ext uri="{FF2B5EF4-FFF2-40B4-BE49-F238E27FC236}">
              <a16:creationId xmlns:a16="http://schemas.microsoft.com/office/drawing/2014/main" id="{B8EDAF10-5F63-4F44-9FFC-F9FE8F8E53C1}"/>
            </a:ext>
          </a:extLst>
        </xdr:cNvPr>
        <xdr:cNvSpPr/>
      </xdr:nvSpPr>
      <xdr:spPr>
        <a:xfrm>
          <a:off x="18653186" y="8918000"/>
          <a:ext cx="141194" cy="16692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65</xdr:row>
      <xdr:rowOff>82043</xdr:rowOff>
    </xdr:from>
    <xdr:to>
      <xdr:col>24</xdr:col>
      <xdr:colOff>68635</xdr:colOff>
      <xdr:row>66</xdr:row>
      <xdr:rowOff>59817</xdr:rowOff>
    </xdr:to>
    <xdr:sp macro="" textlink="">
      <xdr:nvSpPr>
        <xdr:cNvPr id="280" name="Oval 279">
          <a:extLst>
            <a:ext uri="{FF2B5EF4-FFF2-40B4-BE49-F238E27FC236}">
              <a16:creationId xmlns:a16="http://schemas.microsoft.com/office/drawing/2014/main" id="{45FD5ABA-9A29-4F41-AFFC-07FD1DD65F1A}"/>
            </a:ext>
          </a:extLst>
        </xdr:cNvPr>
        <xdr:cNvSpPr/>
      </xdr:nvSpPr>
      <xdr:spPr>
        <a:xfrm>
          <a:off x="18653186" y="8918000"/>
          <a:ext cx="141194" cy="16692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65</xdr:row>
      <xdr:rowOff>82043</xdr:rowOff>
    </xdr:from>
    <xdr:to>
      <xdr:col>24</xdr:col>
      <xdr:colOff>68635</xdr:colOff>
      <xdr:row>66</xdr:row>
      <xdr:rowOff>59817</xdr:rowOff>
    </xdr:to>
    <xdr:sp macro="" textlink="">
      <xdr:nvSpPr>
        <xdr:cNvPr id="281" name="Oval 280">
          <a:extLst>
            <a:ext uri="{FF2B5EF4-FFF2-40B4-BE49-F238E27FC236}">
              <a16:creationId xmlns:a16="http://schemas.microsoft.com/office/drawing/2014/main" id="{3EA4122F-518F-4D5A-9936-BD0CD1B41204}"/>
            </a:ext>
          </a:extLst>
        </xdr:cNvPr>
        <xdr:cNvSpPr/>
      </xdr:nvSpPr>
      <xdr:spPr>
        <a:xfrm>
          <a:off x="18653186" y="8918000"/>
          <a:ext cx="141194" cy="16692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64</xdr:row>
      <xdr:rowOff>13512</xdr:rowOff>
    </xdr:from>
    <xdr:to>
      <xdr:col>30</xdr:col>
      <xdr:colOff>513404</xdr:colOff>
      <xdr:row>65</xdr:row>
      <xdr:rowOff>82044</xdr:rowOff>
    </xdr:to>
    <xdr:cxnSp macro="">
      <xdr:nvCxnSpPr>
        <xdr:cNvPr id="282" name="Elbow Connector 59">
          <a:extLst>
            <a:ext uri="{FF2B5EF4-FFF2-40B4-BE49-F238E27FC236}">
              <a16:creationId xmlns:a16="http://schemas.microsoft.com/office/drawing/2014/main" id="{756F03AF-9279-431A-8883-6D450148D6AA}"/>
            </a:ext>
          </a:extLst>
        </xdr:cNvPr>
        <xdr:cNvCxnSpPr>
          <a:cxnSpLocks/>
          <a:stCxn id="281" idx="0"/>
        </xdr:cNvCxnSpPr>
      </xdr:nvCxnSpPr>
      <xdr:spPr>
        <a:xfrm rot="5400000" flipH="1" flipV="1">
          <a:off x="20514435" y="6869669"/>
          <a:ext cx="257680" cy="3838983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54</xdr:row>
      <xdr:rowOff>82043</xdr:rowOff>
    </xdr:from>
    <xdr:to>
      <xdr:col>31</xdr:col>
      <xdr:colOff>68635</xdr:colOff>
      <xdr:row>55</xdr:row>
      <xdr:rowOff>59817</xdr:rowOff>
    </xdr:to>
    <xdr:sp macro="" textlink="">
      <xdr:nvSpPr>
        <xdr:cNvPr id="283" name="Oval 282">
          <a:extLst>
            <a:ext uri="{FF2B5EF4-FFF2-40B4-BE49-F238E27FC236}">
              <a16:creationId xmlns:a16="http://schemas.microsoft.com/office/drawing/2014/main" id="{300054E4-9616-4D31-B134-7C36B1EB87B6}"/>
            </a:ext>
          </a:extLst>
        </xdr:cNvPr>
        <xdr:cNvSpPr/>
      </xdr:nvSpPr>
      <xdr:spPr>
        <a:xfrm>
          <a:off x="22530739" y="6837362"/>
          <a:ext cx="141194" cy="16692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52</xdr:row>
      <xdr:rowOff>168388</xdr:rowOff>
    </xdr:from>
    <xdr:to>
      <xdr:col>36</xdr:col>
      <xdr:colOff>27021</xdr:colOff>
      <xdr:row>55</xdr:row>
      <xdr:rowOff>90619</xdr:rowOff>
    </xdr:to>
    <xdr:cxnSp macro="">
      <xdr:nvCxnSpPr>
        <xdr:cNvPr id="284" name="Elbow Connector 59">
          <a:extLst>
            <a:ext uri="{FF2B5EF4-FFF2-40B4-BE49-F238E27FC236}">
              <a16:creationId xmlns:a16="http://schemas.microsoft.com/office/drawing/2014/main" id="{7C17883B-E3F7-447A-8A60-404C9D8FA968}"/>
            </a:ext>
          </a:extLst>
        </xdr:cNvPr>
        <xdr:cNvCxnSpPr>
          <a:cxnSpLocks/>
        </xdr:cNvCxnSpPr>
      </xdr:nvCxnSpPr>
      <xdr:spPr>
        <a:xfrm flipV="1">
          <a:off x="22603298" y="6545409"/>
          <a:ext cx="2796702" cy="489678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54</xdr:row>
      <xdr:rowOff>67823</xdr:rowOff>
    </xdr:from>
    <xdr:to>
      <xdr:col>36</xdr:col>
      <xdr:colOff>290</xdr:colOff>
      <xdr:row>57</xdr:row>
      <xdr:rowOff>13511</xdr:rowOff>
    </xdr:to>
    <xdr:cxnSp macro="">
      <xdr:nvCxnSpPr>
        <xdr:cNvPr id="285" name="Elbow Connector 61">
          <a:extLst>
            <a:ext uri="{FF2B5EF4-FFF2-40B4-BE49-F238E27FC236}">
              <a16:creationId xmlns:a16="http://schemas.microsoft.com/office/drawing/2014/main" id="{2F079527-9130-436D-8A70-904BD15C144B}"/>
            </a:ext>
          </a:extLst>
        </xdr:cNvPr>
        <xdr:cNvCxnSpPr/>
      </xdr:nvCxnSpPr>
      <xdr:spPr>
        <a:xfrm>
          <a:off x="22599198" y="6823142"/>
          <a:ext cx="2774071" cy="513135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54</xdr:row>
      <xdr:rowOff>82043</xdr:rowOff>
    </xdr:from>
    <xdr:to>
      <xdr:col>31</xdr:col>
      <xdr:colOff>68635</xdr:colOff>
      <xdr:row>55</xdr:row>
      <xdr:rowOff>59817</xdr:rowOff>
    </xdr:to>
    <xdr:sp macro="" textlink="">
      <xdr:nvSpPr>
        <xdr:cNvPr id="286" name="Oval 285">
          <a:extLst>
            <a:ext uri="{FF2B5EF4-FFF2-40B4-BE49-F238E27FC236}">
              <a16:creationId xmlns:a16="http://schemas.microsoft.com/office/drawing/2014/main" id="{1128CF1C-7A3E-4117-954B-EBEA3B832BF6}"/>
            </a:ext>
          </a:extLst>
        </xdr:cNvPr>
        <xdr:cNvSpPr/>
      </xdr:nvSpPr>
      <xdr:spPr>
        <a:xfrm>
          <a:off x="22530739" y="6837362"/>
          <a:ext cx="141194" cy="16692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54</xdr:row>
      <xdr:rowOff>82043</xdr:rowOff>
    </xdr:from>
    <xdr:to>
      <xdr:col>31</xdr:col>
      <xdr:colOff>68635</xdr:colOff>
      <xdr:row>55</xdr:row>
      <xdr:rowOff>59817</xdr:rowOff>
    </xdr:to>
    <xdr:sp macro="" textlink="">
      <xdr:nvSpPr>
        <xdr:cNvPr id="287" name="Oval 286">
          <a:extLst>
            <a:ext uri="{FF2B5EF4-FFF2-40B4-BE49-F238E27FC236}">
              <a16:creationId xmlns:a16="http://schemas.microsoft.com/office/drawing/2014/main" id="{B18771C2-C54F-4B5F-8AA5-2979A338B39D}"/>
            </a:ext>
          </a:extLst>
        </xdr:cNvPr>
        <xdr:cNvSpPr/>
      </xdr:nvSpPr>
      <xdr:spPr>
        <a:xfrm>
          <a:off x="22530739" y="6837362"/>
          <a:ext cx="141194" cy="16692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54</xdr:row>
      <xdr:rowOff>82043</xdr:rowOff>
    </xdr:from>
    <xdr:to>
      <xdr:col>31</xdr:col>
      <xdr:colOff>68635</xdr:colOff>
      <xdr:row>55</xdr:row>
      <xdr:rowOff>59817</xdr:rowOff>
    </xdr:to>
    <xdr:sp macro="" textlink="">
      <xdr:nvSpPr>
        <xdr:cNvPr id="288" name="Oval 287">
          <a:extLst>
            <a:ext uri="{FF2B5EF4-FFF2-40B4-BE49-F238E27FC236}">
              <a16:creationId xmlns:a16="http://schemas.microsoft.com/office/drawing/2014/main" id="{57DE063D-EB31-4B0B-815F-708E5C75C5BA}"/>
            </a:ext>
          </a:extLst>
        </xdr:cNvPr>
        <xdr:cNvSpPr/>
      </xdr:nvSpPr>
      <xdr:spPr>
        <a:xfrm>
          <a:off x="22530739" y="6837362"/>
          <a:ext cx="141194" cy="16692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52</xdr:row>
      <xdr:rowOff>48117</xdr:rowOff>
    </xdr:from>
    <xdr:to>
      <xdr:col>36</xdr:col>
      <xdr:colOff>100793</xdr:colOff>
      <xdr:row>53</xdr:row>
      <xdr:rowOff>120953</xdr:rowOff>
    </xdr:to>
    <xdr:sp macro="" textlink="">
      <xdr:nvSpPr>
        <xdr:cNvPr id="289" name="Oval 288">
          <a:extLst>
            <a:ext uri="{FF2B5EF4-FFF2-40B4-BE49-F238E27FC236}">
              <a16:creationId xmlns:a16="http://schemas.microsoft.com/office/drawing/2014/main" id="{FDFC37AA-CF42-46DF-B4D5-D2A0370AF8A1}"/>
            </a:ext>
          </a:extLst>
        </xdr:cNvPr>
        <xdr:cNvSpPr/>
      </xdr:nvSpPr>
      <xdr:spPr>
        <a:xfrm>
          <a:off x="25230112" y="6425138"/>
          <a:ext cx="243660" cy="261985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56</xdr:row>
      <xdr:rowOff>112082</xdr:rowOff>
    </xdr:from>
    <xdr:to>
      <xdr:col>36</xdr:col>
      <xdr:colOff>14091</xdr:colOff>
      <xdr:row>57</xdr:row>
      <xdr:rowOff>122741</xdr:rowOff>
    </xdr:to>
    <xdr:sp macro="" textlink="">
      <xdr:nvSpPr>
        <xdr:cNvPr id="290" name="Isosceles Triangle 289">
          <a:extLst>
            <a:ext uri="{FF2B5EF4-FFF2-40B4-BE49-F238E27FC236}">
              <a16:creationId xmlns:a16="http://schemas.microsoft.com/office/drawing/2014/main" id="{FCB3B50B-7732-4F78-B430-7EBA7AA6C353}"/>
            </a:ext>
          </a:extLst>
        </xdr:cNvPr>
        <xdr:cNvSpPr/>
      </xdr:nvSpPr>
      <xdr:spPr>
        <a:xfrm rot="16200000">
          <a:off x="25210387" y="7268823"/>
          <a:ext cx="199808" cy="153559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66</xdr:row>
      <xdr:rowOff>57743</xdr:rowOff>
    </xdr:from>
    <xdr:to>
      <xdr:col>36</xdr:col>
      <xdr:colOff>10080</xdr:colOff>
      <xdr:row>67</xdr:row>
      <xdr:rowOff>161270</xdr:rowOff>
    </xdr:to>
    <xdr:cxnSp macro="">
      <xdr:nvCxnSpPr>
        <xdr:cNvPr id="291" name="Elbow Connector 61">
          <a:extLst>
            <a:ext uri="{FF2B5EF4-FFF2-40B4-BE49-F238E27FC236}">
              <a16:creationId xmlns:a16="http://schemas.microsoft.com/office/drawing/2014/main" id="{D9715CB8-6329-4BCC-9DE9-BF5E8F1FD4DF}"/>
            </a:ext>
          </a:extLst>
        </xdr:cNvPr>
        <xdr:cNvCxnSpPr/>
      </xdr:nvCxnSpPr>
      <xdr:spPr>
        <a:xfrm>
          <a:off x="18743587" y="9082849"/>
          <a:ext cx="6639472" cy="292676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63</xdr:row>
      <xdr:rowOff>82043</xdr:rowOff>
    </xdr:from>
    <xdr:to>
      <xdr:col>31</xdr:col>
      <xdr:colOff>68635</xdr:colOff>
      <xdr:row>64</xdr:row>
      <xdr:rowOff>59817</xdr:rowOff>
    </xdr:to>
    <xdr:sp macro="" textlink="">
      <xdr:nvSpPr>
        <xdr:cNvPr id="292" name="Oval 291">
          <a:extLst>
            <a:ext uri="{FF2B5EF4-FFF2-40B4-BE49-F238E27FC236}">
              <a16:creationId xmlns:a16="http://schemas.microsoft.com/office/drawing/2014/main" id="{FBEE12A9-53FF-410D-AF57-DAA8E0F745EC}"/>
            </a:ext>
          </a:extLst>
        </xdr:cNvPr>
        <xdr:cNvSpPr/>
      </xdr:nvSpPr>
      <xdr:spPr>
        <a:xfrm>
          <a:off x="22530739" y="8539703"/>
          <a:ext cx="141194" cy="16692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61</xdr:row>
      <xdr:rowOff>168388</xdr:rowOff>
    </xdr:from>
    <xdr:to>
      <xdr:col>36</xdr:col>
      <xdr:colOff>27021</xdr:colOff>
      <xdr:row>64</xdr:row>
      <xdr:rowOff>90619</xdr:rowOff>
    </xdr:to>
    <xdr:cxnSp macro="">
      <xdr:nvCxnSpPr>
        <xdr:cNvPr id="293" name="Elbow Connector 59">
          <a:extLst>
            <a:ext uri="{FF2B5EF4-FFF2-40B4-BE49-F238E27FC236}">
              <a16:creationId xmlns:a16="http://schemas.microsoft.com/office/drawing/2014/main" id="{90F7B6D5-BCD6-4711-80D7-2030F83D4225}"/>
            </a:ext>
          </a:extLst>
        </xdr:cNvPr>
        <xdr:cNvCxnSpPr>
          <a:cxnSpLocks/>
        </xdr:cNvCxnSpPr>
      </xdr:nvCxnSpPr>
      <xdr:spPr>
        <a:xfrm flipV="1">
          <a:off x="22603298" y="8247750"/>
          <a:ext cx="2796702" cy="489678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63</xdr:row>
      <xdr:rowOff>67823</xdr:rowOff>
    </xdr:from>
    <xdr:to>
      <xdr:col>35</xdr:col>
      <xdr:colOff>555915</xdr:colOff>
      <xdr:row>66</xdr:row>
      <xdr:rowOff>13511</xdr:rowOff>
    </xdr:to>
    <xdr:cxnSp macro="">
      <xdr:nvCxnSpPr>
        <xdr:cNvPr id="294" name="Elbow Connector 61">
          <a:extLst>
            <a:ext uri="{FF2B5EF4-FFF2-40B4-BE49-F238E27FC236}">
              <a16:creationId xmlns:a16="http://schemas.microsoft.com/office/drawing/2014/main" id="{04BFAE74-CF13-4EE5-915F-68DC9A0AD78B}"/>
            </a:ext>
          </a:extLst>
        </xdr:cNvPr>
        <xdr:cNvCxnSpPr/>
      </xdr:nvCxnSpPr>
      <xdr:spPr>
        <a:xfrm>
          <a:off x="22599198" y="8525483"/>
          <a:ext cx="2775760" cy="513134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63</xdr:row>
      <xdr:rowOff>82043</xdr:rowOff>
    </xdr:from>
    <xdr:to>
      <xdr:col>31</xdr:col>
      <xdr:colOff>68635</xdr:colOff>
      <xdr:row>64</xdr:row>
      <xdr:rowOff>59817</xdr:rowOff>
    </xdr:to>
    <xdr:sp macro="" textlink="">
      <xdr:nvSpPr>
        <xdr:cNvPr id="295" name="Oval 294">
          <a:extLst>
            <a:ext uri="{FF2B5EF4-FFF2-40B4-BE49-F238E27FC236}">
              <a16:creationId xmlns:a16="http://schemas.microsoft.com/office/drawing/2014/main" id="{E8346F1C-BC36-4B9B-9247-2E799BBFA6A8}"/>
            </a:ext>
          </a:extLst>
        </xdr:cNvPr>
        <xdr:cNvSpPr/>
      </xdr:nvSpPr>
      <xdr:spPr>
        <a:xfrm>
          <a:off x="22530739" y="8539703"/>
          <a:ext cx="141194" cy="16692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63</xdr:row>
      <xdr:rowOff>82043</xdr:rowOff>
    </xdr:from>
    <xdr:to>
      <xdr:col>31</xdr:col>
      <xdr:colOff>68635</xdr:colOff>
      <xdr:row>64</xdr:row>
      <xdr:rowOff>59817</xdr:rowOff>
    </xdr:to>
    <xdr:sp macro="" textlink="">
      <xdr:nvSpPr>
        <xdr:cNvPr id="296" name="Oval 295">
          <a:extLst>
            <a:ext uri="{FF2B5EF4-FFF2-40B4-BE49-F238E27FC236}">
              <a16:creationId xmlns:a16="http://schemas.microsoft.com/office/drawing/2014/main" id="{3A60B482-9B78-4FF0-AB3E-AC0E87A862E7}"/>
            </a:ext>
          </a:extLst>
        </xdr:cNvPr>
        <xdr:cNvSpPr/>
      </xdr:nvSpPr>
      <xdr:spPr>
        <a:xfrm>
          <a:off x="22530739" y="8539703"/>
          <a:ext cx="141194" cy="16692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63</xdr:row>
      <xdr:rowOff>82043</xdr:rowOff>
    </xdr:from>
    <xdr:to>
      <xdr:col>31</xdr:col>
      <xdr:colOff>68635</xdr:colOff>
      <xdr:row>64</xdr:row>
      <xdr:rowOff>59817</xdr:rowOff>
    </xdr:to>
    <xdr:sp macro="" textlink="">
      <xdr:nvSpPr>
        <xdr:cNvPr id="297" name="Oval 296">
          <a:extLst>
            <a:ext uri="{FF2B5EF4-FFF2-40B4-BE49-F238E27FC236}">
              <a16:creationId xmlns:a16="http://schemas.microsoft.com/office/drawing/2014/main" id="{52A3BE4B-6465-4FFD-A062-C64E22329C7F}"/>
            </a:ext>
          </a:extLst>
        </xdr:cNvPr>
        <xdr:cNvSpPr/>
      </xdr:nvSpPr>
      <xdr:spPr>
        <a:xfrm>
          <a:off x="22530739" y="8539703"/>
          <a:ext cx="141194" cy="16692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61</xdr:row>
      <xdr:rowOff>48117</xdr:rowOff>
    </xdr:from>
    <xdr:to>
      <xdr:col>36</xdr:col>
      <xdr:colOff>100793</xdr:colOff>
      <xdr:row>62</xdr:row>
      <xdr:rowOff>120953</xdr:rowOff>
    </xdr:to>
    <xdr:sp macro="" textlink="">
      <xdr:nvSpPr>
        <xdr:cNvPr id="298" name="Oval 297">
          <a:extLst>
            <a:ext uri="{FF2B5EF4-FFF2-40B4-BE49-F238E27FC236}">
              <a16:creationId xmlns:a16="http://schemas.microsoft.com/office/drawing/2014/main" id="{A80CC0FA-ECBE-4E4F-AD2B-1F4FF13B5B98}"/>
            </a:ext>
          </a:extLst>
        </xdr:cNvPr>
        <xdr:cNvSpPr/>
      </xdr:nvSpPr>
      <xdr:spPr>
        <a:xfrm>
          <a:off x="25230112" y="8127479"/>
          <a:ext cx="243660" cy="261985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67</xdr:row>
      <xdr:rowOff>90713</xdr:rowOff>
    </xdr:from>
    <xdr:to>
      <xdr:col>36</xdr:col>
      <xdr:colOff>12880</xdr:colOff>
      <xdr:row>68</xdr:row>
      <xdr:rowOff>101372</xdr:rowOff>
    </xdr:to>
    <xdr:sp macro="" textlink="">
      <xdr:nvSpPr>
        <xdr:cNvPr id="299" name="Isosceles Triangle 298">
          <a:extLst>
            <a:ext uri="{FF2B5EF4-FFF2-40B4-BE49-F238E27FC236}">
              <a16:creationId xmlns:a16="http://schemas.microsoft.com/office/drawing/2014/main" id="{DA186C3D-F1E8-4E99-B0DA-896F7B5D8858}"/>
            </a:ext>
          </a:extLst>
        </xdr:cNvPr>
        <xdr:cNvSpPr/>
      </xdr:nvSpPr>
      <xdr:spPr>
        <a:xfrm rot="16200000">
          <a:off x="25209176" y="9328092"/>
          <a:ext cx="199808" cy="153559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65</xdr:row>
      <xdr:rowOff>112082</xdr:rowOff>
    </xdr:from>
    <xdr:to>
      <xdr:col>36</xdr:col>
      <xdr:colOff>14091</xdr:colOff>
      <xdr:row>66</xdr:row>
      <xdr:rowOff>122741</xdr:rowOff>
    </xdr:to>
    <xdr:sp macro="" textlink="">
      <xdr:nvSpPr>
        <xdr:cNvPr id="300" name="Isosceles Triangle 299">
          <a:extLst>
            <a:ext uri="{FF2B5EF4-FFF2-40B4-BE49-F238E27FC236}">
              <a16:creationId xmlns:a16="http://schemas.microsoft.com/office/drawing/2014/main" id="{6D49560E-8C25-4BCD-987C-0B8E0447F7E5}"/>
            </a:ext>
          </a:extLst>
        </xdr:cNvPr>
        <xdr:cNvSpPr/>
      </xdr:nvSpPr>
      <xdr:spPr>
        <a:xfrm rot="16200000">
          <a:off x="25210387" y="8971163"/>
          <a:ext cx="199808" cy="153559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58</xdr:row>
      <xdr:rowOff>83054</xdr:rowOff>
    </xdr:from>
    <xdr:to>
      <xdr:col>36</xdr:col>
      <xdr:colOff>15299</xdr:colOff>
      <xdr:row>59</xdr:row>
      <xdr:rowOff>93713</xdr:rowOff>
    </xdr:to>
    <xdr:sp macro="" textlink="">
      <xdr:nvSpPr>
        <xdr:cNvPr id="301" name="Isosceles Triangle 300">
          <a:extLst>
            <a:ext uri="{FF2B5EF4-FFF2-40B4-BE49-F238E27FC236}">
              <a16:creationId xmlns:a16="http://schemas.microsoft.com/office/drawing/2014/main" id="{AC2D888C-4FBF-4AD9-8A3A-6CE5BFDED477}"/>
            </a:ext>
          </a:extLst>
        </xdr:cNvPr>
        <xdr:cNvSpPr/>
      </xdr:nvSpPr>
      <xdr:spPr>
        <a:xfrm rot="16200000">
          <a:off x="25211595" y="7618093"/>
          <a:ext cx="199808" cy="153559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323206</xdr:colOff>
      <xdr:row>51</xdr:row>
      <xdr:rowOff>139338</xdr:rowOff>
    </xdr:from>
    <xdr:to>
      <xdr:col>36</xdr:col>
      <xdr:colOff>207486</xdr:colOff>
      <xdr:row>54</xdr:row>
      <xdr:rowOff>46919</xdr:rowOff>
    </xdr:to>
    <xdr:sp macro="" textlink="">
      <xdr:nvSpPr>
        <xdr:cNvPr id="302" name="Oval 301">
          <a:extLst>
            <a:ext uri="{FF2B5EF4-FFF2-40B4-BE49-F238E27FC236}">
              <a16:creationId xmlns:a16="http://schemas.microsoft.com/office/drawing/2014/main" id="{9AD386D4-CD8C-4801-8899-63CFAE2B23BB}"/>
            </a:ext>
          </a:extLst>
        </xdr:cNvPr>
        <xdr:cNvSpPr/>
      </xdr:nvSpPr>
      <xdr:spPr>
        <a:xfrm>
          <a:off x="25142249" y="6327210"/>
          <a:ext cx="438216" cy="47502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327932</xdr:colOff>
      <xdr:row>60</xdr:row>
      <xdr:rowOff>129296</xdr:rowOff>
    </xdr:from>
    <xdr:to>
      <xdr:col>36</xdr:col>
      <xdr:colOff>212212</xdr:colOff>
      <xdr:row>63</xdr:row>
      <xdr:rowOff>36877</xdr:rowOff>
    </xdr:to>
    <xdr:sp macro="" textlink="">
      <xdr:nvSpPr>
        <xdr:cNvPr id="303" name="Oval 302">
          <a:extLst>
            <a:ext uri="{FF2B5EF4-FFF2-40B4-BE49-F238E27FC236}">
              <a16:creationId xmlns:a16="http://schemas.microsoft.com/office/drawing/2014/main" id="{CE18B696-78B0-4090-A04F-5545062CD20F}"/>
            </a:ext>
          </a:extLst>
        </xdr:cNvPr>
        <xdr:cNvSpPr/>
      </xdr:nvSpPr>
      <xdr:spPr>
        <a:xfrm>
          <a:off x="25146975" y="8019509"/>
          <a:ext cx="438216" cy="47502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4</xdr:col>
      <xdr:colOff>0</xdr:colOff>
      <xdr:row>43</xdr:row>
      <xdr:rowOff>27021</xdr:rowOff>
    </xdr:from>
    <xdr:to>
      <xdr:col>13</xdr:col>
      <xdr:colOff>467432</xdr:colOff>
      <xdr:row>43</xdr:row>
      <xdr:rowOff>32595</xdr:rowOff>
    </xdr:to>
    <xdr:cxnSp macro="">
      <xdr:nvCxnSpPr>
        <xdr:cNvPr id="307" name="Straight Connector 306">
          <a:extLst>
            <a:ext uri="{FF2B5EF4-FFF2-40B4-BE49-F238E27FC236}">
              <a16:creationId xmlns:a16="http://schemas.microsoft.com/office/drawing/2014/main" id="{7CFAD38F-15EB-4A28-8084-CA1A9B0EF209}"/>
            </a:ext>
          </a:extLst>
        </xdr:cNvPr>
        <xdr:cNvCxnSpPr/>
      </xdr:nvCxnSpPr>
      <xdr:spPr>
        <a:xfrm>
          <a:off x="7647021" y="8295532"/>
          <a:ext cx="5506900" cy="55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542258</xdr:colOff>
      <xdr:row>102</xdr:row>
      <xdr:rowOff>83636</xdr:rowOff>
    </xdr:from>
    <xdr:to>
      <xdr:col>18</xdr:col>
      <xdr:colOff>481376</xdr:colOff>
      <xdr:row>120</xdr:row>
      <xdr:rowOff>165505</xdr:rowOff>
    </xdr:to>
    <xdr:cxnSp macro="">
      <xdr:nvCxnSpPr>
        <xdr:cNvPr id="523" name="Elbow Connector 39">
          <a:extLst>
            <a:ext uri="{FF2B5EF4-FFF2-40B4-BE49-F238E27FC236}">
              <a16:creationId xmlns:a16="http://schemas.microsoft.com/office/drawing/2014/main" id="{DDCF076F-5E5C-460C-AABB-1E5B5F4A9D11}"/>
            </a:ext>
          </a:extLst>
        </xdr:cNvPr>
        <xdr:cNvCxnSpPr>
          <a:cxnSpLocks/>
          <a:stCxn id="525" idx="4"/>
          <a:endCxn id="599" idx="2"/>
        </xdr:cNvCxnSpPr>
      </xdr:nvCxnSpPr>
      <xdr:spPr>
        <a:xfrm rot="16200000" flipH="1">
          <a:off x="12952602" y="8112355"/>
          <a:ext cx="3296556" cy="2717243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100014</xdr:colOff>
      <xdr:row>101</xdr:row>
      <xdr:rowOff>183576</xdr:rowOff>
    </xdr:from>
    <xdr:to>
      <xdr:col>19</xdr:col>
      <xdr:colOff>0</xdr:colOff>
      <xdr:row>102</xdr:row>
      <xdr:rowOff>13511</xdr:rowOff>
    </xdr:to>
    <xdr:cxnSp macro="">
      <xdr:nvCxnSpPr>
        <xdr:cNvPr id="524" name="Straight Connector 523">
          <a:extLst>
            <a:ext uri="{FF2B5EF4-FFF2-40B4-BE49-F238E27FC236}">
              <a16:creationId xmlns:a16="http://schemas.microsoft.com/office/drawing/2014/main" id="{AA076D24-56C0-462B-9152-F007E99C9782}"/>
            </a:ext>
          </a:extLst>
        </xdr:cNvPr>
        <xdr:cNvCxnSpPr/>
      </xdr:nvCxnSpPr>
      <xdr:spPr>
        <a:xfrm>
          <a:off x="13355639" y="7744045"/>
          <a:ext cx="2678111" cy="8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471662</xdr:colOff>
      <xdr:row>101</xdr:row>
      <xdr:rowOff>99512</xdr:rowOff>
    </xdr:from>
    <xdr:to>
      <xdr:col>14</xdr:col>
      <xdr:colOff>58920</xdr:colOff>
      <xdr:row>102</xdr:row>
      <xdr:rowOff>83636</xdr:rowOff>
    </xdr:to>
    <xdr:sp macro="" textlink="">
      <xdr:nvSpPr>
        <xdr:cNvPr id="525" name="Oval 524">
          <a:extLst>
            <a:ext uri="{FF2B5EF4-FFF2-40B4-BE49-F238E27FC236}">
              <a16:creationId xmlns:a16="http://schemas.microsoft.com/office/drawing/2014/main" id="{A92C7664-552A-47C3-9830-B938E227CD5F}"/>
            </a:ext>
          </a:extLst>
        </xdr:cNvPr>
        <xdr:cNvSpPr/>
      </xdr:nvSpPr>
      <xdr:spPr>
        <a:xfrm>
          <a:off x="13171662" y="7659981"/>
          <a:ext cx="142883" cy="16271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503680</xdr:colOff>
      <xdr:row>83</xdr:row>
      <xdr:rowOff>162127</xdr:rowOff>
    </xdr:from>
    <xdr:to>
      <xdr:col>18</xdr:col>
      <xdr:colOff>540426</xdr:colOff>
      <xdr:row>101</xdr:row>
      <xdr:rowOff>98357</xdr:rowOff>
    </xdr:to>
    <xdr:cxnSp macro="">
      <xdr:nvCxnSpPr>
        <xdr:cNvPr id="526" name="Elbow Connector 34">
          <a:extLst>
            <a:ext uri="{FF2B5EF4-FFF2-40B4-BE49-F238E27FC236}">
              <a16:creationId xmlns:a16="http://schemas.microsoft.com/office/drawing/2014/main" id="{72FD9604-3C10-419A-83C1-53FCEB28FC57}"/>
            </a:ext>
          </a:extLst>
        </xdr:cNvPr>
        <xdr:cNvCxnSpPr/>
      </xdr:nvCxnSpPr>
      <xdr:spPr>
        <a:xfrm flipV="1">
          <a:off x="13203680" y="4507908"/>
          <a:ext cx="2814871" cy="3150918"/>
        </a:xfrm>
        <a:prstGeom prst="bentConnector3">
          <a:avLst>
            <a:gd name="adj1" fmla="val 18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83</xdr:row>
      <xdr:rowOff>82043</xdr:rowOff>
    </xdr:from>
    <xdr:to>
      <xdr:col>19</xdr:col>
      <xdr:colOff>68635</xdr:colOff>
      <xdr:row>84</xdr:row>
      <xdr:rowOff>59817</xdr:rowOff>
    </xdr:to>
    <xdr:sp macro="" textlink="">
      <xdr:nvSpPr>
        <xdr:cNvPr id="527" name="Oval 526">
          <a:extLst>
            <a:ext uri="{FF2B5EF4-FFF2-40B4-BE49-F238E27FC236}">
              <a16:creationId xmlns:a16="http://schemas.microsoft.com/office/drawing/2014/main" id="{DC5CDB04-01A0-427F-9C50-CC46D8D4FDD9}"/>
            </a:ext>
          </a:extLst>
        </xdr:cNvPr>
        <xdr:cNvSpPr/>
      </xdr:nvSpPr>
      <xdr:spPr>
        <a:xfrm>
          <a:off x="15959502" y="4427824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79</xdr:row>
      <xdr:rowOff>13510</xdr:rowOff>
    </xdr:from>
    <xdr:to>
      <xdr:col>24</xdr:col>
      <xdr:colOff>0</xdr:colOff>
      <xdr:row>83</xdr:row>
      <xdr:rowOff>121595</xdr:rowOff>
    </xdr:to>
    <xdr:cxnSp macro="">
      <xdr:nvCxnSpPr>
        <xdr:cNvPr id="528" name="Elbow Connector 59">
          <a:extLst>
            <a:ext uri="{FF2B5EF4-FFF2-40B4-BE49-F238E27FC236}">
              <a16:creationId xmlns:a16="http://schemas.microsoft.com/office/drawing/2014/main" id="{1F2A975F-7AB8-49C7-A487-6B9E4BF14464}"/>
            </a:ext>
          </a:extLst>
        </xdr:cNvPr>
        <xdr:cNvCxnSpPr>
          <a:cxnSpLocks/>
        </xdr:cNvCxnSpPr>
      </xdr:nvCxnSpPr>
      <xdr:spPr>
        <a:xfrm flipV="1">
          <a:off x="16033750" y="3644916"/>
          <a:ext cx="2778125" cy="822460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84</xdr:row>
      <xdr:rowOff>67823</xdr:rowOff>
    </xdr:from>
    <xdr:to>
      <xdr:col>24</xdr:col>
      <xdr:colOff>21585</xdr:colOff>
      <xdr:row>88</xdr:row>
      <xdr:rowOff>13511</xdr:rowOff>
    </xdr:to>
    <xdr:cxnSp macro="">
      <xdr:nvCxnSpPr>
        <xdr:cNvPr id="529" name="Elbow Connector 61">
          <a:extLst>
            <a:ext uri="{FF2B5EF4-FFF2-40B4-BE49-F238E27FC236}">
              <a16:creationId xmlns:a16="http://schemas.microsoft.com/office/drawing/2014/main" id="{C6F8AC0E-361B-4E5B-80F3-41429B307D0C}"/>
            </a:ext>
          </a:extLst>
        </xdr:cNvPr>
        <xdr:cNvCxnSpPr/>
      </xdr:nvCxnSpPr>
      <xdr:spPr>
        <a:xfrm>
          <a:off x="16049256" y="4592198"/>
          <a:ext cx="2784204" cy="66006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83</xdr:row>
      <xdr:rowOff>82043</xdr:rowOff>
    </xdr:from>
    <xdr:to>
      <xdr:col>19</xdr:col>
      <xdr:colOff>68635</xdr:colOff>
      <xdr:row>84</xdr:row>
      <xdr:rowOff>59817</xdr:rowOff>
    </xdr:to>
    <xdr:sp macro="" textlink="">
      <xdr:nvSpPr>
        <xdr:cNvPr id="530" name="Oval 529">
          <a:extLst>
            <a:ext uri="{FF2B5EF4-FFF2-40B4-BE49-F238E27FC236}">
              <a16:creationId xmlns:a16="http://schemas.microsoft.com/office/drawing/2014/main" id="{1D844A0D-81FF-4003-8FAE-82EEA76F7155}"/>
            </a:ext>
          </a:extLst>
        </xdr:cNvPr>
        <xdr:cNvSpPr/>
      </xdr:nvSpPr>
      <xdr:spPr>
        <a:xfrm>
          <a:off x="15959502" y="4427824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79</xdr:row>
      <xdr:rowOff>82043</xdr:rowOff>
    </xdr:from>
    <xdr:to>
      <xdr:col>24</xdr:col>
      <xdr:colOff>68635</xdr:colOff>
      <xdr:row>80</xdr:row>
      <xdr:rowOff>59817</xdr:rowOff>
    </xdr:to>
    <xdr:sp macro="" textlink="">
      <xdr:nvSpPr>
        <xdr:cNvPr id="531" name="Oval 530">
          <a:extLst>
            <a:ext uri="{FF2B5EF4-FFF2-40B4-BE49-F238E27FC236}">
              <a16:creationId xmlns:a16="http://schemas.microsoft.com/office/drawing/2014/main" id="{83B67624-10C0-4F2F-971F-F4817DA6A7D8}"/>
            </a:ext>
          </a:extLst>
        </xdr:cNvPr>
        <xdr:cNvSpPr/>
      </xdr:nvSpPr>
      <xdr:spPr>
        <a:xfrm>
          <a:off x="18737627" y="3713449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0</xdr:colOff>
      <xdr:row>77</xdr:row>
      <xdr:rowOff>13510</xdr:rowOff>
    </xdr:from>
    <xdr:to>
      <xdr:col>31</xdr:col>
      <xdr:colOff>27021</xdr:colOff>
      <xdr:row>79</xdr:row>
      <xdr:rowOff>121595</xdr:rowOff>
    </xdr:to>
    <xdr:cxnSp macro="">
      <xdr:nvCxnSpPr>
        <xdr:cNvPr id="532" name="Elbow Connector 59">
          <a:extLst>
            <a:ext uri="{FF2B5EF4-FFF2-40B4-BE49-F238E27FC236}">
              <a16:creationId xmlns:a16="http://schemas.microsoft.com/office/drawing/2014/main" id="{F18529FB-F289-4D94-BC0B-3B4730C83C68}"/>
            </a:ext>
          </a:extLst>
        </xdr:cNvPr>
        <xdr:cNvCxnSpPr>
          <a:cxnSpLocks/>
        </xdr:cNvCxnSpPr>
      </xdr:nvCxnSpPr>
      <xdr:spPr>
        <a:xfrm flipV="1">
          <a:off x="18811875" y="3287729"/>
          <a:ext cx="4174365" cy="465272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79</xdr:row>
      <xdr:rowOff>67823</xdr:rowOff>
    </xdr:from>
    <xdr:to>
      <xdr:col>36</xdr:col>
      <xdr:colOff>0</xdr:colOff>
      <xdr:row>80</xdr:row>
      <xdr:rowOff>171349</xdr:rowOff>
    </xdr:to>
    <xdr:cxnSp macro="">
      <xdr:nvCxnSpPr>
        <xdr:cNvPr id="533" name="Elbow Connector 61">
          <a:extLst>
            <a:ext uri="{FF2B5EF4-FFF2-40B4-BE49-F238E27FC236}">
              <a16:creationId xmlns:a16="http://schemas.microsoft.com/office/drawing/2014/main" id="{6DCC6D8E-65CE-4F0F-8A98-18F07F3672C6}"/>
            </a:ext>
          </a:extLst>
        </xdr:cNvPr>
        <xdr:cNvCxnSpPr/>
      </xdr:nvCxnSpPr>
      <xdr:spPr>
        <a:xfrm>
          <a:off x="18819637" y="3699229"/>
          <a:ext cx="6917707" cy="282120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79</xdr:row>
      <xdr:rowOff>82043</xdr:rowOff>
    </xdr:from>
    <xdr:to>
      <xdr:col>24</xdr:col>
      <xdr:colOff>68635</xdr:colOff>
      <xdr:row>80</xdr:row>
      <xdr:rowOff>59817</xdr:rowOff>
    </xdr:to>
    <xdr:sp macro="" textlink="">
      <xdr:nvSpPr>
        <xdr:cNvPr id="534" name="Oval 533">
          <a:extLst>
            <a:ext uri="{FF2B5EF4-FFF2-40B4-BE49-F238E27FC236}">
              <a16:creationId xmlns:a16="http://schemas.microsoft.com/office/drawing/2014/main" id="{38D16331-729E-4E2F-8680-37E853571E2A}"/>
            </a:ext>
          </a:extLst>
        </xdr:cNvPr>
        <xdr:cNvSpPr/>
      </xdr:nvSpPr>
      <xdr:spPr>
        <a:xfrm>
          <a:off x="18737627" y="3713449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0</xdr:colOff>
      <xdr:row>77</xdr:row>
      <xdr:rowOff>13510</xdr:rowOff>
    </xdr:from>
    <xdr:to>
      <xdr:col>31</xdr:col>
      <xdr:colOff>27021</xdr:colOff>
      <xdr:row>79</xdr:row>
      <xdr:rowOff>121595</xdr:rowOff>
    </xdr:to>
    <xdr:cxnSp macro="">
      <xdr:nvCxnSpPr>
        <xdr:cNvPr id="535" name="Elbow Connector 59">
          <a:extLst>
            <a:ext uri="{FF2B5EF4-FFF2-40B4-BE49-F238E27FC236}">
              <a16:creationId xmlns:a16="http://schemas.microsoft.com/office/drawing/2014/main" id="{31B62BA4-DE17-4A36-B2B1-C4C30B9FCD85}"/>
            </a:ext>
          </a:extLst>
        </xdr:cNvPr>
        <xdr:cNvCxnSpPr>
          <a:cxnSpLocks/>
        </xdr:cNvCxnSpPr>
      </xdr:nvCxnSpPr>
      <xdr:spPr>
        <a:xfrm flipV="1">
          <a:off x="18811875" y="3287729"/>
          <a:ext cx="4174365" cy="465272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79</xdr:row>
      <xdr:rowOff>82043</xdr:rowOff>
    </xdr:from>
    <xdr:to>
      <xdr:col>24</xdr:col>
      <xdr:colOff>68635</xdr:colOff>
      <xdr:row>80</xdr:row>
      <xdr:rowOff>59817</xdr:rowOff>
    </xdr:to>
    <xdr:sp macro="" textlink="">
      <xdr:nvSpPr>
        <xdr:cNvPr id="536" name="Oval 535">
          <a:extLst>
            <a:ext uri="{FF2B5EF4-FFF2-40B4-BE49-F238E27FC236}">
              <a16:creationId xmlns:a16="http://schemas.microsoft.com/office/drawing/2014/main" id="{7BA3374C-D0E9-429A-A6EE-96392987319D}"/>
            </a:ext>
          </a:extLst>
        </xdr:cNvPr>
        <xdr:cNvSpPr/>
      </xdr:nvSpPr>
      <xdr:spPr>
        <a:xfrm>
          <a:off x="18737627" y="3713449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79</xdr:row>
      <xdr:rowOff>82043</xdr:rowOff>
    </xdr:from>
    <xdr:to>
      <xdr:col>24</xdr:col>
      <xdr:colOff>68635</xdr:colOff>
      <xdr:row>80</xdr:row>
      <xdr:rowOff>59817</xdr:rowOff>
    </xdr:to>
    <xdr:sp macro="" textlink="">
      <xdr:nvSpPr>
        <xdr:cNvPr id="537" name="Oval 536">
          <a:extLst>
            <a:ext uri="{FF2B5EF4-FFF2-40B4-BE49-F238E27FC236}">
              <a16:creationId xmlns:a16="http://schemas.microsoft.com/office/drawing/2014/main" id="{CF1FF2A5-4324-4430-91C7-EF72EDBCE839}"/>
            </a:ext>
          </a:extLst>
        </xdr:cNvPr>
        <xdr:cNvSpPr/>
      </xdr:nvSpPr>
      <xdr:spPr>
        <a:xfrm>
          <a:off x="18737627" y="3713449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87</xdr:row>
      <xdr:rowOff>82043</xdr:rowOff>
    </xdr:from>
    <xdr:to>
      <xdr:col>24</xdr:col>
      <xdr:colOff>68635</xdr:colOff>
      <xdr:row>88</xdr:row>
      <xdr:rowOff>59817</xdr:rowOff>
    </xdr:to>
    <xdr:sp macro="" textlink="">
      <xdr:nvSpPr>
        <xdr:cNvPr id="538" name="Oval 537">
          <a:extLst>
            <a:ext uri="{FF2B5EF4-FFF2-40B4-BE49-F238E27FC236}">
              <a16:creationId xmlns:a16="http://schemas.microsoft.com/office/drawing/2014/main" id="{FCB2F0E4-8155-4D22-9A9A-813E9D726AD8}"/>
            </a:ext>
          </a:extLst>
        </xdr:cNvPr>
        <xdr:cNvSpPr/>
      </xdr:nvSpPr>
      <xdr:spPr>
        <a:xfrm>
          <a:off x="18737627" y="5142199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87</xdr:row>
      <xdr:rowOff>82043</xdr:rowOff>
    </xdr:from>
    <xdr:to>
      <xdr:col>24</xdr:col>
      <xdr:colOff>68635</xdr:colOff>
      <xdr:row>88</xdr:row>
      <xdr:rowOff>59817</xdr:rowOff>
    </xdr:to>
    <xdr:sp macro="" textlink="">
      <xdr:nvSpPr>
        <xdr:cNvPr id="539" name="Oval 538">
          <a:extLst>
            <a:ext uri="{FF2B5EF4-FFF2-40B4-BE49-F238E27FC236}">
              <a16:creationId xmlns:a16="http://schemas.microsoft.com/office/drawing/2014/main" id="{719896B8-EF2E-4146-80E3-8E77F1D9761D}"/>
            </a:ext>
          </a:extLst>
        </xdr:cNvPr>
        <xdr:cNvSpPr/>
      </xdr:nvSpPr>
      <xdr:spPr>
        <a:xfrm>
          <a:off x="18737627" y="5142199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87</xdr:row>
      <xdr:rowOff>82043</xdr:rowOff>
    </xdr:from>
    <xdr:to>
      <xdr:col>24</xdr:col>
      <xdr:colOff>68635</xdr:colOff>
      <xdr:row>88</xdr:row>
      <xdr:rowOff>59817</xdr:rowOff>
    </xdr:to>
    <xdr:sp macro="" textlink="">
      <xdr:nvSpPr>
        <xdr:cNvPr id="540" name="Oval 539">
          <a:extLst>
            <a:ext uri="{FF2B5EF4-FFF2-40B4-BE49-F238E27FC236}">
              <a16:creationId xmlns:a16="http://schemas.microsoft.com/office/drawing/2014/main" id="{141E813A-3A00-484A-AE2A-6CDEDBE95953}"/>
            </a:ext>
          </a:extLst>
        </xdr:cNvPr>
        <xdr:cNvSpPr/>
      </xdr:nvSpPr>
      <xdr:spPr>
        <a:xfrm>
          <a:off x="18737627" y="5142199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87</xdr:row>
      <xdr:rowOff>82043</xdr:rowOff>
    </xdr:from>
    <xdr:to>
      <xdr:col>24</xdr:col>
      <xdr:colOff>68635</xdr:colOff>
      <xdr:row>88</xdr:row>
      <xdr:rowOff>59817</xdr:rowOff>
    </xdr:to>
    <xdr:sp macro="" textlink="">
      <xdr:nvSpPr>
        <xdr:cNvPr id="541" name="Oval 540">
          <a:extLst>
            <a:ext uri="{FF2B5EF4-FFF2-40B4-BE49-F238E27FC236}">
              <a16:creationId xmlns:a16="http://schemas.microsoft.com/office/drawing/2014/main" id="{C2F7AD2B-C6D1-4BAA-B8C6-027EB6B3ACF1}"/>
            </a:ext>
          </a:extLst>
        </xdr:cNvPr>
        <xdr:cNvSpPr/>
      </xdr:nvSpPr>
      <xdr:spPr>
        <a:xfrm>
          <a:off x="18737627" y="5142199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86</xdr:row>
      <xdr:rowOff>13512</xdr:rowOff>
    </xdr:from>
    <xdr:to>
      <xdr:col>30</xdr:col>
      <xdr:colOff>513404</xdr:colOff>
      <xdr:row>87</xdr:row>
      <xdr:rowOff>82044</xdr:rowOff>
    </xdr:to>
    <xdr:cxnSp macro="">
      <xdr:nvCxnSpPr>
        <xdr:cNvPr id="542" name="Elbow Connector 59">
          <a:extLst>
            <a:ext uri="{FF2B5EF4-FFF2-40B4-BE49-F238E27FC236}">
              <a16:creationId xmlns:a16="http://schemas.microsoft.com/office/drawing/2014/main" id="{E954077D-28B9-4326-9B9D-2BA3F526C193}"/>
            </a:ext>
          </a:extLst>
        </xdr:cNvPr>
        <xdr:cNvCxnSpPr>
          <a:cxnSpLocks/>
          <a:stCxn id="541" idx="0"/>
        </xdr:cNvCxnSpPr>
      </xdr:nvCxnSpPr>
      <xdr:spPr>
        <a:xfrm rot="5400000" flipH="1" flipV="1">
          <a:off x="20739048" y="2964251"/>
          <a:ext cx="247125" cy="4108774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76</xdr:row>
      <xdr:rowOff>82043</xdr:rowOff>
    </xdr:from>
    <xdr:to>
      <xdr:col>31</xdr:col>
      <xdr:colOff>68635</xdr:colOff>
      <xdr:row>77</xdr:row>
      <xdr:rowOff>59817</xdr:rowOff>
    </xdr:to>
    <xdr:sp macro="" textlink="">
      <xdr:nvSpPr>
        <xdr:cNvPr id="543" name="Oval 542">
          <a:extLst>
            <a:ext uri="{FF2B5EF4-FFF2-40B4-BE49-F238E27FC236}">
              <a16:creationId xmlns:a16="http://schemas.microsoft.com/office/drawing/2014/main" id="{D15A6646-BF61-494A-8C00-9525C0A3F069}"/>
            </a:ext>
          </a:extLst>
        </xdr:cNvPr>
        <xdr:cNvSpPr/>
      </xdr:nvSpPr>
      <xdr:spPr>
        <a:xfrm>
          <a:off x="22884971" y="3177668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74</xdr:row>
      <xdr:rowOff>168388</xdr:rowOff>
    </xdr:from>
    <xdr:to>
      <xdr:col>36</xdr:col>
      <xdr:colOff>27021</xdr:colOff>
      <xdr:row>77</xdr:row>
      <xdr:rowOff>90619</xdr:rowOff>
    </xdr:to>
    <xdr:cxnSp macro="">
      <xdr:nvCxnSpPr>
        <xdr:cNvPr id="544" name="Elbow Connector 59">
          <a:extLst>
            <a:ext uri="{FF2B5EF4-FFF2-40B4-BE49-F238E27FC236}">
              <a16:creationId xmlns:a16="http://schemas.microsoft.com/office/drawing/2014/main" id="{A60D698A-416D-44DC-8119-7545CE1AB85A}"/>
            </a:ext>
          </a:extLst>
        </xdr:cNvPr>
        <xdr:cNvCxnSpPr>
          <a:cxnSpLocks/>
        </xdr:cNvCxnSpPr>
      </xdr:nvCxnSpPr>
      <xdr:spPr>
        <a:xfrm flipV="1">
          <a:off x="22959219" y="2886982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76</xdr:row>
      <xdr:rowOff>67823</xdr:rowOff>
    </xdr:from>
    <xdr:to>
      <xdr:col>35</xdr:col>
      <xdr:colOff>555915</xdr:colOff>
      <xdr:row>79</xdr:row>
      <xdr:rowOff>13511</xdr:rowOff>
    </xdr:to>
    <xdr:cxnSp macro="">
      <xdr:nvCxnSpPr>
        <xdr:cNvPr id="545" name="Elbow Connector 61">
          <a:extLst>
            <a:ext uri="{FF2B5EF4-FFF2-40B4-BE49-F238E27FC236}">
              <a16:creationId xmlns:a16="http://schemas.microsoft.com/office/drawing/2014/main" id="{30603738-1486-4D40-821A-12761669C62C}"/>
            </a:ext>
          </a:extLst>
        </xdr:cNvPr>
        <xdr:cNvCxnSpPr/>
      </xdr:nvCxnSpPr>
      <xdr:spPr>
        <a:xfrm>
          <a:off x="22953430" y="3163448"/>
          <a:ext cx="2784204" cy="481469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76</xdr:row>
      <xdr:rowOff>82043</xdr:rowOff>
    </xdr:from>
    <xdr:to>
      <xdr:col>31</xdr:col>
      <xdr:colOff>68635</xdr:colOff>
      <xdr:row>77</xdr:row>
      <xdr:rowOff>59817</xdr:rowOff>
    </xdr:to>
    <xdr:sp macro="" textlink="">
      <xdr:nvSpPr>
        <xdr:cNvPr id="546" name="Oval 545">
          <a:extLst>
            <a:ext uri="{FF2B5EF4-FFF2-40B4-BE49-F238E27FC236}">
              <a16:creationId xmlns:a16="http://schemas.microsoft.com/office/drawing/2014/main" id="{62A36818-8A95-41EB-B380-8CD664658794}"/>
            </a:ext>
          </a:extLst>
        </xdr:cNvPr>
        <xdr:cNvSpPr/>
      </xdr:nvSpPr>
      <xdr:spPr>
        <a:xfrm>
          <a:off x="22884971" y="3177668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76</xdr:row>
      <xdr:rowOff>82043</xdr:rowOff>
    </xdr:from>
    <xdr:to>
      <xdr:col>31</xdr:col>
      <xdr:colOff>68635</xdr:colOff>
      <xdr:row>77</xdr:row>
      <xdr:rowOff>59817</xdr:rowOff>
    </xdr:to>
    <xdr:sp macro="" textlink="">
      <xdr:nvSpPr>
        <xdr:cNvPr id="547" name="Oval 546">
          <a:extLst>
            <a:ext uri="{FF2B5EF4-FFF2-40B4-BE49-F238E27FC236}">
              <a16:creationId xmlns:a16="http://schemas.microsoft.com/office/drawing/2014/main" id="{478202E6-40CD-42AB-9185-7539068DB473}"/>
            </a:ext>
          </a:extLst>
        </xdr:cNvPr>
        <xdr:cNvSpPr/>
      </xdr:nvSpPr>
      <xdr:spPr>
        <a:xfrm>
          <a:off x="22884971" y="3177668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76</xdr:row>
      <xdr:rowOff>82043</xdr:rowOff>
    </xdr:from>
    <xdr:to>
      <xdr:col>31</xdr:col>
      <xdr:colOff>68635</xdr:colOff>
      <xdr:row>77</xdr:row>
      <xdr:rowOff>59817</xdr:rowOff>
    </xdr:to>
    <xdr:sp macro="" textlink="">
      <xdr:nvSpPr>
        <xdr:cNvPr id="548" name="Oval 547">
          <a:extLst>
            <a:ext uri="{FF2B5EF4-FFF2-40B4-BE49-F238E27FC236}">
              <a16:creationId xmlns:a16="http://schemas.microsoft.com/office/drawing/2014/main" id="{ED8B5FFE-6EDA-4F5F-8A4D-CBFBC1FB242D}"/>
            </a:ext>
          </a:extLst>
        </xdr:cNvPr>
        <xdr:cNvSpPr/>
      </xdr:nvSpPr>
      <xdr:spPr>
        <a:xfrm>
          <a:off x="22884971" y="3177668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307697</xdr:colOff>
      <xdr:row>73</xdr:row>
      <xdr:rowOff>121954</xdr:rowOff>
    </xdr:from>
    <xdr:to>
      <xdr:col>36</xdr:col>
      <xdr:colOff>191977</xdr:colOff>
      <xdr:row>76</xdr:row>
      <xdr:rowOff>29535</xdr:rowOff>
    </xdr:to>
    <xdr:sp macro="" textlink="">
      <xdr:nvSpPr>
        <xdr:cNvPr id="549" name="Oval 548">
          <a:extLst>
            <a:ext uri="{FF2B5EF4-FFF2-40B4-BE49-F238E27FC236}">
              <a16:creationId xmlns:a16="http://schemas.microsoft.com/office/drawing/2014/main" id="{5BD2C58F-F693-402E-93E5-68CB4D9B9648}"/>
            </a:ext>
          </a:extLst>
        </xdr:cNvPr>
        <xdr:cNvSpPr/>
      </xdr:nvSpPr>
      <xdr:spPr>
        <a:xfrm>
          <a:off x="25489416" y="2642110"/>
          <a:ext cx="439905" cy="483050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414468</xdr:colOff>
      <xdr:row>78</xdr:row>
      <xdr:rowOff>112082</xdr:rowOff>
    </xdr:from>
    <xdr:to>
      <xdr:col>36</xdr:col>
      <xdr:colOff>14091</xdr:colOff>
      <xdr:row>79</xdr:row>
      <xdr:rowOff>122741</xdr:rowOff>
    </xdr:to>
    <xdr:sp macro="" textlink="">
      <xdr:nvSpPr>
        <xdr:cNvPr id="550" name="Isosceles Triangle 549">
          <a:extLst>
            <a:ext uri="{FF2B5EF4-FFF2-40B4-BE49-F238E27FC236}">
              <a16:creationId xmlns:a16="http://schemas.microsoft.com/office/drawing/2014/main" id="{ED1B43C6-3450-46AE-ACC6-83A7AD894261}"/>
            </a:ext>
          </a:extLst>
        </xdr:cNvPr>
        <xdr:cNvSpPr/>
      </xdr:nvSpPr>
      <xdr:spPr>
        <a:xfrm rot="16200000">
          <a:off x="25579185" y="3581897"/>
          <a:ext cx="189252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88</xdr:row>
      <xdr:rowOff>57743</xdr:rowOff>
    </xdr:from>
    <xdr:to>
      <xdr:col>36</xdr:col>
      <xdr:colOff>10080</xdr:colOff>
      <xdr:row>89</xdr:row>
      <xdr:rowOff>161270</xdr:rowOff>
    </xdr:to>
    <xdr:cxnSp macro="">
      <xdr:nvCxnSpPr>
        <xdr:cNvPr id="551" name="Elbow Connector 61">
          <a:extLst>
            <a:ext uri="{FF2B5EF4-FFF2-40B4-BE49-F238E27FC236}">
              <a16:creationId xmlns:a16="http://schemas.microsoft.com/office/drawing/2014/main" id="{911B34D3-1703-4AAB-9ADC-D111CBDDFFBC}"/>
            </a:ext>
          </a:extLst>
        </xdr:cNvPr>
        <xdr:cNvCxnSpPr/>
      </xdr:nvCxnSpPr>
      <xdr:spPr>
        <a:xfrm>
          <a:off x="18829717" y="5296493"/>
          <a:ext cx="6917707" cy="282121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85</xdr:row>
      <xdr:rowOff>82043</xdr:rowOff>
    </xdr:from>
    <xdr:to>
      <xdr:col>31</xdr:col>
      <xdr:colOff>68635</xdr:colOff>
      <xdr:row>86</xdr:row>
      <xdr:rowOff>59817</xdr:rowOff>
    </xdr:to>
    <xdr:sp macro="" textlink="">
      <xdr:nvSpPr>
        <xdr:cNvPr id="552" name="Oval 551">
          <a:extLst>
            <a:ext uri="{FF2B5EF4-FFF2-40B4-BE49-F238E27FC236}">
              <a16:creationId xmlns:a16="http://schemas.microsoft.com/office/drawing/2014/main" id="{013550FE-8960-45B7-AFA3-1761CA37548B}"/>
            </a:ext>
          </a:extLst>
        </xdr:cNvPr>
        <xdr:cNvSpPr/>
      </xdr:nvSpPr>
      <xdr:spPr>
        <a:xfrm>
          <a:off x="22884971" y="4785012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83</xdr:row>
      <xdr:rowOff>168388</xdr:rowOff>
    </xdr:from>
    <xdr:to>
      <xdr:col>36</xdr:col>
      <xdr:colOff>27021</xdr:colOff>
      <xdr:row>86</xdr:row>
      <xdr:rowOff>90619</xdr:rowOff>
    </xdr:to>
    <xdr:cxnSp macro="">
      <xdr:nvCxnSpPr>
        <xdr:cNvPr id="553" name="Elbow Connector 59">
          <a:extLst>
            <a:ext uri="{FF2B5EF4-FFF2-40B4-BE49-F238E27FC236}">
              <a16:creationId xmlns:a16="http://schemas.microsoft.com/office/drawing/2014/main" id="{6ECB168F-B49E-43DA-A4CF-2F3661179195}"/>
            </a:ext>
          </a:extLst>
        </xdr:cNvPr>
        <xdr:cNvCxnSpPr>
          <a:cxnSpLocks/>
        </xdr:cNvCxnSpPr>
      </xdr:nvCxnSpPr>
      <xdr:spPr>
        <a:xfrm flipV="1">
          <a:off x="22959219" y="4514169"/>
          <a:ext cx="2805146" cy="458013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85</xdr:row>
      <xdr:rowOff>67823</xdr:rowOff>
    </xdr:from>
    <xdr:to>
      <xdr:col>35</xdr:col>
      <xdr:colOff>555915</xdr:colOff>
      <xdr:row>88</xdr:row>
      <xdr:rowOff>13511</xdr:rowOff>
    </xdr:to>
    <xdr:cxnSp macro="">
      <xdr:nvCxnSpPr>
        <xdr:cNvPr id="554" name="Elbow Connector 61">
          <a:extLst>
            <a:ext uri="{FF2B5EF4-FFF2-40B4-BE49-F238E27FC236}">
              <a16:creationId xmlns:a16="http://schemas.microsoft.com/office/drawing/2014/main" id="{F60482C8-6F8B-4843-BD23-C01123D4095C}"/>
            </a:ext>
          </a:extLst>
        </xdr:cNvPr>
        <xdr:cNvCxnSpPr/>
      </xdr:nvCxnSpPr>
      <xdr:spPr>
        <a:xfrm>
          <a:off x="22953430" y="4770792"/>
          <a:ext cx="2784204" cy="481469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85</xdr:row>
      <xdr:rowOff>82043</xdr:rowOff>
    </xdr:from>
    <xdr:to>
      <xdr:col>31</xdr:col>
      <xdr:colOff>68635</xdr:colOff>
      <xdr:row>86</xdr:row>
      <xdr:rowOff>59817</xdr:rowOff>
    </xdr:to>
    <xdr:sp macro="" textlink="">
      <xdr:nvSpPr>
        <xdr:cNvPr id="555" name="Oval 554">
          <a:extLst>
            <a:ext uri="{FF2B5EF4-FFF2-40B4-BE49-F238E27FC236}">
              <a16:creationId xmlns:a16="http://schemas.microsoft.com/office/drawing/2014/main" id="{8DAB119B-C4C3-4C59-8ADD-338F52D59D1F}"/>
            </a:ext>
          </a:extLst>
        </xdr:cNvPr>
        <xdr:cNvSpPr/>
      </xdr:nvSpPr>
      <xdr:spPr>
        <a:xfrm>
          <a:off x="22884971" y="4785012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85</xdr:row>
      <xdr:rowOff>82043</xdr:rowOff>
    </xdr:from>
    <xdr:to>
      <xdr:col>31</xdr:col>
      <xdr:colOff>68635</xdr:colOff>
      <xdr:row>86</xdr:row>
      <xdr:rowOff>59817</xdr:rowOff>
    </xdr:to>
    <xdr:sp macro="" textlink="">
      <xdr:nvSpPr>
        <xdr:cNvPr id="556" name="Oval 555">
          <a:extLst>
            <a:ext uri="{FF2B5EF4-FFF2-40B4-BE49-F238E27FC236}">
              <a16:creationId xmlns:a16="http://schemas.microsoft.com/office/drawing/2014/main" id="{6CB763D1-B816-4A8B-8032-78596B16FF94}"/>
            </a:ext>
          </a:extLst>
        </xdr:cNvPr>
        <xdr:cNvSpPr/>
      </xdr:nvSpPr>
      <xdr:spPr>
        <a:xfrm>
          <a:off x="22884971" y="4785012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85</xdr:row>
      <xdr:rowOff>82043</xdr:rowOff>
    </xdr:from>
    <xdr:to>
      <xdr:col>31</xdr:col>
      <xdr:colOff>68635</xdr:colOff>
      <xdr:row>86</xdr:row>
      <xdr:rowOff>59817</xdr:rowOff>
    </xdr:to>
    <xdr:sp macro="" textlink="">
      <xdr:nvSpPr>
        <xdr:cNvPr id="557" name="Oval 556">
          <a:extLst>
            <a:ext uri="{FF2B5EF4-FFF2-40B4-BE49-F238E27FC236}">
              <a16:creationId xmlns:a16="http://schemas.microsoft.com/office/drawing/2014/main" id="{A49AB72B-B843-4487-A67E-32955677C650}"/>
            </a:ext>
          </a:extLst>
        </xdr:cNvPr>
        <xdr:cNvSpPr/>
      </xdr:nvSpPr>
      <xdr:spPr>
        <a:xfrm>
          <a:off x="22884971" y="4785012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83</xdr:row>
      <xdr:rowOff>48117</xdr:rowOff>
    </xdr:from>
    <xdr:to>
      <xdr:col>36</xdr:col>
      <xdr:colOff>100793</xdr:colOff>
      <xdr:row>84</xdr:row>
      <xdr:rowOff>120953</xdr:rowOff>
    </xdr:to>
    <xdr:sp macro="" textlink="">
      <xdr:nvSpPr>
        <xdr:cNvPr id="558" name="Oval 557">
          <a:extLst>
            <a:ext uri="{FF2B5EF4-FFF2-40B4-BE49-F238E27FC236}">
              <a16:creationId xmlns:a16="http://schemas.microsoft.com/office/drawing/2014/main" id="{224CFE7C-C9B2-4822-94E9-098B648B9E4E}"/>
            </a:ext>
          </a:extLst>
        </xdr:cNvPr>
        <xdr:cNvSpPr/>
      </xdr:nvSpPr>
      <xdr:spPr>
        <a:xfrm>
          <a:off x="25592788" y="4393898"/>
          <a:ext cx="245349" cy="251430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89</xdr:row>
      <xdr:rowOff>90713</xdr:rowOff>
    </xdr:from>
    <xdr:to>
      <xdr:col>36</xdr:col>
      <xdr:colOff>12880</xdr:colOff>
      <xdr:row>90</xdr:row>
      <xdr:rowOff>101372</xdr:rowOff>
    </xdr:to>
    <xdr:sp macro="" textlink="">
      <xdr:nvSpPr>
        <xdr:cNvPr id="559" name="Isosceles Triangle 558">
          <a:extLst>
            <a:ext uri="{FF2B5EF4-FFF2-40B4-BE49-F238E27FC236}">
              <a16:creationId xmlns:a16="http://schemas.microsoft.com/office/drawing/2014/main" id="{0B56D956-3DB0-4A8B-AD24-0DA174C1AF01}"/>
            </a:ext>
          </a:extLst>
        </xdr:cNvPr>
        <xdr:cNvSpPr/>
      </xdr:nvSpPr>
      <xdr:spPr>
        <a:xfrm rot="16200000">
          <a:off x="25577973" y="5525060"/>
          <a:ext cx="189253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87</xdr:row>
      <xdr:rowOff>112082</xdr:rowOff>
    </xdr:from>
    <xdr:to>
      <xdr:col>36</xdr:col>
      <xdr:colOff>14091</xdr:colOff>
      <xdr:row>88</xdr:row>
      <xdr:rowOff>122741</xdr:rowOff>
    </xdr:to>
    <xdr:sp macro="" textlink="">
      <xdr:nvSpPr>
        <xdr:cNvPr id="560" name="Isosceles Triangle 559">
          <a:extLst>
            <a:ext uri="{FF2B5EF4-FFF2-40B4-BE49-F238E27FC236}">
              <a16:creationId xmlns:a16="http://schemas.microsoft.com/office/drawing/2014/main" id="{A69F6C74-2C40-4D9F-B5AC-A1B21E83F1C6}"/>
            </a:ext>
          </a:extLst>
        </xdr:cNvPr>
        <xdr:cNvSpPr/>
      </xdr:nvSpPr>
      <xdr:spPr>
        <a:xfrm rot="16200000">
          <a:off x="25579184" y="5189241"/>
          <a:ext cx="189253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80</xdr:row>
      <xdr:rowOff>83054</xdr:rowOff>
    </xdr:from>
    <xdr:to>
      <xdr:col>36</xdr:col>
      <xdr:colOff>15299</xdr:colOff>
      <xdr:row>81</xdr:row>
      <xdr:rowOff>93713</xdr:rowOff>
    </xdr:to>
    <xdr:sp macro="" textlink="">
      <xdr:nvSpPr>
        <xdr:cNvPr id="561" name="Isosceles Triangle 560">
          <a:extLst>
            <a:ext uri="{FF2B5EF4-FFF2-40B4-BE49-F238E27FC236}">
              <a16:creationId xmlns:a16="http://schemas.microsoft.com/office/drawing/2014/main" id="{2322813C-5CAC-4E97-8026-F4E08FAB6CBE}"/>
            </a:ext>
          </a:extLst>
        </xdr:cNvPr>
        <xdr:cNvSpPr/>
      </xdr:nvSpPr>
      <xdr:spPr>
        <a:xfrm rot="16200000">
          <a:off x="25580392" y="3910057"/>
          <a:ext cx="189253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481377</xdr:colOff>
      <xdr:row>101</xdr:row>
      <xdr:rowOff>82043</xdr:rowOff>
    </xdr:from>
    <xdr:to>
      <xdr:col>19</xdr:col>
      <xdr:colOff>68635</xdr:colOff>
      <xdr:row>102</xdr:row>
      <xdr:rowOff>59817</xdr:rowOff>
    </xdr:to>
    <xdr:sp macro="" textlink="">
      <xdr:nvSpPr>
        <xdr:cNvPr id="562" name="Oval 561">
          <a:extLst>
            <a:ext uri="{FF2B5EF4-FFF2-40B4-BE49-F238E27FC236}">
              <a16:creationId xmlns:a16="http://schemas.microsoft.com/office/drawing/2014/main" id="{5301890B-2E0A-455B-9687-4D2128F9EA83}"/>
            </a:ext>
          </a:extLst>
        </xdr:cNvPr>
        <xdr:cNvSpPr/>
      </xdr:nvSpPr>
      <xdr:spPr>
        <a:xfrm>
          <a:off x="15959502" y="7642512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97</xdr:row>
      <xdr:rowOff>13510</xdr:rowOff>
    </xdr:from>
    <xdr:to>
      <xdr:col>24</xdr:col>
      <xdr:colOff>0</xdr:colOff>
      <xdr:row>101</xdr:row>
      <xdr:rowOff>121595</xdr:rowOff>
    </xdr:to>
    <xdr:cxnSp macro="">
      <xdr:nvCxnSpPr>
        <xdr:cNvPr id="563" name="Elbow Connector 59">
          <a:extLst>
            <a:ext uri="{FF2B5EF4-FFF2-40B4-BE49-F238E27FC236}">
              <a16:creationId xmlns:a16="http://schemas.microsoft.com/office/drawing/2014/main" id="{BA7591E1-B683-4D98-B17D-2B50C430BD8B}"/>
            </a:ext>
          </a:extLst>
        </xdr:cNvPr>
        <xdr:cNvCxnSpPr>
          <a:cxnSpLocks/>
        </xdr:cNvCxnSpPr>
      </xdr:nvCxnSpPr>
      <xdr:spPr>
        <a:xfrm flipV="1">
          <a:off x="16033750" y="6859604"/>
          <a:ext cx="2778125" cy="822460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102</xdr:row>
      <xdr:rowOff>67823</xdr:rowOff>
    </xdr:from>
    <xdr:to>
      <xdr:col>24</xdr:col>
      <xdr:colOff>21585</xdr:colOff>
      <xdr:row>106</xdr:row>
      <xdr:rowOff>13511</xdr:rowOff>
    </xdr:to>
    <xdr:cxnSp macro="">
      <xdr:nvCxnSpPr>
        <xdr:cNvPr id="564" name="Elbow Connector 61">
          <a:extLst>
            <a:ext uri="{FF2B5EF4-FFF2-40B4-BE49-F238E27FC236}">
              <a16:creationId xmlns:a16="http://schemas.microsoft.com/office/drawing/2014/main" id="{52807584-B253-4B1A-8AC3-BB55C4B44475}"/>
            </a:ext>
          </a:extLst>
        </xdr:cNvPr>
        <xdr:cNvCxnSpPr/>
      </xdr:nvCxnSpPr>
      <xdr:spPr>
        <a:xfrm>
          <a:off x="16049256" y="7806886"/>
          <a:ext cx="2784204" cy="66006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101</xdr:row>
      <xdr:rowOff>82043</xdr:rowOff>
    </xdr:from>
    <xdr:to>
      <xdr:col>19</xdr:col>
      <xdr:colOff>68635</xdr:colOff>
      <xdr:row>102</xdr:row>
      <xdr:rowOff>59817</xdr:rowOff>
    </xdr:to>
    <xdr:sp macro="" textlink="">
      <xdr:nvSpPr>
        <xdr:cNvPr id="565" name="Oval 564">
          <a:extLst>
            <a:ext uri="{FF2B5EF4-FFF2-40B4-BE49-F238E27FC236}">
              <a16:creationId xmlns:a16="http://schemas.microsoft.com/office/drawing/2014/main" id="{D6A948F6-C2A9-49B2-84C1-946994EA0578}"/>
            </a:ext>
          </a:extLst>
        </xdr:cNvPr>
        <xdr:cNvSpPr/>
      </xdr:nvSpPr>
      <xdr:spPr>
        <a:xfrm>
          <a:off x="15959502" y="7642512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501536</xdr:colOff>
      <xdr:row>96</xdr:row>
      <xdr:rowOff>112280</xdr:rowOff>
    </xdr:from>
    <xdr:to>
      <xdr:col>24</xdr:col>
      <xdr:colOff>88794</xdr:colOff>
      <xdr:row>97</xdr:row>
      <xdr:rowOff>90055</xdr:rowOff>
    </xdr:to>
    <xdr:sp macro="" textlink="">
      <xdr:nvSpPr>
        <xdr:cNvPr id="566" name="Oval 565">
          <a:extLst>
            <a:ext uri="{FF2B5EF4-FFF2-40B4-BE49-F238E27FC236}">
              <a16:creationId xmlns:a16="http://schemas.microsoft.com/office/drawing/2014/main" id="{C1D78515-B916-4C7A-88A7-25A2048FDAED}"/>
            </a:ext>
          </a:extLst>
        </xdr:cNvPr>
        <xdr:cNvSpPr/>
      </xdr:nvSpPr>
      <xdr:spPr>
        <a:xfrm>
          <a:off x="18757786" y="6779780"/>
          <a:ext cx="142883" cy="156369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534205</xdr:colOff>
      <xdr:row>94</xdr:row>
      <xdr:rowOff>161644</xdr:rowOff>
    </xdr:from>
    <xdr:to>
      <xdr:col>30</xdr:col>
      <xdr:colOff>481377</xdr:colOff>
      <xdr:row>96</xdr:row>
      <xdr:rowOff>120952</xdr:rowOff>
    </xdr:to>
    <xdr:cxnSp macro="">
      <xdr:nvCxnSpPr>
        <xdr:cNvPr id="567" name="Elbow Connector 59">
          <a:extLst>
            <a:ext uri="{FF2B5EF4-FFF2-40B4-BE49-F238E27FC236}">
              <a16:creationId xmlns:a16="http://schemas.microsoft.com/office/drawing/2014/main" id="{7C55025B-A307-431E-8866-0C426421C11B}"/>
            </a:ext>
          </a:extLst>
        </xdr:cNvPr>
        <xdr:cNvCxnSpPr>
          <a:cxnSpLocks/>
          <a:endCxn id="579" idx="2"/>
        </xdr:cNvCxnSpPr>
      </xdr:nvCxnSpPr>
      <xdr:spPr>
        <a:xfrm flipV="1">
          <a:off x="18790455" y="6471957"/>
          <a:ext cx="4094516" cy="316495"/>
        </a:xfrm>
        <a:prstGeom prst="bentConnector3">
          <a:avLst>
            <a:gd name="adj1" fmla="val 495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97</xdr:row>
      <xdr:rowOff>67823</xdr:rowOff>
    </xdr:from>
    <xdr:to>
      <xdr:col>36</xdr:col>
      <xdr:colOff>0</xdr:colOff>
      <xdr:row>98</xdr:row>
      <xdr:rowOff>171349</xdr:rowOff>
    </xdr:to>
    <xdr:cxnSp macro="">
      <xdr:nvCxnSpPr>
        <xdr:cNvPr id="568" name="Elbow Connector 61">
          <a:extLst>
            <a:ext uri="{FF2B5EF4-FFF2-40B4-BE49-F238E27FC236}">
              <a16:creationId xmlns:a16="http://schemas.microsoft.com/office/drawing/2014/main" id="{3DD8C0DE-1DB1-47C9-925C-11D909B71E25}"/>
            </a:ext>
          </a:extLst>
        </xdr:cNvPr>
        <xdr:cNvCxnSpPr/>
      </xdr:nvCxnSpPr>
      <xdr:spPr>
        <a:xfrm>
          <a:off x="18819637" y="6913917"/>
          <a:ext cx="6917707" cy="282120"/>
        </a:xfrm>
        <a:prstGeom prst="bentConnector3">
          <a:avLst>
            <a:gd name="adj1" fmla="val -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105</xdr:row>
      <xdr:rowOff>82043</xdr:rowOff>
    </xdr:from>
    <xdr:to>
      <xdr:col>24</xdr:col>
      <xdr:colOff>68635</xdr:colOff>
      <xdr:row>106</xdr:row>
      <xdr:rowOff>59817</xdr:rowOff>
    </xdr:to>
    <xdr:sp macro="" textlink="">
      <xdr:nvSpPr>
        <xdr:cNvPr id="569" name="Oval 568">
          <a:extLst>
            <a:ext uri="{FF2B5EF4-FFF2-40B4-BE49-F238E27FC236}">
              <a16:creationId xmlns:a16="http://schemas.microsoft.com/office/drawing/2014/main" id="{42D45315-1F3E-46B4-A402-B64DE94CA133}"/>
            </a:ext>
          </a:extLst>
        </xdr:cNvPr>
        <xdr:cNvSpPr/>
      </xdr:nvSpPr>
      <xdr:spPr>
        <a:xfrm>
          <a:off x="18737627" y="8356887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105</xdr:row>
      <xdr:rowOff>82043</xdr:rowOff>
    </xdr:from>
    <xdr:to>
      <xdr:col>24</xdr:col>
      <xdr:colOff>68635</xdr:colOff>
      <xdr:row>106</xdr:row>
      <xdr:rowOff>59817</xdr:rowOff>
    </xdr:to>
    <xdr:sp macro="" textlink="">
      <xdr:nvSpPr>
        <xdr:cNvPr id="570" name="Oval 569">
          <a:extLst>
            <a:ext uri="{FF2B5EF4-FFF2-40B4-BE49-F238E27FC236}">
              <a16:creationId xmlns:a16="http://schemas.microsoft.com/office/drawing/2014/main" id="{E6D11B89-27A0-4B7E-9BC8-2770FC5CB97C}"/>
            </a:ext>
          </a:extLst>
        </xdr:cNvPr>
        <xdr:cNvSpPr/>
      </xdr:nvSpPr>
      <xdr:spPr>
        <a:xfrm>
          <a:off x="18737627" y="8356887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105</xdr:row>
      <xdr:rowOff>82043</xdr:rowOff>
    </xdr:from>
    <xdr:to>
      <xdr:col>24</xdr:col>
      <xdr:colOff>68635</xdr:colOff>
      <xdr:row>106</xdr:row>
      <xdr:rowOff>59817</xdr:rowOff>
    </xdr:to>
    <xdr:sp macro="" textlink="">
      <xdr:nvSpPr>
        <xdr:cNvPr id="571" name="Oval 570">
          <a:extLst>
            <a:ext uri="{FF2B5EF4-FFF2-40B4-BE49-F238E27FC236}">
              <a16:creationId xmlns:a16="http://schemas.microsoft.com/office/drawing/2014/main" id="{B57C57AB-E527-40CE-B0BF-A19C04A58E17}"/>
            </a:ext>
          </a:extLst>
        </xdr:cNvPr>
        <xdr:cNvSpPr/>
      </xdr:nvSpPr>
      <xdr:spPr>
        <a:xfrm>
          <a:off x="18737627" y="8356887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105</xdr:row>
      <xdr:rowOff>82043</xdr:rowOff>
    </xdr:from>
    <xdr:to>
      <xdr:col>24</xdr:col>
      <xdr:colOff>68635</xdr:colOff>
      <xdr:row>106</xdr:row>
      <xdr:rowOff>59817</xdr:rowOff>
    </xdr:to>
    <xdr:sp macro="" textlink="">
      <xdr:nvSpPr>
        <xdr:cNvPr id="572" name="Oval 571">
          <a:extLst>
            <a:ext uri="{FF2B5EF4-FFF2-40B4-BE49-F238E27FC236}">
              <a16:creationId xmlns:a16="http://schemas.microsoft.com/office/drawing/2014/main" id="{B71A09E1-8DFC-475E-94B1-CCD820D34E5A}"/>
            </a:ext>
          </a:extLst>
        </xdr:cNvPr>
        <xdr:cNvSpPr/>
      </xdr:nvSpPr>
      <xdr:spPr>
        <a:xfrm>
          <a:off x="18737627" y="8356887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104</xdr:row>
      <xdr:rowOff>13512</xdr:rowOff>
    </xdr:from>
    <xdr:to>
      <xdr:col>30</xdr:col>
      <xdr:colOff>513404</xdr:colOff>
      <xdr:row>105</xdr:row>
      <xdr:rowOff>82044</xdr:rowOff>
    </xdr:to>
    <xdr:cxnSp macro="">
      <xdr:nvCxnSpPr>
        <xdr:cNvPr id="573" name="Elbow Connector 59">
          <a:extLst>
            <a:ext uri="{FF2B5EF4-FFF2-40B4-BE49-F238E27FC236}">
              <a16:creationId xmlns:a16="http://schemas.microsoft.com/office/drawing/2014/main" id="{DCC94B69-BA7B-4863-9C9E-DB99D7551425}"/>
            </a:ext>
          </a:extLst>
        </xdr:cNvPr>
        <xdr:cNvCxnSpPr>
          <a:cxnSpLocks/>
          <a:stCxn id="572" idx="0"/>
        </xdr:cNvCxnSpPr>
      </xdr:nvCxnSpPr>
      <xdr:spPr>
        <a:xfrm rot="5400000" flipH="1" flipV="1">
          <a:off x="20739048" y="6178938"/>
          <a:ext cx="247126" cy="4108774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94</xdr:row>
      <xdr:rowOff>82043</xdr:rowOff>
    </xdr:from>
    <xdr:to>
      <xdr:col>31</xdr:col>
      <xdr:colOff>68635</xdr:colOff>
      <xdr:row>95</xdr:row>
      <xdr:rowOff>59817</xdr:rowOff>
    </xdr:to>
    <xdr:sp macro="" textlink="">
      <xdr:nvSpPr>
        <xdr:cNvPr id="574" name="Oval 573">
          <a:extLst>
            <a:ext uri="{FF2B5EF4-FFF2-40B4-BE49-F238E27FC236}">
              <a16:creationId xmlns:a16="http://schemas.microsoft.com/office/drawing/2014/main" id="{BA398BB9-4C82-44EF-BD74-1460466C9F6D}"/>
            </a:ext>
          </a:extLst>
        </xdr:cNvPr>
        <xdr:cNvSpPr/>
      </xdr:nvSpPr>
      <xdr:spPr>
        <a:xfrm>
          <a:off x="22884971" y="6392356"/>
          <a:ext cx="142883" cy="156367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92</xdr:row>
      <xdr:rowOff>168388</xdr:rowOff>
    </xdr:from>
    <xdr:to>
      <xdr:col>36</xdr:col>
      <xdr:colOff>27021</xdr:colOff>
      <xdr:row>95</xdr:row>
      <xdr:rowOff>90619</xdr:rowOff>
    </xdr:to>
    <xdr:cxnSp macro="">
      <xdr:nvCxnSpPr>
        <xdr:cNvPr id="575" name="Elbow Connector 59">
          <a:extLst>
            <a:ext uri="{FF2B5EF4-FFF2-40B4-BE49-F238E27FC236}">
              <a16:creationId xmlns:a16="http://schemas.microsoft.com/office/drawing/2014/main" id="{EF9AF4FE-AED4-402E-B36E-08FB249DCF83}"/>
            </a:ext>
          </a:extLst>
        </xdr:cNvPr>
        <xdr:cNvCxnSpPr>
          <a:cxnSpLocks/>
        </xdr:cNvCxnSpPr>
      </xdr:nvCxnSpPr>
      <xdr:spPr>
        <a:xfrm flipV="1">
          <a:off x="22959219" y="6121513"/>
          <a:ext cx="2805146" cy="458012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94</xdr:row>
      <xdr:rowOff>67823</xdr:rowOff>
    </xdr:from>
    <xdr:to>
      <xdr:col>36</xdr:col>
      <xdr:colOff>290</xdr:colOff>
      <xdr:row>97</xdr:row>
      <xdr:rowOff>13511</xdr:rowOff>
    </xdr:to>
    <xdr:cxnSp macro="">
      <xdr:nvCxnSpPr>
        <xdr:cNvPr id="576" name="Elbow Connector 61">
          <a:extLst>
            <a:ext uri="{FF2B5EF4-FFF2-40B4-BE49-F238E27FC236}">
              <a16:creationId xmlns:a16="http://schemas.microsoft.com/office/drawing/2014/main" id="{45510406-3079-4636-B230-144DDA935504}"/>
            </a:ext>
          </a:extLst>
        </xdr:cNvPr>
        <xdr:cNvCxnSpPr/>
      </xdr:nvCxnSpPr>
      <xdr:spPr>
        <a:xfrm>
          <a:off x="22953430" y="6378136"/>
          <a:ext cx="2784204" cy="481469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94</xdr:row>
      <xdr:rowOff>82043</xdr:rowOff>
    </xdr:from>
    <xdr:to>
      <xdr:col>31</xdr:col>
      <xdr:colOff>68635</xdr:colOff>
      <xdr:row>95</xdr:row>
      <xdr:rowOff>59817</xdr:rowOff>
    </xdr:to>
    <xdr:sp macro="" textlink="">
      <xdr:nvSpPr>
        <xdr:cNvPr id="577" name="Oval 576">
          <a:extLst>
            <a:ext uri="{FF2B5EF4-FFF2-40B4-BE49-F238E27FC236}">
              <a16:creationId xmlns:a16="http://schemas.microsoft.com/office/drawing/2014/main" id="{4E201825-595A-42E1-9A55-18686A92BDFA}"/>
            </a:ext>
          </a:extLst>
        </xdr:cNvPr>
        <xdr:cNvSpPr/>
      </xdr:nvSpPr>
      <xdr:spPr>
        <a:xfrm>
          <a:off x="22884971" y="6392356"/>
          <a:ext cx="142883" cy="156367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94</xdr:row>
      <xdr:rowOff>82043</xdr:rowOff>
    </xdr:from>
    <xdr:to>
      <xdr:col>31</xdr:col>
      <xdr:colOff>68635</xdr:colOff>
      <xdr:row>95</xdr:row>
      <xdr:rowOff>59817</xdr:rowOff>
    </xdr:to>
    <xdr:sp macro="" textlink="">
      <xdr:nvSpPr>
        <xdr:cNvPr id="578" name="Oval 577">
          <a:extLst>
            <a:ext uri="{FF2B5EF4-FFF2-40B4-BE49-F238E27FC236}">
              <a16:creationId xmlns:a16="http://schemas.microsoft.com/office/drawing/2014/main" id="{829017FB-235A-4DAA-95F8-2DB59DF603AF}"/>
            </a:ext>
          </a:extLst>
        </xdr:cNvPr>
        <xdr:cNvSpPr/>
      </xdr:nvSpPr>
      <xdr:spPr>
        <a:xfrm>
          <a:off x="22884971" y="6392356"/>
          <a:ext cx="142883" cy="156367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94</xdr:row>
      <xdr:rowOff>82043</xdr:rowOff>
    </xdr:from>
    <xdr:to>
      <xdr:col>31</xdr:col>
      <xdr:colOff>68635</xdr:colOff>
      <xdr:row>95</xdr:row>
      <xdr:rowOff>59817</xdr:rowOff>
    </xdr:to>
    <xdr:sp macro="" textlink="">
      <xdr:nvSpPr>
        <xdr:cNvPr id="579" name="Oval 578">
          <a:extLst>
            <a:ext uri="{FF2B5EF4-FFF2-40B4-BE49-F238E27FC236}">
              <a16:creationId xmlns:a16="http://schemas.microsoft.com/office/drawing/2014/main" id="{93A9418C-7E24-4A95-B916-FB2F95ED8CF5}"/>
            </a:ext>
          </a:extLst>
        </xdr:cNvPr>
        <xdr:cNvSpPr/>
      </xdr:nvSpPr>
      <xdr:spPr>
        <a:xfrm>
          <a:off x="22884971" y="6392356"/>
          <a:ext cx="142883" cy="156367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92</xdr:row>
      <xdr:rowOff>48117</xdr:rowOff>
    </xdr:from>
    <xdr:to>
      <xdr:col>36</xdr:col>
      <xdr:colOff>100793</xdr:colOff>
      <xdr:row>93</xdr:row>
      <xdr:rowOff>120953</xdr:rowOff>
    </xdr:to>
    <xdr:sp macro="" textlink="">
      <xdr:nvSpPr>
        <xdr:cNvPr id="580" name="Oval 579">
          <a:extLst>
            <a:ext uri="{FF2B5EF4-FFF2-40B4-BE49-F238E27FC236}">
              <a16:creationId xmlns:a16="http://schemas.microsoft.com/office/drawing/2014/main" id="{EA94F662-5CF8-4B8C-824B-29FEFAA45C27}"/>
            </a:ext>
          </a:extLst>
        </xdr:cNvPr>
        <xdr:cNvSpPr/>
      </xdr:nvSpPr>
      <xdr:spPr>
        <a:xfrm>
          <a:off x="25592788" y="6001242"/>
          <a:ext cx="245349" cy="251430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96</xdr:row>
      <xdr:rowOff>112082</xdr:rowOff>
    </xdr:from>
    <xdr:to>
      <xdr:col>36</xdr:col>
      <xdr:colOff>14091</xdr:colOff>
      <xdr:row>97</xdr:row>
      <xdr:rowOff>122741</xdr:rowOff>
    </xdr:to>
    <xdr:sp macro="" textlink="">
      <xdr:nvSpPr>
        <xdr:cNvPr id="581" name="Isosceles Triangle 580">
          <a:extLst>
            <a:ext uri="{FF2B5EF4-FFF2-40B4-BE49-F238E27FC236}">
              <a16:creationId xmlns:a16="http://schemas.microsoft.com/office/drawing/2014/main" id="{00E0A936-B96F-4E7C-A7C4-992E545ACD3B}"/>
            </a:ext>
          </a:extLst>
        </xdr:cNvPr>
        <xdr:cNvSpPr/>
      </xdr:nvSpPr>
      <xdr:spPr>
        <a:xfrm rot="16200000">
          <a:off x="25579184" y="6796585"/>
          <a:ext cx="189253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106</xdr:row>
      <xdr:rowOff>57743</xdr:rowOff>
    </xdr:from>
    <xdr:to>
      <xdr:col>36</xdr:col>
      <xdr:colOff>10080</xdr:colOff>
      <xdr:row>107</xdr:row>
      <xdr:rowOff>161270</xdr:rowOff>
    </xdr:to>
    <xdr:cxnSp macro="">
      <xdr:nvCxnSpPr>
        <xdr:cNvPr id="582" name="Elbow Connector 61">
          <a:extLst>
            <a:ext uri="{FF2B5EF4-FFF2-40B4-BE49-F238E27FC236}">
              <a16:creationId xmlns:a16="http://schemas.microsoft.com/office/drawing/2014/main" id="{0B3BADEF-BD99-43B5-BB53-72EBC2F7A9A7}"/>
            </a:ext>
          </a:extLst>
        </xdr:cNvPr>
        <xdr:cNvCxnSpPr/>
      </xdr:nvCxnSpPr>
      <xdr:spPr>
        <a:xfrm>
          <a:off x="18829717" y="8511181"/>
          <a:ext cx="6917707" cy="282120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103</xdr:row>
      <xdr:rowOff>82043</xdr:rowOff>
    </xdr:from>
    <xdr:to>
      <xdr:col>31</xdr:col>
      <xdr:colOff>68635</xdr:colOff>
      <xdr:row>104</xdr:row>
      <xdr:rowOff>59817</xdr:rowOff>
    </xdr:to>
    <xdr:sp macro="" textlink="">
      <xdr:nvSpPr>
        <xdr:cNvPr id="583" name="Oval 582">
          <a:extLst>
            <a:ext uri="{FF2B5EF4-FFF2-40B4-BE49-F238E27FC236}">
              <a16:creationId xmlns:a16="http://schemas.microsoft.com/office/drawing/2014/main" id="{3D3B60CC-522F-4F25-9EAB-E90812FB3E83}"/>
            </a:ext>
          </a:extLst>
        </xdr:cNvPr>
        <xdr:cNvSpPr/>
      </xdr:nvSpPr>
      <xdr:spPr>
        <a:xfrm>
          <a:off x="22884971" y="7999699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101</xdr:row>
      <xdr:rowOff>168388</xdr:rowOff>
    </xdr:from>
    <xdr:to>
      <xdr:col>36</xdr:col>
      <xdr:colOff>27021</xdr:colOff>
      <xdr:row>104</xdr:row>
      <xdr:rowOff>90619</xdr:rowOff>
    </xdr:to>
    <xdr:cxnSp macro="">
      <xdr:nvCxnSpPr>
        <xdr:cNvPr id="584" name="Elbow Connector 59">
          <a:extLst>
            <a:ext uri="{FF2B5EF4-FFF2-40B4-BE49-F238E27FC236}">
              <a16:creationId xmlns:a16="http://schemas.microsoft.com/office/drawing/2014/main" id="{1347DB35-0FEB-446E-8ED0-2044597ADB3F}"/>
            </a:ext>
          </a:extLst>
        </xdr:cNvPr>
        <xdr:cNvCxnSpPr>
          <a:cxnSpLocks/>
        </xdr:cNvCxnSpPr>
      </xdr:nvCxnSpPr>
      <xdr:spPr>
        <a:xfrm flipV="1">
          <a:off x="22959219" y="7728857"/>
          <a:ext cx="2805146" cy="458012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103</xdr:row>
      <xdr:rowOff>67823</xdr:rowOff>
    </xdr:from>
    <xdr:to>
      <xdr:col>35</xdr:col>
      <xdr:colOff>555915</xdr:colOff>
      <xdr:row>106</xdr:row>
      <xdr:rowOff>13511</xdr:rowOff>
    </xdr:to>
    <xdr:cxnSp macro="">
      <xdr:nvCxnSpPr>
        <xdr:cNvPr id="585" name="Elbow Connector 61">
          <a:extLst>
            <a:ext uri="{FF2B5EF4-FFF2-40B4-BE49-F238E27FC236}">
              <a16:creationId xmlns:a16="http://schemas.microsoft.com/office/drawing/2014/main" id="{2FA1334E-D4CE-492F-8D81-0D54D0F4DCC9}"/>
            </a:ext>
          </a:extLst>
        </xdr:cNvPr>
        <xdr:cNvCxnSpPr/>
      </xdr:nvCxnSpPr>
      <xdr:spPr>
        <a:xfrm>
          <a:off x="22953430" y="7985479"/>
          <a:ext cx="2784204" cy="481470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103</xdr:row>
      <xdr:rowOff>82043</xdr:rowOff>
    </xdr:from>
    <xdr:to>
      <xdr:col>31</xdr:col>
      <xdr:colOff>68635</xdr:colOff>
      <xdr:row>104</xdr:row>
      <xdr:rowOff>59817</xdr:rowOff>
    </xdr:to>
    <xdr:sp macro="" textlink="">
      <xdr:nvSpPr>
        <xdr:cNvPr id="586" name="Oval 585">
          <a:extLst>
            <a:ext uri="{FF2B5EF4-FFF2-40B4-BE49-F238E27FC236}">
              <a16:creationId xmlns:a16="http://schemas.microsoft.com/office/drawing/2014/main" id="{66EA091C-033C-4517-988A-459B6C9C64D1}"/>
            </a:ext>
          </a:extLst>
        </xdr:cNvPr>
        <xdr:cNvSpPr/>
      </xdr:nvSpPr>
      <xdr:spPr>
        <a:xfrm>
          <a:off x="22884971" y="7999699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103</xdr:row>
      <xdr:rowOff>82043</xdr:rowOff>
    </xdr:from>
    <xdr:to>
      <xdr:col>31</xdr:col>
      <xdr:colOff>68635</xdr:colOff>
      <xdr:row>104</xdr:row>
      <xdr:rowOff>59817</xdr:rowOff>
    </xdr:to>
    <xdr:sp macro="" textlink="">
      <xdr:nvSpPr>
        <xdr:cNvPr id="587" name="Oval 586">
          <a:extLst>
            <a:ext uri="{FF2B5EF4-FFF2-40B4-BE49-F238E27FC236}">
              <a16:creationId xmlns:a16="http://schemas.microsoft.com/office/drawing/2014/main" id="{D9AC6201-D1C4-43E8-A084-19DCABE473EC}"/>
            </a:ext>
          </a:extLst>
        </xdr:cNvPr>
        <xdr:cNvSpPr/>
      </xdr:nvSpPr>
      <xdr:spPr>
        <a:xfrm>
          <a:off x="22884971" y="7999699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103</xdr:row>
      <xdr:rowOff>82043</xdr:rowOff>
    </xdr:from>
    <xdr:to>
      <xdr:col>31</xdr:col>
      <xdr:colOff>68635</xdr:colOff>
      <xdr:row>104</xdr:row>
      <xdr:rowOff>59817</xdr:rowOff>
    </xdr:to>
    <xdr:sp macro="" textlink="">
      <xdr:nvSpPr>
        <xdr:cNvPr id="588" name="Oval 587">
          <a:extLst>
            <a:ext uri="{FF2B5EF4-FFF2-40B4-BE49-F238E27FC236}">
              <a16:creationId xmlns:a16="http://schemas.microsoft.com/office/drawing/2014/main" id="{98EA5588-2D47-4FF0-BCD4-C8E14A968B7A}"/>
            </a:ext>
          </a:extLst>
        </xdr:cNvPr>
        <xdr:cNvSpPr/>
      </xdr:nvSpPr>
      <xdr:spPr>
        <a:xfrm>
          <a:off x="22884971" y="7999699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101</xdr:row>
      <xdr:rowOff>48117</xdr:rowOff>
    </xdr:from>
    <xdr:to>
      <xdr:col>36</xdr:col>
      <xdr:colOff>100793</xdr:colOff>
      <xdr:row>102</xdr:row>
      <xdr:rowOff>120953</xdr:rowOff>
    </xdr:to>
    <xdr:sp macro="" textlink="">
      <xdr:nvSpPr>
        <xdr:cNvPr id="589" name="Oval 588">
          <a:extLst>
            <a:ext uri="{FF2B5EF4-FFF2-40B4-BE49-F238E27FC236}">
              <a16:creationId xmlns:a16="http://schemas.microsoft.com/office/drawing/2014/main" id="{45F109A8-41C6-4665-84D9-32F1BC39FC2B}"/>
            </a:ext>
          </a:extLst>
        </xdr:cNvPr>
        <xdr:cNvSpPr/>
      </xdr:nvSpPr>
      <xdr:spPr>
        <a:xfrm>
          <a:off x="25592788" y="7608586"/>
          <a:ext cx="245349" cy="251430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107</xdr:row>
      <xdr:rowOff>90713</xdr:rowOff>
    </xdr:from>
    <xdr:to>
      <xdr:col>36</xdr:col>
      <xdr:colOff>12880</xdr:colOff>
      <xdr:row>108</xdr:row>
      <xdr:rowOff>101372</xdr:rowOff>
    </xdr:to>
    <xdr:sp macro="" textlink="">
      <xdr:nvSpPr>
        <xdr:cNvPr id="590" name="Isosceles Triangle 589">
          <a:extLst>
            <a:ext uri="{FF2B5EF4-FFF2-40B4-BE49-F238E27FC236}">
              <a16:creationId xmlns:a16="http://schemas.microsoft.com/office/drawing/2014/main" id="{455E81E7-CA8B-406B-8BD2-3518FBA2BD35}"/>
            </a:ext>
          </a:extLst>
        </xdr:cNvPr>
        <xdr:cNvSpPr/>
      </xdr:nvSpPr>
      <xdr:spPr>
        <a:xfrm rot="16200000">
          <a:off x="25577973" y="8739747"/>
          <a:ext cx="189253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105</xdr:row>
      <xdr:rowOff>112082</xdr:rowOff>
    </xdr:from>
    <xdr:to>
      <xdr:col>36</xdr:col>
      <xdr:colOff>14091</xdr:colOff>
      <xdr:row>106</xdr:row>
      <xdr:rowOff>122741</xdr:rowOff>
    </xdr:to>
    <xdr:sp macro="" textlink="">
      <xdr:nvSpPr>
        <xdr:cNvPr id="591" name="Isosceles Triangle 590">
          <a:extLst>
            <a:ext uri="{FF2B5EF4-FFF2-40B4-BE49-F238E27FC236}">
              <a16:creationId xmlns:a16="http://schemas.microsoft.com/office/drawing/2014/main" id="{40F210A9-20D2-4DF8-BAFC-588384580770}"/>
            </a:ext>
          </a:extLst>
        </xdr:cNvPr>
        <xdr:cNvSpPr/>
      </xdr:nvSpPr>
      <xdr:spPr>
        <a:xfrm rot="16200000">
          <a:off x="25579184" y="8403929"/>
          <a:ext cx="189253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98</xdr:row>
      <xdr:rowOff>83054</xdr:rowOff>
    </xdr:from>
    <xdr:to>
      <xdr:col>36</xdr:col>
      <xdr:colOff>15299</xdr:colOff>
      <xdr:row>99</xdr:row>
      <xdr:rowOff>93713</xdr:rowOff>
    </xdr:to>
    <xdr:sp macro="" textlink="">
      <xdr:nvSpPr>
        <xdr:cNvPr id="592" name="Isosceles Triangle 591">
          <a:extLst>
            <a:ext uri="{FF2B5EF4-FFF2-40B4-BE49-F238E27FC236}">
              <a16:creationId xmlns:a16="http://schemas.microsoft.com/office/drawing/2014/main" id="{51FBE194-9850-45CE-BEC8-7EA31BB8B359}"/>
            </a:ext>
          </a:extLst>
        </xdr:cNvPr>
        <xdr:cNvSpPr/>
      </xdr:nvSpPr>
      <xdr:spPr>
        <a:xfrm rot="16200000">
          <a:off x="25580393" y="7124744"/>
          <a:ext cx="189252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333247</xdr:colOff>
      <xdr:row>82</xdr:row>
      <xdr:rowOff>134612</xdr:rowOff>
    </xdr:from>
    <xdr:to>
      <xdr:col>36</xdr:col>
      <xdr:colOff>217527</xdr:colOff>
      <xdr:row>85</xdr:row>
      <xdr:rowOff>42193</xdr:rowOff>
    </xdr:to>
    <xdr:sp macro="" textlink="">
      <xdr:nvSpPr>
        <xdr:cNvPr id="593" name="Oval 592">
          <a:extLst>
            <a:ext uri="{FF2B5EF4-FFF2-40B4-BE49-F238E27FC236}">
              <a16:creationId xmlns:a16="http://schemas.microsoft.com/office/drawing/2014/main" id="{938983B8-C9BA-4515-B7F8-68579EA7FBED}"/>
            </a:ext>
          </a:extLst>
        </xdr:cNvPr>
        <xdr:cNvSpPr/>
      </xdr:nvSpPr>
      <xdr:spPr>
        <a:xfrm>
          <a:off x="25514966" y="4301800"/>
          <a:ext cx="439905" cy="44336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323206</xdr:colOff>
      <xdr:row>91</xdr:row>
      <xdr:rowOff>139338</xdr:rowOff>
    </xdr:from>
    <xdr:to>
      <xdr:col>36</xdr:col>
      <xdr:colOff>207486</xdr:colOff>
      <xdr:row>94</xdr:row>
      <xdr:rowOff>46919</xdr:rowOff>
    </xdr:to>
    <xdr:sp macro="" textlink="">
      <xdr:nvSpPr>
        <xdr:cNvPr id="594" name="Oval 593">
          <a:extLst>
            <a:ext uri="{FF2B5EF4-FFF2-40B4-BE49-F238E27FC236}">
              <a16:creationId xmlns:a16="http://schemas.microsoft.com/office/drawing/2014/main" id="{4F2780F4-2E99-48FA-828A-8AA9B45AC292}"/>
            </a:ext>
          </a:extLst>
        </xdr:cNvPr>
        <xdr:cNvSpPr/>
      </xdr:nvSpPr>
      <xdr:spPr>
        <a:xfrm>
          <a:off x="25504925" y="5913869"/>
          <a:ext cx="439905" cy="44336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327932</xdr:colOff>
      <xdr:row>100</xdr:row>
      <xdr:rowOff>129296</xdr:rowOff>
    </xdr:from>
    <xdr:to>
      <xdr:col>36</xdr:col>
      <xdr:colOff>212212</xdr:colOff>
      <xdr:row>103</xdr:row>
      <xdr:rowOff>36877</xdr:rowOff>
    </xdr:to>
    <xdr:sp macro="" textlink="">
      <xdr:nvSpPr>
        <xdr:cNvPr id="595" name="Oval 594">
          <a:extLst>
            <a:ext uri="{FF2B5EF4-FFF2-40B4-BE49-F238E27FC236}">
              <a16:creationId xmlns:a16="http://schemas.microsoft.com/office/drawing/2014/main" id="{B88B992A-2B10-4162-AAFF-3052FB3C8011}"/>
            </a:ext>
          </a:extLst>
        </xdr:cNvPr>
        <xdr:cNvSpPr/>
      </xdr:nvSpPr>
      <xdr:spPr>
        <a:xfrm>
          <a:off x="25509651" y="7511171"/>
          <a:ext cx="439905" cy="44336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18</xdr:col>
      <xdr:colOff>481377</xdr:colOff>
      <xdr:row>120</xdr:row>
      <xdr:rowOff>82043</xdr:rowOff>
    </xdr:from>
    <xdr:to>
      <xdr:col>19</xdr:col>
      <xdr:colOff>68635</xdr:colOff>
      <xdr:row>121</xdr:row>
      <xdr:rowOff>59817</xdr:rowOff>
    </xdr:to>
    <xdr:sp macro="" textlink="">
      <xdr:nvSpPr>
        <xdr:cNvPr id="596" name="Oval 595">
          <a:extLst>
            <a:ext uri="{FF2B5EF4-FFF2-40B4-BE49-F238E27FC236}">
              <a16:creationId xmlns:a16="http://schemas.microsoft.com/office/drawing/2014/main" id="{19D86487-D6C4-458F-BD4A-F198EE43307B}"/>
            </a:ext>
          </a:extLst>
        </xdr:cNvPr>
        <xdr:cNvSpPr/>
      </xdr:nvSpPr>
      <xdr:spPr>
        <a:xfrm>
          <a:off x="15959502" y="11035793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116</xdr:row>
      <xdr:rowOff>13510</xdr:rowOff>
    </xdr:from>
    <xdr:to>
      <xdr:col>24</xdr:col>
      <xdr:colOff>0</xdr:colOff>
      <xdr:row>120</xdr:row>
      <xdr:rowOff>121595</xdr:rowOff>
    </xdr:to>
    <xdr:cxnSp macro="">
      <xdr:nvCxnSpPr>
        <xdr:cNvPr id="597" name="Elbow Connector 59">
          <a:extLst>
            <a:ext uri="{FF2B5EF4-FFF2-40B4-BE49-F238E27FC236}">
              <a16:creationId xmlns:a16="http://schemas.microsoft.com/office/drawing/2014/main" id="{E450D701-4B23-422A-A83F-ABF48DA48017}"/>
            </a:ext>
          </a:extLst>
        </xdr:cNvPr>
        <xdr:cNvCxnSpPr>
          <a:cxnSpLocks/>
        </xdr:cNvCxnSpPr>
      </xdr:nvCxnSpPr>
      <xdr:spPr>
        <a:xfrm flipV="1">
          <a:off x="16033750" y="10252885"/>
          <a:ext cx="2778125" cy="822460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121</xdr:row>
      <xdr:rowOff>67823</xdr:rowOff>
    </xdr:from>
    <xdr:to>
      <xdr:col>24</xdr:col>
      <xdr:colOff>21585</xdr:colOff>
      <xdr:row>125</xdr:row>
      <xdr:rowOff>13511</xdr:rowOff>
    </xdr:to>
    <xdr:cxnSp macro="">
      <xdr:nvCxnSpPr>
        <xdr:cNvPr id="598" name="Elbow Connector 61">
          <a:extLst>
            <a:ext uri="{FF2B5EF4-FFF2-40B4-BE49-F238E27FC236}">
              <a16:creationId xmlns:a16="http://schemas.microsoft.com/office/drawing/2014/main" id="{0D52CA7E-A04F-43FE-B1C1-AF05AE6439AC}"/>
            </a:ext>
          </a:extLst>
        </xdr:cNvPr>
        <xdr:cNvCxnSpPr/>
      </xdr:nvCxnSpPr>
      <xdr:spPr>
        <a:xfrm>
          <a:off x="16049256" y="11200167"/>
          <a:ext cx="2784204" cy="66006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120</xdr:row>
      <xdr:rowOff>82043</xdr:rowOff>
    </xdr:from>
    <xdr:to>
      <xdr:col>19</xdr:col>
      <xdr:colOff>68635</xdr:colOff>
      <xdr:row>121</xdr:row>
      <xdr:rowOff>59817</xdr:rowOff>
    </xdr:to>
    <xdr:sp macro="" textlink="">
      <xdr:nvSpPr>
        <xdr:cNvPr id="599" name="Oval 598">
          <a:extLst>
            <a:ext uri="{FF2B5EF4-FFF2-40B4-BE49-F238E27FC236}">
              <a16:creationId xmlns:a16="http://schemas.microsoft.com/office/drawing/2014/main" id="{FC8142A1-BFAF-4C6C-A152-B9B805980A9C}"/>
            </a:ext>
          </a:extLst>
        </xdr:cNvPr>
        <xdr:cNvSpPr/>
      </xdr:nvSpPr>
      <xdr:spPr>
        <a:xfrm>
          <a:off x="15959502" y="11035793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501536</xdr:colOff>
      <xdr:row>115</xdr:row>
      <xdr:rowOff>112280</xdr:rowOff>
    </xdr:from>
    <xdr:to>
      <xdr:col>24</xdr:col>
      <xdr:colOff>88794</xdr:colOff>
      <xdr:row>116</xdr:row>
      <xdr:rowOff>90055</xdr:rowOff>
    </xdr:to>
    <xdr:sp macro="" textlink="">
      <xdr:nvSpPr>
        <xdr:cNvPr id="600" name="Oval 599">
          <a:extLst>
            <a:ext uri="{FF2B5EF4-FFF2-40B4-BE49-F238E27FC236}">
              <a16:creationId xmlns:a16="http://schemas.microsoft.com/office/drawing/2014/main" id="{68AAF767-5E23-417F-B4C0-78C4B7D9C4CD}"/>
            </a:ext>
          </a:extLst>
        </xdr:cNvPr>
        <xdr:cNvSpPr/>
      </xdr:nvSpPr>
      <xdr:spPr>
        <a:xfrm>
          <a:off x="18757786" y="10173061"/>
          <a:ext cx="142883" cy="156369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534205</xdr:colOff>
      <xdr:row>113</xdr:row>
      <xdr:rowOff>161644</xdr:rowOff>
    </xdr:from>
    <xdr:to>
      <xdr:col>30</xdr:col>
      <xdr:colOff>481377</xdr:colOff>
      <xdr:row>115</xdr:row>
      <xdr:rowOff>120952</xdr:rowOff>
    </xdr:to>
    <xdr:cxnSp macro="">
      <xdr:nvCxnSpPr>
        <xdr:cNvPr id="601" name="Elbow Connector 59">
          <a:extLst>
            <a:ext uri="{FF2B5EF4-FFF2-40B4-BE49-F238E27FC236}">
              <a16:creationId xmlns:a16="http://schemas.microsoft.com/office/drawing/2014/main" id="{6DE54AA0-236E-400C-8690-CCC87141785C}"/>
            </a:ext>
          </a:extLst>
        </xdr:cNvPr>
        <xdr:cNvCxnSpPr>
          <a:cxnSpLocks/>
          <a:endCxn id="613" idx="2"/>
        </xdr:cNvCxnSpPr>
      </xdr:nvCxnSpPr>
      <xdr:spPr>
        <a:xfrm flipV="1">
          <a:off x="18790455" y="9865238"/>
          <a:ext cx="4094516" cy="316495"/>
        </a:xfrm>
        <a:prstGeom prst="bentConnector3">
          <a:avLst>
            <a:gd name="adj1" fmla="val 495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116</xdr:row>
      <xdr:rowOff>67823</xdr:rowOff>
    </xdr:from>
    <xdr:to>
      <xdr:col>36</xdr:col>
      <xdr:colOff>0</xdr:colOff>
      <xdr:row>117</xdr:row>
      <xdr:rowOff>171349</xdr:rowOff>
    </xdr:to>
    <xdr:cxnSp macro="">
      <xdr:nvCxnSpPr>
        <xdr:cNvPr id="602" name="Elbow Connector 61">
          <a:extLst>
            <a:ext uri="{FF2B5EF4-FFF2-40B4-BE49-F238E27FC236}">
              <a16:creationId xmlns:a16="http://schemas.microsoft.com/office/drawing/2014/main" id="{5844052C-5C14-497C-9E8D-48B56951A3FF}"/>
            </a:ext>
          </a:extLst>
        </xdr:cNvPr>
        <xdr:cNvCxnSpPr/>
      </xdr:nvCxnSpPr>
      <xdr:spPr>
        <a:xfrm>
          <a:off x="18819637" y="10307198"/>
          <a:ext cx="6917707" cy="282120"/>
        </a:xfrm>
        <a:prstGeom prst="bentConnector3">
          <a:avLst>
            <a:gd name="adj1" fmla="val -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124</xdr:row>
      <xdr:rowOff>82043</xdr:rowOff>
    </xdr:from>
    <xdr:to>
      <xdr:col>24</xdr:col>
      <xdr:colOff>68635</xdr:colOff>
      <xdr:row>125</xdr:row>
      <xdr:rowOff>59817</xdr:rowOff>
    </xdr:to>
    <xdr:sp macro="" textlink="">
      <xdr:nvSpPr>
        <xdr:cNvPr id="603" name="Oval 602">
          <a:extLst>
            <a:ext uri="{FF2B5EF4-FFF2-40B4-BE49-F238E27FC236}">
              <a16:creationId xmlns:a16="http://schemas.microsoft.com/office/drawing/2014/main" id="{DDC8798C-8DC6-4197-BC13-EA9B7E9CA842}"/>
            </a:ext>
          </a:extLst>
        </xdr:cNvPr>
        <xdr:cNvSpPr/>
      </xdr:nvSpPr>
      <xdr:spPr>
        <a:xfrm>
          <a:off x="18737627" y="11750168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124</xdr:row>
      <xdr:rowOff>82043</xdr:rowOff>
    </xdr:from>
    <xdr:to>
      <xdr:col>24</xdr:col>
      <xdr:colOff>68635</xdr:colOff>
      <xdr:row>125</xdr:row>
      <xdr:rowOff>59817</xdr:rowOff>
    </xdr:to>
    <xdr:sp macro="" textlink="">
      <xdr:nvSpPr>
        <xdr:cNvPr id="604" name="Oval 603">
          <a:extLst>
            <a:ext uri="{FF2B5EF4-FFF2-40B4-BE49-F238E27FC236}">
              <a16:creationId xmlns:a16="http://schemas.microsoft.com/office/drawing/2014/main" id="{B60FD55D-0453-4B93-BAB5-32B3C79EBD33}"/>
            </a:ext>
          </a:extLst>
        </xdr:cNvPr>
        <xdr:cNvSpPr/>
      </xdr:nvSpPr>
      <xdr:spPr>
        <a:xfrm>
          <a:off x="18737627" y="11750168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124</xdr:row>
      <xdr:rowOff>82043</xdr:rowOff>
    </xdr:from>
    <xdr:to>
      <xdr:col>24</xdr:col>
      <xdr:colOff>68635</xdr:colOff>
      <xdr:row>125</xdr:row>
      <xdr:rowOff>59817</xdr:rowOff>
    </xdr:to>
    <xdr:sp macro="" textlink="">
      <xdr:nvSpPr>
        <xdr:cNvPr id="605" name="Oval 604">
          <a:extLst>
            <a:ext uri="{FF2B5EF4-FFF2-40B4-BE49-F238E27FC236}">
              <a16:creationId xmlns:a16="http://schemas.microsoft.com/office/drawing/2014/main" id="{022817B3-3987-4E5E-B42E-1FE4E6416082}"/>
            </a:ext>
          </a:extLst>
        </xdr:cNvPr>
        <xdr:cNvSpPr/>
      </xdr:nvSpPr>
      <xdr:spPr>
        <a:xfrm>
          <a:off x="18737627" y="11750168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124</xdr:row>
      <xdr:rowOff>82043</xdr:rowOff>
    </xdr:from>
    <xdr:to>
      <xdr:col>24</xdr:col>
      <xdr:colOff>68635</xdr:colOff>
      <xdr:row>125</xdr:row>
      <xdr:rowOff>59817</xdr:rowOff>
    </xdr:to>
    <xdr:sp macro="" textlink="">
      <xdr:nvSpPr>
        <xdr:cNvPr id="606" name="Oval 605">
          <a:extLst>
            <a:ext uri="{FF2B5EF4-FFF2-40B4-BE49-F238E27FC236}">
              <a16:creationId xmlns:a16="http://schemas.microsoft.com/office/drawing/2014/main" id="{0EE12C8C-C1F0-4233-8B2A-F4467F12129E}"/>
            </a:ext>
          </a:extLst>
        </xdr:cNvPr>
        <xdr:cNvSpPr/>
      </xdr:nvSpPr>
      <xdr:spPr>
        <a:xfrm>
          <a:off x="18737627" y="11750168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123</xdr:row>
      <xdr:rowOff>13512</xdr:rowOff>
    </xdr:from>
    <xdr:to>
      <xdr:col>30</xdr:col>
      <xdr:colOff>513404</xdr:colOff>
      <xdr:row>124</xdr:row>
      <xdr:rowOff>82044</xdr:rowOff>
    </xdr:to>
    <xdr:cxnSp macro="">
      <xdr:nvCxnSpPr>
        <xdr:cNvPr id="607" name="Elbow Connector 59">
          <a:extLst>
            <a:ext uri="{FF2B5EF4-FFF2-40B4-BE49-F238E27FC236}">
              <a16:creationId xmlns:a16="http://schemas.microsoft.com/office/drawing/2014/main" id="{7378DBFB-EA3F-4A0A-87D1-0879FE6ABE64}"/>
            </a:ext>
          </a:extLst>
        </xdr:cNvPr>
        <xdr:cNvCxnSpPr>
          <a:cxnSpLocks/>
          <a:stCxn id="606" idx="0"/>
        </xdr:cNvCxnSpPr>
      </xdr:nvCxnSpPr>
      <xdr:spPr>
        <a:xfrm rot="5400000" flipH="1" flipV="1">
          <a:off x="20739048" y="9572219"/>
          <a:ext cx="247126" cy="4108774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113</xdr:row>
      <xdr:rowOff>82043</xdr:rowOff>
    </xdr:from>
    <xdr:to>
      <xdr:col>31</xdr:col>
      <xdr:colOff>68635</xdr:colOff>
      <xdr:row>114</xdr:row>
      <xdr:rowOff>59817</xdr:rowOff>
    </xdr:to>
    <xdr:sp macro="" textlink="">
      <xdr:nvSpPr>
        <xdr:cNvPr id="608" name="Oval 607">
          <a:extLst>
            <a:ext uri="{FF2B5EF4-FFF2-40B4-BE49-F238E27FC236}">
              <a16:creationId xmlns:a16="http://schemas.microsoft.com/office/drawing/2014/main" id="{1EFC507A-6971-4BE9-A133-2A3A6ED004BB}"/>
            </a:ext>
          </a:extLst>
        </xdr:cNvPr>
        <xdr:cNvSpPr/>
      </xdr:nvSpPr>
      <xdr:spPr>
        <a:xfrm>
          <a:off x="22884971" y="9785637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111</xdr:row>
      <xdr:rowOff>168388</xdr:rowOff>
    </xdr:from>
    <xdr:to>
      <xdr:col>36</xdr:col>
      <xdr:colOff>27021</xdr:colOff>
      <xdr:row>114</xdr:row>
      <xdr:rowOff>90619</xdr:rowOff>
    </xdr:to>
    <xdr:cxnSp macro="">
      <xdr:nvCxnSpPr>
        <xdr:cNvPr id="609" name="Elbow Connector 59">
          <a:extLst>
            <a:ext uri="{FF2B5EF4-FFF2-40B4-BE49-F238E27FC236}">
              <a16:creationId xmlns:a16="http://schemas.microsoft.com/office/drawing/2014/main" id="{83391469-5211-4076-B7FA-4CA235CBFB41}"/>
            </a:ext>
          </a:extLst>
        </xdr:cNvPr>
        <xdr:cNvCxnSpPr>
          <a:cxnSpLocks/>
        </xdr:cNvCxnSpPr>
      </xdr:nvCxnSpPr>
      <xdr:spPr>
        <a:xfrm flipV="1">
          <a:off x="22959219" y="9514794"/>
          <a:ext cx="2805146" cy="458013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113</xdr:row>
      <xdr:rowOff>67823</xdr:rowOff>
    </xdr:from>
    <xdr:to>
      <xdr:col>36</xdr:col>
      <xdr:colOff>290</xdr:colOff>
      <xdr:row>116</xdr:row>
      <xdr:rowOff>13511</xdr:rowOff>
    </xdr:to>
    <xdr:cxnSp macro="">
      <xdr:nvCxnSpPr>
        <xdr:cNvPr id="610" name="Elbow Connector 61">
          <a:extLst>
            <a:ext uri="{FF2B5EF4-FFF2-40B4-BE49-F238E27FC236}">
              <a16:creationId xmlns:a16="http://schemas.microsoft.com/office/drawing/2014/main" id="{975ED17C-0AC6-4D17-A569-2441B09EA7A1}"/>
            </a:ext>
          </a:extLst>
        </xdr:cNvPr>
        <xdr:cNvCxnSpPr/>
      </xdr:nvCxnSpPr>
      <xdr:spPr>
        <a:xfrm>
          <a:off x="22953430" y="9771417"/>
          <a:ext cx="2784204" cy="481469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113</xdr:row>
      <xdr:rowOff>82043</xdr:rowOff>
    </xdr:from>
    <xdr:to>
      <xdr:col>31</xdr:col>
      <xdr:colOff>68635</xdr:colOff>
      <xdr:row>114</xdr:row>
      <xdr:rowOff>59817</xdr:rowOff>
    </xdr:to>
    <xdr:sp macro="" textlink="">
      <xdr:nvSpPr>
        <xdr:cNvPr id="611" name="Oval 610">
          <a:extLst>
            <a:ext uri="{FF2B5EF4-FFF2-40B4-BE49-F238E27FC236}">
              <a16:creationId xmlns:a16="http://schemas.microsoft.com/office/drawing/2014/main" id="{5BC0DD50-23D8-48F1-B0D4-91A0F4BC9304}"/>
            </a:ext>
          </a:extLst>
        </xdr:cNvPr>
        <xdr:cNvSpPr/>
      </xdr:nvSpPr>
      <xdr:spPr>
        <a:xfrm>
          <a:off x="22884971" y="9785637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113</xdr:row>
      <xdr:rowOff>82043</xdr:rowOff>
    </xdr:from>
    <xdr:to>
      <xdr:col>31</xdr:col>
      <xdr:colOff>68635</xdr:colOff>
      <xdr:row>114</xdr:row>
      <xdr:rowOff>59817</xdr:rowOff>
    </xdr:to>
    <xdr:sp macro="" textlink="">
      <xdr:nvSpPr>
        <xdr:cNvPr id="612" name="Oval 611">
          <a:extLst>
            <a:ext uri="{FF2B5EF4-FFF2-40B4-BE49-F238E27FC236}">
              <a16:creationId xmlns:a16="http://schemas.microsoft.com/office/drawing/2014/main" id="{9DE3B446-2380-480D-B9EA-0431A99E50EC}"/>
            </a:ext>
          </a:extLst>
        </xdr:cNvPr>
        <xdr:cNvSpPr/>
      </xdr:nvSpPr>
      <xdr:spPr>
        <a:xfrm>
          <a:off x="22884971" y="9785637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113</xdr:row>
      <xdr:rowOff>82043</xdr:rowOff>
    </xdr:from>
    <xdr:to>
      <xdr:col>31</xdr:col>
      <xdr:colOff>68635</xdr:colOff>
      <xdr:row>114</xdr:row>
      <xdr:rowOff>59817</xdr:rowOff>
    </xdr:to>
    <xdr:sp macro="" textlink="">
      <xdr:nvSpPr>
        <xdr:cNvPr id="613" name="Oval 612">
          <a:extLst>
            <a:ext uri="{FF2B5EF4-FFF2-40B4-BE49-F238E27FC236}">
              <a16:creationId xmlns:a16="http://schemas.microsoft.com/office/drawing/2014/main" id="{2910800A-F08A-4EF2-8782-6562D1201C96}"/>
            </a:ext>
          </a:extLst>
        </xdr:cNvPr>
        <xdr:cNvSpPr/>
      </xdr:nvSpPr>
      <xdr:spPr>
        <a:xfrm>
          <a:off x="22884971" y="9785637"/>
          <a:ext cx="142883" cy="156368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111</xdr:row>
      <xdr:rowOff>48117</xdr:rowOff>
    </xdr:from>
    <xdr:to>
      <xdr:col>36</xdr:col>
      <xdr:colOff>100793</xdr:colOff>
      <xdr:row>112</xdr:row>
      <xdr:rowOff>120953</xdr:rowOff>
    </xdr:to>
    <xdr:sp macro="" textlink="">
      <xdr:nvSpPr>
        <xdr:cNvPr id="614" name="Oval 613">
          <a:extLst>
            <a:ext uri="{FF2B5EF4-FFF2-40B4-BE49-F238E27FC236}">
              <a16:creationId xmlns:a16="http://schemas.microsoft.com/office/drawing/2014/main" id="{3B361C73-D108-484B-8888-CFEC333368C8}"/>
            </a:ext>
          </a:extLst>
        </xdr:cNvPr>
        <xdr:cNvSpPr/>
      </xdr:nvSpPr>
      <xdr:spPr>
        <a:xfrm>
          <a:off x="25592788" y="9394523"/>
          <a:ext cx="245349" cy="251430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115</xdr:row>
      <xdr:rowOff>112082</xdr:rowOff>
    </xdr:from>
    <xdr:to>
      <xdr:col>36</xdr:col>
      <xdr:colOff>14091</xdr:colOff>
      <xdr:row>116</xdr:row>
      <xdr:rowOff>122741</xdr:rowOff>
    </xdr:to>
    <xdr:sp macro="" textlink="">
      <xdr:nvSpPr>
        <xdr:cNvPr id="615" name="Isosceles Triangle 614">
          <a:extLst>
            <a:ext uri="{FF2B5EF4-FFF2-40B4-BE49-F238E27FC236}">
              <a16:creationId xmlns:a16="http://schemas.microsoft.com/office/drawing/2014/main" id="{377DACE1-DC09-4EBF-8353-F5A4893FCB81}"/>
            </a:ext>
          </a:extLst>
        </xdr:cNvPr>
        <xdr:cNvSpPr/>
      </xdr:nvSpPr>
      <xdr:spPr>
        <a:xfrm rot="16200000">
          <a:off x="25579184" y="10189866"/>
          <a:ext cx="189253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125</xdr:row>
      <xdr:rowOff>57743</xdr:rowOff>
    </xdr:from>
    <xdr:to>
      <xdr:col>36</xdr:col>
      <xdr:colOff>10080</xdr:colOff>
      <xdr:row>126</xdr:row>
      <xdr:rowOff>161270</xdr:rowOff>
    </xdr:to>
    <xdr:cxnSp macro="">
      <xdr:nvCxnSpPr>
        <xdr:cNvPr id="616" name="Elbow Connector 61">
          <a:extLst>
            <a:ext uri="{FF2B5EF4-FFF2-40B4-BE49-F238E27FC236}">
              <a16:creationId xmlns:a16="http://schemas.microsoft.com/office/drawing/2014/main" id="{6339569D-A5FF-4041-B648-67ED849AD5DA}"/>
            </a:ext>
          </a:extLst>
        </xdr:cNvPr>
        <xdr:cNvCxnSpPr/>
      </xdr:nvCxnSpPr>
      <xdr:spPr>
        <a:xfrm>
          <a:off x="18829717" y="11904462"/>
          <a:ext cx="6917707" cy="282121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122</xdr:row>
      <xdr:rowOff>82043</xdr:rowOff>
    </xdr:from>
    <xdr:to>
      <xdr:col>31</xdr:col>
      <xdr:colOff>68635</xdr:colOff>
      <xdr:row>123</xdr:row>
      <xdr:rowOff>59817</xdr:rowOff>
    </xdr:to>
    <xdr:sp macro="" textlink="">
      <xdr:nvSpPr>
        <xdr:cNvPr id="617" name="Oval 616">
          <a:extLst>
            <a:ext uri="{FF2B5EF4-FFF2-40B4-BE49-F238E27FC236}">
              <a16:creationId xmlns:a16="http://schemas.microsoft.com/office/drawing/2014/main" id="{1A6AFDC3-1196-4514-B5E6-5B923E100FA4}"/>
            </a:ext>
          </a:extLst>
        </xdr:cNvPr>
        <xdr:cNvSpPr/>
      </xdr:nvSpPr>
      <xdr:spPr>
        <a:xfrm>
          <a:off x="22884971" y="11392981"/>
          <a:ext cx="142883" cy="156367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120</xdr:row>
      <xdr:rowOff>168388</xdr:rowOff>
    </xdr:from>
    <xdr:to>
      <xdr:col>36</xdr:col>
      <xdr:colOff>27021</xdr:colOff>
      <xdr:row>123</xdr:row>
      <xdr:rowOff>90619</xdr:rowOff>
    </xdr:to>
    <xdr:cxnSp macro="">
      <xdr:nvCxnSpPr>
        <xdr:cNvPr id="618" name="Elbow Connector 59">
          <a:extLst>
            <a:ext uri="{FF2B5EF4-FFF2-40B4-BE49-F238E27FC236}">
              <a16:creationId xmlns:a16="http://schemas.microsoft.com/office/drawing/2014/main" id="{A5213D7B-B4D6-4CE6-800C-9D1086B2D580}"/>
            </a:ext>
          </a:extLst>
        </xdr:cNvPr>
        <xdr:cNvCxnSpPr>
          <a:cxnSpLocks/>
        </xdr:cNvCxnSpPr>
      </xdr:nvCxnSpPr>
      <xdr:spPr>
        <a:xfrm flipV="1">
          <a:off x="22959219" y="11122138"/>
          <a:ext cx="2805146" cy="458012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122</xdr:row>
      <xdr:rowOff>67823</xdr:rowOff>
    </xdr:from>
    <xdr:to>
      <xdr:col>35</xdr:col>
      <xdr:colOff>555915</xdr:colOff>
      <xdr:row>125</xdr:row>
      <xdr:rowOff>13511</xdr:rowOff>
    </xdr:to>
    <xdr:cxnSp macro="">
      <xdr:nvCxnSpPr>
        <xdr:cNvPr id="619" name="Elbow Connector 61">
          <a:extLst>
            <a:ext uri="{FF2B5EF4-FFF2-40B4-BE49-F238E27FC236}">
              <a16:creationId xmlns:a16="http://schemas.microsoft.com/office/drawing/2014/main" id="{1E89ACFC-F064-4724-9642-BDDB79742AEE}"/>
            </a:ext>
          </a:extLst>
        </xdr:cNvPr>
        <xdr:cNvCxnSpPr/>
      </xdr:nvCxnSpPr>
      <xdr:spPr>
        <a:xfrm>
          <a:off x="22953430" y="11378761"/>
          <a:ext cx="2784204" cy="481469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122</xdr:row>
      <xdr:rowOff>82043</xdr:rowOff>
    </xdr:from>
    <xdr:to>
      <xdr:col>31</xdr:col>
      <xdr:colOff>68635</xdr:colOff>
      <xdr:row>123</xdr:row>
      <xdr:rowOff>59817</xdr:rowOff>
    </xdr:to>
    <xdr:sp macro="" textlink="">
      <xdr:nvSpPr>
        <xdr:cNvPr id="620" name="Oval 619">
          <a:extLst>
            <a:ext uri="{FF2B5EF4-FFF2-40B4-BE49-F238E27FC236}">
              <a16:creationId xmlns:a16="http://schemas.microsoft.com/office/drawing/2014/main" id="{10DB9CF4-83B0-4602-90C3-2619F79C9AE3}"/>
            </a:ext>
          </a:extLst>
        </xdr:cNvPr>
        <xdr:cNvSpPr/>
      </xdr:nvSpPr>
      <xdr:spPr>
        <a:xfrm>
          <a:off x="22884971" y="11392981"/>
          <a:ext cx="142883" cy="156367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122</xdr:row>
      <xdr:rowOff>82043</xdr:rowOff>
    </xdr:from>
    <xdr:to>
      <xdr:col>31</xdr:col>
      <xdr:colOff>68635</xdr:colOff>
      <xdr:row>123</xdr:row>
      <xdr:rowOff>59817</xdr:rowOff>
    </xdr:to>
    <xdr:sp macro="" textlink="">
      <xdr:nvSpPr>
        <xdr:cNvPr id="621" name="Oval 620">
          <a:extLst>
            <a:ext uri="{FF2B5EF4-FFF2-40B4-BE49-F238E27FC236}">
              <a16:creationId xmlns:a16="http://schemas.microsoft.com/office/drawing/2014/main" id="{E4C44117-7728-4039-82D9-2E44907B9FE6}"/>
            </a:ext>
          </a:extLst>
        </xdr:cNvPr>
        <xdr:cNvSpPr/>
      </xdr:nvSpPr>
      <xdr:spPr>
        <a:xfrm>
          <a:off x="22884971" y="11392981"/>
          <a:ext cx="142883" cy="156367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122</xdr:row>
      <xdr:rowOff>82043</xdr:rowOff>
    </xdr:from>
    <xdr:to>
      <xdr:col>31</xdr:col>
      <xdr:colOff>68635</xdr:colOff>
      <xdr:row>123</xdr:row>
      <xdr:rowOff>59817</xdr:rowOff>
    </xdr:to>
    <xdr:sp macro="" textlink="">
      <xdr:nvSpPr>
        <xdr:cNvPr id="622" name="Oval 621">
          <a:extLst>
            <a:ext uri="{FF2B5EF4-FFF2-40B4-BE49-F238E27FC236}">
              <a16:creationId xmlns:a16="http://schemas.microsoft.com/office/drawing/2014/main" id="{3B2DE1BB-06FE-47E6-A78A-53C66BD88ECC}"/>
            </a:ext>
          </a:extLst>
        </xdr:cNvPr>
        <xdr:cNvSpPr/>
      </xdr:nvSpPr>
      <xdr:spPr>
        <a:xfrm>
          <a:off x="22884971" y="11392981"/>
          <a:ext cx="142883" cy="156367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120</xdr:row>
      <xdr:rowOff>48117</xdr:rowOff>
    </xdr:from>
    <xdr:to>
      <xdr:col>36</xdr:col>
      <xdr:colOff>100793</xdr:colOff>
      <xdr:row>121</xdr:row>
      <xdr:rowOff>120953</xdr:rowOff>
    </xdr:to>
    <xdr:sp macro="" textlink="">
      <xdr:nvSpPr>
        <xdr:cNvPr id="623" name="Oval 622">
          <a:extLst>
            <a:ext uri="{FF2B5EF4-FFF2-40B4-BE49-F238E27FC236}">
              <a16:creationId xmlns:a16="http://schemas.microsoft.com/office/drawing/2014/main" id="{5D17530B-7A41-4376-BCD5-CC298CC0BD68}"/>
            </a:ext>
          </a:extLst>
        </xdr:cNvPr>
        <xdr:cNvSpPr/>
      </xdr:nvSpPr>
      <xdr:spPr>
        <a:xfrm>
          <a:off x="25592788" y="11001867"/>
          <a:ext cx="245349" cy="251430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126</xdr:row>
      <xdr:rowOff>90713</xdr:rowOff>
    </xdr:from>
    <xdr:to>
      <xdr:col>36</xdr:col>
      <xdr:colOff>12880</xdr:colOff>
      <xdr:row>127</xdr:row>
      <xdr:rowOff>101372</xdr:rowOff>
    </xdr:to>
    <xdr:sp macro="" textlink="">
      <xdr:nvSpPr>
        <xdr:cNvPr id="624" name="Isosceles Triangle 623">
          <a:extLst>
            <a:ext uri="{FF2B5EF4-FFF2-40B4-BE49-F238E27FC236}">
              <a16:creationId xmlns:a16="http://schemas.microsoft.com/office/drawing/2014/main" id="{48E6EE9F-F058-4EE2-87D1-1AF53B125767}"/>
            </a:ext>
          </a:extLst>
        </xdr:cNvPr>
        <xdr:cNvSpPr/>
      </xdr:nvSpPr>
      <xdr:spPr>
        <a:xfrm rot="16200000">
          <a:off x="25577974" y="12133028"/>
          <a:ext cx="189252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124</xdr:row>
      <xdr:rowOff>112082</xdr:rowOff>
    </xdr:from>
    <xdr:to>
      <xdr:col>36</xdr:col>
      <xdr:colOff>14091</xdr:colOff>
      <xdr:row>125</xdr:row>
      <xdr:rowOff>122741</xdr:rowOff>
    </xdr:to>
    <xdr:sp macro="" textlink="">
      <xdr:nvSpPr>
        <xdr:cNvPr id="625" name="Isosceles Triangle 624">
          <a:extLst>
            <a:ext uri="{FF2B5EF4-FFF2-40B4-BE49-F238E27FC236}">
              <a16:creationId xmlns:a16="http://schemas.microsoft.com/office/drawing/2014/main" id="{8C82DE76-3297-47C7-A28D-8E0CDF4C79B5}"/>
            </a:ext>
          </a:extLst>
        </xdr:cNvPr>
        <xdr:cNvSpPr/>
      </xdr:nvSpPr>
      <xdr:spPr>
        <a:xfrm rot="16200000">
          <a:off x="25579184" y="11797210"/>
          <a:ext cx="189253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117</xdr:row>
      <xdr:rowOff>83054</xdr:rowOff>
    </xdr:from>
    <xdr:to>
      <xdr:col>36</xdr:col>
      <xdr:colOff>15299</xdr:colOff>
      <xdr:row>118</xdr:row>
      <xdr:rowOff>93713</xdr:rowOff>
    </xdr:to>
    <xdr:sp macro="" textlink="">
      <xdr:nvSpPr>
        <xdr:cNvPr id="626" name="Isosceles Triangle 625">
          <a:extLst>
            <a:ext uri="{FF2B5EF4-FFF2-40B4-BE49-F238E27FC236}">
              <a16:creationId xmlns:a16="http://schemas.microsoft.com/office/drawing/2014/main" id="{AD2772F0-70EC-4712-A7C3-906214732D1C}"/>
            </a:ext>
          </a:extLst>
        </xdr:cNvPr>
        <xdr:cNvSpPr/>
      </xdr:nvSpPr>
      <xdr:spPr>
        <a:xfrm rot="16200000">
          <a:off x="25580392" y="10518026"/>
          <a:ext cx="189253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323206</xdr:colOff>
      <xdr:row>110</xdr:row>
      <xdr:rowOff>139338</xdr:rowOff>
    </xdr:from>
    <xdr:to>
      <xdr:col>36</xdr:col>
      <xdr:colOff>207486</xdr:colOff>
      <xdr:row>113</xdr:row>
      <xdr:rowOff>46919</xdr:rowOff>
    </xdr:to>
    <xdr:sp macro="" textlink="">
      <xdr:nvSpPr>
        <xdr:cNvPr id="627" name="Oval 626">
          <a:extLst>
            <a:ext uri="{FF2B5EF4-FFF2-40B4-BE49-F238E27FC236}">
              <a16:creationId xmlns:a16="http://schemas.microsoft.com/office/drawing/2014/main" id="{51842A89-D4ED-4792-AFB1-9A9A061CC93E}"/>
            </a:ext>
          </a:extLst>
        </xdr:cNvPr>
        <xdr:cNvSpPr/>
      </xdr:nvSpPr>
      <xdr:spPr>
        <a:xfrm>
          <a:off x="25504925" y="9307151"/>
          <a:ext cx="439905" cy="44336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327932</xdr:colOff>
      <xdr:row>119</xdr:row>
      <xdr:rowOff>129296</xdr:rowOff>
    </xdr:from>
    <xdr:to>
      <xdr:col>36</xdr:col>
      <xdr:colOff>212212</xdr:colOff>
      <xdr:row>122</xdr:row>
      <xdr:rowOff>36877</xdr:rowOff>
    </xdr:to>
    <xdr:sp macro="" textlink="">
      <xdr:nvSpPr>
        <xdr:cNvPr id="628" name="Oval 627">
          <a:extLst>
            <a:ext uri="{FF2B5EF4-FFF2-40B4-BE49-F238E27FC236}">
              <a16:creationId xmlns:a16="http://schemas.microsoft.com/office/drawing/2014/main" id="{D9E41A14-91BD-4A61-8BDA-8E4E65596823}"/>
            </a:ext>
          </a:extLst>
        </xdr:cNvPr>
        <xdr:cNvSpPr/>
      </xdr:nvSpPr>
      <xdr:spPr>
        <a:xfrm>
          <a:off x="25509651" y="10904452"/>
          <a:ext cx="439905" cy="44336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4</xdr:col>
      <xdr:colOff>0</xdr:colOff>
      <xdr:row>102</xdr:row>
      <xdr:rowOff>27021</xdr:rowOff>
    </xdr:from>
    <xdr:to>
      <xdr:col>13</xdr:col>
      <xdr:colOff>467432</xdr:colOff>
      <xdr:row>102</xdr:row>
      <xdr:rowOff>32595</xdr:rowOff>
    </xdr:to>
    <xdr:cxnSp macro="">
      <xdr:nvCxnSpPr>
        <xdr:cNvPr id="629" name="Straight Connector 628">
          <a:extLst>
            <a:ext uri="{FF2B5EF4-FFF2-40B4-BE49-F238E27FC236}">
              <a16:creationId xmlns:a16="http://schemas.microsoft.com/office/drawing/2014/main" id="{2298FE76-9C54-4C0F-8E17-6A0FAC7CF3CA}"/>
            </a:ext>
          </a:extLst>
        </xdr:cNvPr>
        <xdr:cNvCxnSpPr/>
      </xdr:nvCxnSpPr>
      <xdr:spPr>
        <a:xfrm>
          <a:off x="7659688" y="7766084"/>
          <a:ext cx="5507744" cy="55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542258</xdr:colOff>
      <xdr:row>164</xdr:row>
      <xdr:rowOff>83636</xdr:rowOff>
    </xdr:from>
    <xdr:to>
      <xdr:col>18</xdr:col>
      <xdr:colOff>481376</xdr:colOff>
      <xdr:row>182</xdr:row>
      <xdr:rowOff>165505</xdr:rowOff>
    </xdr:to>
    <xdr:cxnSp macro="">
      <xdr:nvCxnSpPr>
        <xdr:cNvPr id="630" name="Elbow Connector 39">
          <a:extLst>
            <a:ext uri="{FF2B5EF4-FFF2-40B4-BE49-F238E27FC236}">
              <a16:creationId xmlns:a16="http://schemas.microsoft.com/office/drawing/2014/main" id="{6EBC0410-EBD5-4686-A760-2BA9DD30536C}"/>
            </a:ext>
          </a:extLst>
        </xdr:cNvPr>
        <xdr:cNvCxnSpPr>
          <a:cxnSpLocks/>
          <a:stCxn id="632" idx="4"/>
          <a:endCxn id="706" idx="2"/>
        </xdr:cNvCxnSpPr>
      </xdr:nvCxnSpPr>
      <xdr:spPr>
        <a:xfrm rot="16200000" flipH="1">
          <a:off x="12893070" y="19324074"/>
          <a:ext cx="3415619" cy="2717243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100014</xdr:colOff>
      <xdr:row>163</xdr:row>
      <xdr:rowOff>183576</xdr:rowOff>
    </xdr:from>
    <xdr:to>
      <xdr:col>19</xdr:col>
      <xdr:colOff>0</xdr:colOff>
      <xdr:row>164</xdr:row>
      <xdr:rowOff>13511</xdr:rowOff>
    </xdr:to>
    <xdr:cxnSp macro="">
      <xdr:nvCxnSpPr>
        <xdr:cNvPr id="631" name="Straight Connector 630">
          <a:extLst>
            <a:ext uri="{FF2B5EF4-FFF2-40B4-BE49-F238E27FC236}">
              <a16:creationId xmlns:a16="http://schemas.microsoft.com/office/drawing/2014/main" id="{72626B93-B106-4653-864F-AF29F9902267}"/>
            </a:ext>
          </a:extLst>
        </xdr:cNvPr>
        <xdr:cNvCxnSpPr/>
      </xdr:nvCxnSpPr>
      <xdr:spPr>
        <a:xfrm>
          <a:off x="13355639" y="18889618"/>
          <a:ext cx="2678111" cy="1514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471662</xdr:colOff>
      <xdr:row>163</xdr:row>
      <xdr:rowOff>99512</xdr:rowOff>
    </xdr:from>
    <xdr:to>
      <xdr:col>14</xdr:col>
      <xdr:colOff>58920</xdr:colOff>
      <xdr:row>164</xdr:row>
      <xdr:rowOff>83636</xdr:rowOff>
    </xdr:to>
    <xdr:sp macro="" textlink="">
      <xdr:nvSpPr>
        <xdr:cNvPr id="632" name="Oval 631">
          <a:extLst>
            <a:ext uri="{FF2B5EF4-FFF2-40B4-BE49-F238E27FC236}">
              <a16:creationId xmlns:a16="http://schemas.microsoft.com/office/drawing/2014/main" id="{176CF87E-4EC0-4433-B9C5-EE63A589FAF1}"/>
            </a:ext>
          </a:extLst>
        </xdr:cNvPr>
        <xdr:cNvSpPr/>
      </xdr:nvSpPr>
      <xdr:spPr>
        <a:xfrm>
          <a:off x="13171662" y="18805554"/>
          <a:ext cx="142883" cy="16933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503680</xdr:colOff>
      <xdr:row>145</xdr:row>
      <xdr:rowOff>162127</xdr:rowOff>
    </xdr:from>
    <xdr:to>
      <xdr:col>18</xdr:col>
      <xdr:colOff>540426</xdr:colOff>
      <xdr:row>163</xdr:row>
      <xdr:rowOff>98357</xdr:rowOff>
    </xdr:to>
    <xdr:cxnSp macro="">
      <xdr:nvCxnSpPr>
        <xdr:cNvPr id="633" name="Elbow Connector 34">
          <a:extLst>
            <a:ext uri="{FF2B5EF4-FFF2-40B4-BE49-F238E27FC236}">
              <a16:creationId xmlns:a16="http://schemas.microsoft.com/office/drawing/2014/main" id="{37386B40-6DF1-423C-A4C1-40A5ECC2FDF6}"/>
            </a:ext>
          </a:extLst>
        </xdr:cNvPr>
        <xdr:cNvCxnSpPr/>
      </xdr:nvCxnSpPr>
      <xdr:spPr>
        <a:xfrm flipV="1">
          <a:off x="13203680" y="15534419"/>
          <a:ext cx="2814871" cy="3269980"/>
        </a:xfrm>
        <a:prstGeom prst="bentConnector3">
          <a:avLst>
            <a:gd name="adj1" fmla="val 18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145</xdr:row>
      <xdr:rowOff>82043</xdr:rowOff>
    </xdr:from>
    <xdr:to>
      <xdr:col>19</xdr:col>
      <xdr:colOff>68635</xdr:colOff>
      <xdr:row>146</xdr:row>
      <xdr:rowOff>59817</xdr:rowOff>
    </xdr:to>
    <xdr:sp macro="" textlink="">
      <xdr:nvSpPr>
        <xdr:cNvPr id="634" name="Oval 633">
          <a:extLst>
            <a:ext uri="{FF2B5EF4-FFF2-40B4-BE49-F238E27FC236}">
              <a16:creationId xmlns:a16="http://schemas.microsoft.com/office/drawing/2014/main" id="{D462319E-FB37-4EDA-9E7B-A56C51E65834}"/>
            </a:ext>
          </a:extLst>
        </xdr:cNvPr>
        <xdr:cNvSpPr/>
      </xdr:nvSpPr>
      <xdr:spPr>
        <a:xfrm>
          <a:off x="15959502" y="1545433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141</xdr:row>
      <xdr:rowOff>13510</xdr:rowOff>
    </xdr:from>
    <xdr:to>
      <xdr:col>24</xdr:col>
      <xdr:colOff>0</xdr:colOff>
      <xdr:row>145</xdr:row>
      <xdr:rowOff>121595</xdr:rowOff>
    </xdr:to>
    <xdr:cxnSp macro="">
      <xdr:nvCxnSpPr>
        <xdr:cNvPr id="635" name="Elbow Connector 59">
          <a:extLst>
            <a:ext uri="{FF2B5EF4-FFF2-40B4-BE49-F238E27FC236}">
              <a16:creationId xmlns:a16="http://schemas.microsoft.com/office/drawing/2014/main" id="{ED102E8C-57E9-47DB-90DA-C10F2EEFD5B0}"/>
            </a:ext>
          </a:extLst>
        </xdr:cNvPr>
        <xdr:cNvCxnSpPr>
          <a:cxnSpLocks/>
        </xdr:cNvCxnSpPr>
      </xdr:nvCxnSpPr>
      <xdr:spPr>
        <a:xfrm flipV="1">
          <a:off x="16033750" y="14644968"/>
          <a:ext cx="2778125" cy="848919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146</xdr:row>
      <xdr:rowOff>67823</xdr:rowOff>
    </xdr:from>
    <xdr:to>
      <xdr:col>24</xdr:col>
      <xdr:colOff>21585</xdr:colOff>
      <xdr:row>150</xdr:row>
      <xdr:rowOff>13511</xdr:rowOff>
    </xdr:to>
    <xdr:cxnSp macro="">
      <xdr:nvCxnSpPr>
        <xdr:cNvPr id="636" name="Elbow Connector 61">
          <a:extLst>
            <a:ext uri="{FF2B5EF4-FFF2-40B4-BE49-F238E27FC236}">
              <a16:creationId xmlns:a16="http://schemas.microsoft.com/office/drawing/2014/main" id="{8742F261-6862-4384-8434-809634DBF218}"/>
            </a:ext>
          </a:extLst>
        </xdr:cNvPr>
        <xdr:cNvCxnSpPr/>
      </xdr:nvCxnSpPr>
      <xdr:spPr>
        <a:xfrm>
          <a:off x="16049256" y="15625323"/>
          <a:ext cx="2784204" cy="686521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145</xdr:row>
      <xdr:rowOff>82043</xdr:rowOff>
    </xdr:from>
    <xdr:to>
      <xdr:col>19</xdr:col>
      <xdr:colOff>68635</xdr:colOff>
      <xdr:row>146</xdr:row>
      <xdr:rowOff>59817</xdr:rowOff>
    </xdr:to>
    <xdr:sp macro="" textlink="">
      <xdr:nvSpPr>
        <xdr:cNvPr id="637" name="Oval 636">
          <a:extLst>
            <a:ext uri="{FF2B5EF4-FFF2-40B4-BE49-F238E27FC236}">
              <a16:creationId xmlns:a16="http://schemas.microsoft.com/office/drawing/2014/main" id="{F05CBCDF-906E-496C-94B8-BF0F92D96C94}"/>
            </a:ext>
          </a:extLst>
        </xdr:cNvPr>
        <xdr:cNvSpPr/>
      </xdr:nvSpPr>
      <xdr:spPr>
        <a:xfrm>
          <a:off x="15959502" y="1545433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141</xdr:row>
      <xdr:rowOff>82043</xdr:rowOff>
    </xdr:from>
    <xdr:to>
      <xdr:col>24</xdr:col>
      <xdr:colOff>68635</xdr:colOff>
      <xdr:row>142</xdr:row>
      <xdr:rowOff>59817</xdr:rowOff>
    </xdr:to>
    <xdr:sp macro="" textlink="">
      <xdr:nvSpPr>
        <xdr:cNvPr id="638" name="Oval 637">
          <a:extLst>
            <a:ext uri="{FF2B5EF4-FFF2-40B4-BE49-F238E27FC236}">
              <a16:creationId xmlns:a16="http://schemas.microsoft.com/office/drawing/2014/main" id="{B287F52F-ED73-4794-93C1-F3D5FFE2C05C}"/>
            </a:ext>
          </a:extLst>
        </xdr:cNvPr>
        <xdr:cNvSpPr/>
      </xdr:nvSpPr>
      <xdr:spPr>
        <a:xfrm>
          <a:off x="18737627" y="14713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0</xdr:colOff>
      <xdr:row>139</xdr:row>
      <xdr:rowOff>13510</xdr:rowOff>
    </xdr:from>
    <xdr:to>
      <xdr:col>31</xdr:col>
      <xdr:colOff>27021</xdr:colOff>
      <xdr:row>141</xdr:row>
      <xdr:rowOff>121595</xdr:rowOff>
    </xdr:to>
    <xdr:cxnSp macro="">
      <xdr:nvCxnSpPr>
        <xdr:cNvPr id="639" name="Elbow Connector 59">
          <a:extLst>
            <a:ext uri="{FF2B5EF4-FFF2-40B4-BE49-F238E27FC236}">
              <a16:creationId xmlns:a16="http://schemas.microsoft.com/office/drawing/2014/main" id="{4AA1E93D-043C-41E6-B260-0FBDEEDC28FF}"/>
            </a:ext>
          </a:extLst>
        </xdr:cNvPr>
        <xdr:cNvCxnSpPr>
          <a:cxnSpLocks/>
        </xdr:cNvCxnSpPr>
      </xdr:nvCxnSpPr>
      <xdr:spPr>
        <a:xfrm flipV="1">
          <a:off x="18811875" y="14274552"/>
          <a:ext cx="4180979" cy="478501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141</xdr:row>
      <xdr:rowOff>67823</xdr:rowOff>
    </xdr:from>
    <xdr:to>
      <xdr:col>36</xdr:col>
      <xdr:colOff>0</xdr:colOff>
      <xdr:row>142</xdr:row>
      <xdr:rowOff>171349</xdr:rowOff>
    </xdr:to>
    <xdr:cxnSp macro="">
      <xdr:nvCxnSpPr>
        <xdr:cNvPr id="640" name="Elbow Connector 61">
          <a:extLst>
            <a:ext uri="{FF2B5EF4-FFF2-40B4-BE49-F238E27FC236}">
              <a16:creationId xmlns:a16="http://schemas.microsoft.com/office/drawing/2014/main" id="{49280222-0887-4ED2-98F5-4AC0C9412A54}"/>
            </a:ext>
          </a:extLst>
        </xdr:cNvPr>
        <xdr:cNvCxnSpPr/>
      </xdr:nvCxnSpPr>
      <xdr:spPr>
        <a:xfrm>
          <a:off x="18819637" y="14699281"/>
          <a:ext cx="6924321" cy="288735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141</xdr:row>
      <xdr:rowOff>82043</xdr:rowOff>
    </xdr:from>
    <xdr:to>
      <xdr:col>24</xdr:col>
      <xdr:colOff>68635</xdr:colOff>
      <xdr:row>142</xdr:row>
      <xdr:rowOff>59817</xdr:rowOff>
    </xdr:to>
    <xdr:sp macro="" textlink="">
      <xdr:nvSpPr>
        <xdr:cNvPr id="641" name="Oval 640">
          <a:extLst>
            <a:ext uri="{FF2B5EF4-FFF2-40B4-BE49-F238E27FC236}">
              <a16:creationId xmlns:a16="http://schemas.microsoft.com/office/drawing/2014/main" id="{6F9BCA26-195A-4C70-95DA-93C8170B13BE}"/>
            </a:ext>
          </a:extLst>
        </xdr:cNvPr>
        <xdr:cNvSpPr/>
      </xdr:nvSpPr>
      <xdr:spPr>
        <a:xfrm>
          <a:off x="18737627" y="14713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0</xdr:colOff>
      <xdr:row>139</xdr:row>
      <xdr:rowOff>13510</xdr:rowOff>
    </xdr:from>
    <xdr:to>
      <xdr:col>31</xdr:col>
      <xdr:colOff>27021</xdr:colOff>
      <xdr:row>141</xdr:row>
      <xdr:rowOff>121595</xdr:rowOff>
    </xdr:to>
    <xdr:cxnSp macro="">
      <xdr:nvCxnSpPr>
        <xdr:cNvPr id="642" name="Elbow Connector 59">
          <a:extLst>
            <a:ext uri="{FF2B5EF4-FFF2-40B4-BE49-F238E27FC236}">
              <a16:creationId xmlns:a16="http://schemas.microsoft.com/office/drawing/2014/main" id="{4F81DC57-4AB2-4984-B5A5-283B45AA7130}"/>
            </a:ext>
          </a:extLst>
        </xdr:cNvPr>
        <xdr:cNvCxnSpPr>
          <a:cxnSpLocks/>
        </xdr:cNvCxnSpPr>
      </xdr:nvCxnSpPr>
      <xdr:spPr>
        <a:xfrm flipV="1">
          <a:off x="18811875" y="14274552"/>
          <a:ext cx="4180979" cy="478501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141</xdr:row>
      <xdr:rowOff>82043</xdr:rowOff>
    </xdr:from>
    <xdr:to>
      <xdr:col>24</xdr:col>
      <xdr:colOff>68635</xdr:colOff>
      <xdr:row>142</xdr:row>
      <xdr:rowOff>59817</xdr:rowOff>
    </xdr:to>
    <xdr:sp macro="" textlink="">
      <xdr:nvSpPr>
        <xdr:cNvPr id="643" name="Oval 642">
          <a:extLst>
            <a:ext uri="{FF2B5EF4-FFF2-40B4-BE49-F238E27FC236}">
              <a16:creationId xmlns:a16="http://schemas.microsoft.com/office/drawing/2014/main" id="{ED25C692-BB55-40BB-83E6-43E930DA9079}"/>
            </a:ext>
          </a:extLst>
        </xdr:cNvPr>
        <xdr:cNvSpPr/>
      </xdr:nvSpPr>
      <xdr:spPr>
        <a:xfrm>
          <a:off x="18737627" y="14713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141</xdr:row>
      <xdr:rowOff>82043</xdr:rowOff>
    </xdr:from>
    <xdr:to>
      <xdr:col>24</xdr:col>
      <xdr:colOff>68635</xdr:colOff>
      <xdr:row>142</xdr:row>
      <xdr:rowOff>59817</xdr:rowOff>
    </xdr:to>
    <xdr:sp macro="" textlink="">
      <xdr:nvSpPr>
        <xdr:cNvPr id="644" name="Oval 643">
          <a:extLst>
            <a:ext uri="{FF2B5EF4-FFF2-40B4-BE49-F238E27FC236}">
              <a16:creationId xmlns:a16="http://schemas.microsoft.com/office/drawing/2014/main" id="{211DD354-3F20-47DF-8BC4-788D4C985DDF}"/>
            </a:ext>
          </a:extLst>
        </xdr:cNvPr>
        <xdr:cNvSpPr/>
      </xdr:nvSpPr>
      <xdr:spPr>
        <a:xfrm>
          <a:off x="18737627" y="14713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149</xdr:row>
      <xdr:rowOff>82043</xdr:rowOff>
    </xdr:from>
    <xdr:to>
      <xdr:col>24</xdr:col>
      <xdr:colOff>68635</xdr:colOff>
      <xdr:row>150</xdr:row>
      <xdr:rowOff>59817</xdr:rowOff>
    </xdr:to>
    <xdr:sp macro="" textlink="">
      <xdr:nvSpPr>
        <xdr:cNvPr id="645" name="Oval 644">
          <a:extLst>
            <a:ext uri="{FF2B5EF4-FFF2-40B4-BE49-F238E27FC236}">
              <a16:creationId xmlns:a16="http://schemas.microsoft.com/office/drawing/2014/main" id="{8D554EB9-53B5-426B-A9E2-AA5A7AEEDFD1}"/>
            </a:ext>
          </a:extLst>
        </xdr:cNvPr>
        <xdr:cNvSpPr/>
      </xdr:nvSpPr>
      <xdr:spPr>
        <a:xfrm>
          <a:off x="18737627" y="1619516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149</xdr:row>
      <xdr:rowOff>82043</xdr:rowOff>
    </xdr:from>
    <xdr:to>
      <xdr:col>24</xdr:col>
      <xdr:colOff>68635</xdr:colOff>
      <xdr:row>150</xdr:row>
      <xdr:rowOff>59817</xdr:rowOff>
    </xdr:to>
    <xdr:sp macro="" textlink="">
      <xdr:nvSpPr>
        <xdr:cNvPr id="646" name="Oval 645">
          <a:extLst>
            <a:ext uri="{FF2B5EF4-FFF2-40B4-BE49-F238E27FC236}">
              <a16:creationId xmlns:a16="http://schemas.microsoft.com/office/drawing/2014/main" id="{01805E4F-4B1A-4BF0-A9C7-26F91AA61381}"/>
            </a:ext>
          </a:extLst>
        </xdr:cNvPr>
        <xdr:cNvSpPr/>
      </xdr:nvSpPr>
      <xdr:spPr>
        <a:xfrm>
          <a:off x="18737627" y="1619516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149</xdr:row>
      <xdr:rowOff>82043</xdr:rowOff>
    </xdr:from>
    <xdr:to>
      <xdr:col>24</xdr:col>
      <xdr:colOff>68635</xdr:colOff>
      <xdr:row>150</xdr:row>
      <xdr:rowOff>59817</xdr:rowOff>
    </xdr:to>
    <xdr:sp macro="" textlink="">
      <xdr:nvSpPr>
        <xdr:cNvPr id="647" name="Oval 646">
          <a:extLst>
            <a:ext uri="{FF2B5EF4-FFF2-40B4-BE49-F238E27FC236}">
              <a16:creationId xmlns:a16="http://schemas.microsoft.com/office/drawing/2014/main" id="{14550B19-D0EE-470E-96E0-24869A3D2566}"/>
            </a:ext>
          </a:extLst>
        </xdr:cNvPr>
        <xdr:cNvSpPr/>
      </xdr:nvSpPr>
      <xdr:spPr>
        <a:xfrm>
          <a:off x="18737627" y="1619516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149</xdr:row>
      <xdr:rowOff>82043</xdr:rowOff>
    </xdr:from>
    <xdr:to>
      <xdr:col>24</xdr:col>
      <xdr:colOff>68635</xdr:colOff>
      <xdr:row>150</xdr:row>
      <xdr:rowOff>59817</xdr:rowOff>
    </xdr:to>
    <xdr:sp macro="" textlink="">
      <xdr:nvSpPr>
        <xdr:cNvPr id="648" name="Oval 647">
          <a:extLst>
            <a:ext uri="{FF2B5EF4-FFF2-40B4-BE49-F238E27FC236}">
              <a16:creationId xmlns:a16="http://schemas.microsoft.com/office/drawing/2014/main" id="{7302DCAF-7ADB-4BDE-A408-B574EB211959}"/>
            </a:ext>
          </a:extLst>
        </xdr:cNvPr>
        <xdr:cNvSpPr/>
      </xdr:nvSpPr>
      <xdr:spPr>
        <a:xfrm>
          <a:off x="18737627" y="1619516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148</xdr:row>
      <xdr:rowOff>13512</xdr:rowOff>
    </xdr:from>
    <xdr:to>
      <xdr:col>30</xdr:col>
      <xdr:colOff>513404</xdr:colOff>
      <xdr:row>149</xdr:row>
      <xdr:rowOff>82044</xdr:rowOff>
    </xdr:to>
    <xdr:cxnSp macro="">
      <xdr:nvCxnSpPr>
        <xdr:cNvPr id="649" name="Elbow Connector 59">
          <a:extLst>
            <a:ext uri="{FF2B5EF4-FFF2-40B4-BE49-F238E27FC236}">
              <a16:creationId xmlns:a16="http://schemas.microsoft.com/office/drawing/2014/main" id="{D0AAB736-4BD0-46DE-B880-D11B533CEB5B}"/>
            </a:ext>
          </a:extLst>
        </xdr:cNvPr>
        <xdr:cNvCxnSpPr>
          <a:cxnSpLocks/>
          <a:stCxn id="648" idx="0"/>
        </xdr:cNvCxnSpPr>
      </xdr:nvCxnSpPr>
      <xdr:spPr>
        <a:xfrm rot="5400000" flipH="1" flipV="1">
          <a:off x="20739048" y="14010605"/>
          <a:ext cx="253740" cy="4115388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138</xdr:row>
      <xdr:rowOff>82043</xdr:rowOff>
    </xdr:from>
    <xdr:to>
      <xdr:col>31</xdr:col>
      <xdr:colOff>68635</xdr:colOff>
      <xdr:row>139</xdr:row>
      <xdr:rowOff>59817</xdr:rowOff>
    </xdr:to>
    <xdr:sp macro="" textlink="">
      <xdr:nvSpPr>
        <xdr:cNvPr id="650" name="Oval 649">
          <a:extLst>
            <a:ext uri="{FF2B5EF4-FFF2-40B4-BE49-F238E27FC236}">
              <a16:creationId xmlns:a16="http://schemas.microsoft.com/office/drawing/2014/main" id="{B9FBE2F8-2B0C-4F51-8ACC-508C2A05A4E4}"/>
            </a:ext>
          </a:extLst>
        </xdr:cNvPr>
        <xdr:cNvSpPr/>
      </xdr:nvSpPr>
      <xdr:spPr>
        <a:xfrm>
          <a:off x="22891585" y="1415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136</xdr:row>
      <xdr:rowOff>168388</xdr:rowOff>
    </xdr:from>
    <xdr:to>
      <xdr:col>36</xdr:col>
      <xdr:colOff>27021</xdr:colOff>
      <xdr:row>139</xdr:row>
      <xdr:rowOff>90619</xdr:rowOff>
    </xdr:to>
    <xdr:cxnSp macro="">
      <xdr:nvCxnSpPr>
        <xdr:cNvPr id="651" name="Elbow Connector 59">
          <a:extLst>
            <a:ext uri="{FF2B5EF4-FFF2-40B4-BE49-F238E27FC236}">
              <a16:creationId xmlns:a16="http://schemas.microsoft.com/office/drawing/2014/main" id="{D8DF0D90-4758-4842-A4EC-CBCE5639E01E}"/>
            </a:ext>
          </a:extLst>
        </xdr:cNvPr>
        <xdr:cNvCxnSpPr>
          <a:cxnSpLocks/>
        </xdr:cNvCxnSpPr>
      </xdr:nvCxnSpPr>
      <xdr:spPr>
        <a:xfrm flipV="1">
          <a:off x="22965833" y="13873805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138</xdr:row>
      <xdr:rowOff>67823</xdr:rowOff>
    </xdr:from>
    <xdr:to>
      <xdr:col>35</xdr:col>
      <xdr:colOff>555915</xdr:colOff>
      <xdr:row>141</xdr:row>
      <xdr:rowOff>13511</xdr:rowOff>
    </xdr:to>
    <xdr:cxnSp macro="">
      <xdr:nvCxnSpPr>
        <xdr:cNvPr id="652" name="Elbow Connector 61">
          <a:extLst>
            <a:ext uri="{FF2B5EF4-FFF2-40B4-BE49-F238E27FC236}">
              <a16:creationId xmlns:a16="http://schemas.microsoft.com/office/drawing/2014/main" id="{54B34100-FD9D-42A2-9D2B-F47F48D62DA6}"/>
            </a:ext>
          </a:extLst>
        </xdr:cNvPr>
        <xdr:cNvCxnSpPr/>
      </xdr:nvCxnSpPr>
      <xdr:spPr>
        <a:xfrm>
          <a:off x="22960044" y="14143656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138</xdr:row>
      <xdr:rowOff>82043</xdr:rowOff>
    </xdr:from>
    <xdr:to>
      <xdr:col>31</xdr:col>
      <xdr:colOff>68635</xdr:colOff>
      <xdr:row>139</xdr:row>
      <xdr:rowOff>59817</xdr:rowOff>
    </xdr:to>
    <xdr:sp macro="" textlink="">
      <xdr:nvSpPr>
        <xdr:cNvPr id="653" name="Oval 652">
          <a:extLst>
            <a:ext uri="{FF2B5EF4-FFF2-40B4-BE49-F238E27FC236}">
              <a16:creationId xmlns:a16="http://schemas.microsoft.com/office/drawing/2014/main" id="{D4004D67-837F-40CC-A091-7F9BD81D5C2C}"/>
            </a:ext>
          </a:extLst>
        </xdr:cNvPr>
        <xdr:cNvSpPr/>
      </xdr:nvSpPr>
      <xdr:spPr>
        <a:xfrm>
          <a:off x="22891585" y="1415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138</xdr:row>
      <xdr:rowOff>82043</xdr:rowOff>
    </xdr:from>
    <xdr:to>
      <xdr:col>31</xdr:col>
      <xdr:colOff>68635</xdr:colOff>
      <xdr:row>139</xdr:row>
      <xdr:rowOff>59817</xdr:rowOff>
    </xdr:to>
    <xdr:sp macro="" textlink="">
      <xdr:nvSpPr>
        <xdr:cNvPr id="654" name="Oval 653">
          <a:extLst>
            <a:ext uri="{FF2B5EF4-FFF2-40B4-BE49-F238E27FC236}">
              <a16:creationId xmlns:a16="http://schemas.microsoft.com/office/drawing/2014/main" id="{2D5EDA4E-C876-4868-BC66-343F5F563E17}"/>
            </a:ext>
          </a:extLst>
        </xdr:cNvPr>
        <xdr:cNvSpPr/>
      </xdr:nvSpPr>
      <xdr:spPr>
        <a:xfrm>
          <a:off x="22891585" y="1415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138</xdr:row>
      <xdr:rowOff>82043</xdr:rowOff>
    </xdr:from>
    <xdr:to>
      <xdr:col>31</xdr:col>
      <xdr:colOff>68635</xdr:colOff>
      <xdr:row>139</xdr:row>
      <xdr:rowOff>59817</xdr:rowOff>
    </xdr:to>
    <xdr:sp macro="" textlink="">
      <xdr:nvSpPr>
        <xdr:cNvPr id="655" name="Oval 654">
          <a:extLst>
            <a:ext uri="{FF2B5EF4-FFF2-40B4-BE49-F238E27FC236}">
              <a16:creationId xmlns:a16="http://schemas.microsoft.com/office/drawing/2014/main" id="{B9DFF1F4-DD97-4F83-8E37-F76266B50AF4}"/>
            </a:ext>
          </a:extLst>
        </xdr:cNvPr>
        <xdr:cNvSpPr/>
      </xdr:nvSpPr>
      <xdr:spPr>
        <a:xfrm>
          <a:off x="22891585" y="1415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307697</xdr:colOff>
      <xdr:row>135</xdr:row>
      <xdr:rowOff>121954</xdr:rowOff>
    </xdr:from>
    <xdr:to>
      <xdr:col>36</xdr:col>
      <xdr:colOff>191977</xdr:colOff>
      <xdr:row>138</xdr:row>
      <xdr:rowOff>29535</xdr:rowOff>
    </xdr:to>
    <xdr:sp macro="" textlink="">
      <xdr:nvSpPr>
        <xdr:cNvPr id="656" name="Oval 655">
          <a:extLst>
            <a:ext uri="{FF2B5EF4-FFF2-40B4-BE49-F238E27FC236}">
              <a16:creationId xmlns:a16="http://schemas.microsoft.com/office/drawing/2014/main" id="{239DC26F-54BB-4BBB-BE64-FAFD0E72B1BC}"/>
            </a:ext>
          </a:extLst>
        </xdr:cNvPr>
        <xdr:cNvSpPr/>
      </xdr:nvSpPr>
      <xdr:spPr>
        <a:xfrm>
          <a:off x="25496030" y="13642162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414468</xdr:colOff>
      <xdr:row>140</xdr:row>
      <xdr:rowOff>112082</xdr:rowOff>
    </xdr:from>
    <xdr:to>
      <xdr:col>36</xdr:col>
      <xdr:colOff>14091</xdr:colOff>
      <xdr:row>141</xdr:row>
      <xdr:rowOff>122741</xdr:rowOff>
    </xdr:to>
    <xdr:sp macro="" textlink="">
      <xdr:nvSpPr>
        <xdr:cNvPr id="657" name="Isosceles Triangle 656">
          <a:extLst>
            <a:ext uri="{FF2B5EF4-FFF2-40B4-BE49-F238E27FC236}">
              <a16:creationId xmlns:a16="http://schemas.microsoft.com/office/drawing/2014/main" id="{D1D78A0B-0DAF-42C3-9781-974DDDEDA3DB}"/>
            </a:ext>
          </a:extLst>
        </xdr:cNvPr>
        <xdr:cNvSpPr/>
      </xdr:nvSpPr>
      <xdr:spPr>
        <a:xfrm rot="16200000">
          <a:off x="25582491" y="14578642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150</xdr:row>
      <xdr:rowOff>57743</xdr:rowOff>
    </xdr:from>
    <xdr:to>
      <xdr:col>36</xdr:col>
      <xdr:colOff>10080</xdr:colOff>
      <xdr:row>151</xdr:row>
      <xdr:rowOff>161270</xdr:rowOff>
    </xdr:to>
    <xdr:cxnSp macro="">
      <xdr:nvCxnSpPr>
        <xdr:cNvPr id="658" name="Elbow Connector 61">
          <a:extLst>
            <a:ext uri="{FF2B5EF4-FFF2-40B4-BE49-F238E27FC236}">
              <a16:creationId xmlns:a16="http://schemas.microsoft.com/office/drawing/2014/main" id="{DBC56785-CAB8-4EF5-A83E-34FCF2D747AE}"/>
            </a:ext>
          </a:extLst>
        </xdr:cNvPr>
        <xdr:cNvCxnSpPr/>
      </xdr:nvCxnSpPr>
      <xdr:spPr>
        <a:xfrm>
          <a:off x="18829717" y="16356076"/>
          <a:ext cx="6924321" cy="288736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147</xdr:row>
      <xdr:rowOff>82043</xdr:rowOff>
    </xdr:from>
    <xdr:to>
      <xdr:col>31</xdr:col>
      <xdr:colOff>68635</xdr:colOff>
      <xdr:row>148</xdr:row>
      <xdr:rowOff>59817</xdr:rowOff>
    </xdr:to>
    <xdr:sp macro="" textlink="">
      <xdr:nvSpPr>
        <xdr:cNvPr id="659" name="Oval 658">
          <a:extLst>
            <a:ext uri="{FF2B5EF4-FFF2-40B4-BE49-F238E27FC236}">
              <a16:creationId xmlns:a16="http://schemas.microsoft.com/office/drawing/2014/main" id="{878AEF67-B911-4F35-9E37-D434A8F9B83A}"/>
            </a:ext>
          </a:extLst>
        </xdr:cNvPr>
        <xdr:cNvSpPr/>
      </xdr:nvSpPr>
      <xdr:spPr>
        <a:xfrm>
          <a:off x="22891585" y="1582475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145</xdr:row>
      <xdr:rowOff>168388</xdr:rowOff>
    </xdr:from>
    <xdr:to>
      <xdr:col>36</xdr:col>
      <xdr:colOff>27021</xdr:colOff>
      <xdr:row>148</xdr:row>
      <xdr:rowOff>90619</xdr:rowOff>
    </xdr:to>
    <xdr:cxnSp macro="">
      <xdr:nvCxnSpPr>
        <xdr:cNvPr id="660" name="Elbow Connector 59">
          <a:extLst>
            <a:ext uri="{FF2B5EF4-FFF2-40B4-BE49-F238E27FC236}">
              <a16:creationId xmlns:a16="http://schemas.microsoft.com/office/drawing/2014/main" id="{481D193A-0B16-49D9-8CDB-0B387DBCCDCF}"/>
            </a:ext>
          </a:extLst>
        </xdr:cNvPr>
        <xdr:cNvCxnSpPr>
          <a:cxnSpLocks/>
        </xdr:cNvCxnSpPr>
      </xdr:nvCxnSpPr>
      <xdr:spPr>
        <a:xfrm flipV="1">
          <a:off x="22965833" y="15540680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147</xdr:row>
      <xdr:rowOff>67823</xdr:rowOff>
    </xdr:from>
    <xdr:to>
      <xdr:col>35</xdr:col>
      <xdr:colOff>555915</xdr:colOff>
      <xdr:row>150</xdr:row>
      <xdr:rowOff>13511</xdr:rowOff>
    </xdr:to>
    <xdr:cxnSp macro="">
      <xdr:nvCxnSpPr>
        <xdr:cNvPr id="661" name="Elbow Connector 61">
          <a:extLst>
            <a:ext uri="{FF2B5EF4-FFF2-40B4-BE49-F238E27FC236}">
              <a16:creationId xmlns:a16="http://schemas.microsoft.com/office/drawing/2014/main" id="{BA9E5F4C-CDE9-451A-B224-BC22B15CAE98}"/>
            </a:ext>
          </a:extLst>
        </xdr:cNvPr>
        <xdr:cNvCxnSpPr/>
      </xdr:nvCxnSpPr>
      <xdr:spPr>
        <a:xfrm>
          <a:off x="22960044" y="15810531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147</xdr:row>
      <xdr:rowOff>82043</xdr:rowOff>
    </xdr:from>
    <xdr:to>
      <xdr:col>31</xdr:col>
      <xdr:colOff>68635</xdr:colOff>
      <xdr:row>148</xdr:row>
      <xdr:rowOff>59817</xdr:rowOff>
    </xdr:to>
    <xdr:sp macro="" textlink="">
      <xdr:nvSpPr>
        <xdr:cNvPr id="662" name="Oval 661">
          <a:extLst>
            <a:ext uri="{FF2B5EF4-FFF2-40B4-BE49-F238E27FC236}">
              <a16:creationId xmlns:a16="http://schemas.microsoft.com/office/drawing/2014/main" id="{50E1FD05-656E-4E56-9254-FAD937CCCBB0}"/>
            </a:ext>
          </a:extLst>
        </xdr:cNvPr>
        <xdr:cNvSpPr/>
      </xdr:nvSpPr>
      <xdr:spPr>
        <a:xfrm>
          <a:off x="22891585" y="1582475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147</xdr:row>
      <xdr:rowOff>82043</xdr:rowOff>
    </xdr:from>
    <xdr:to>
      <xdr:col>31</xdr:col>
      <xdr:colOff>68635</xdr:colOff>
      <xdr:row>148</xdr:row>
      <xdr:rowOff>59817</xdr:rowOff>
    </xdr:to>
    <xdr:sp macro="" textlink="">
      <xdr:nvSpPr>
        <xdr:cNvPr id="663" name="Oval 662">
          <a:extLst>
            <a:ext uri="{FF2B5EF4-FFF2-40B4-BE49-F238E27FC236}">
              <a16:creationId xmlns:a16="http://schemas.microsoft.com/office/drawing/2014/main" id="{1F9BD07C-0394-4002-82F2-CE738C63CF95}"/>
            </a:ext>
          </a:extLst>
        </xdr:cNvPr>
        <xdr:cNvSpPr/>
      </xdr:nvSpPr>
      <xdr:spPr>
        <a:xfrm>
          <a:off x="22891585" y="1582475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147</xdr:row>
      <xdr:rowOff>82043</xdr:rowOff>
    </xdr:from>
    <xdr:to>
      <xdr:col>31</xdr:col>
      <xdr:colOff>68635</xdr:colOff>
      <xdr:row>148</xdr:row>
      <xdr:rowOff>59817</xdr:rowOff>
    </xdr:to>
    <xdr:sp macro="" textlink="">
      <xdr:nvSpPr>
        <xdr:cNvPr id="664" name="Oval 663">
          <a:extLst>
            <a:ext uri="{FF2B5EF4-FFF2-40B4-BE49-F238E27FC236}">
              <a16:creationId xmlns:a16="http://schemas.microsoft.com/office/drawing/2014/main" id="{7BD5444F-2AB3-460D-B2E2-1B77307FF02A}"/>
            </a:ext>
          </a:extLst>
        </xdr:cNvPr>
        <xdr:cNvSpPr/>
      </xdr:nvSpPr>
      <xdr:spPr>
        <a:xfrm>
          <a:off x="22891585" y="1582475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145</xdr:row>
      <xdr:rowOff>48117</xdr:rowOff>
    </xdr:from>
    <xdr:to>
      <xdr:col>36</xdr:col>
      <xdr:colOff>100793</xdr:colOff>
      <xdr:row>146</xdr:row>
      <xdr:rowOff>120953</xdr:rowOff>
    </xdr:to>
    <xdr:sp macro="" textlink="">
      <xdr:nvSpPr>
        <xdr:cNvPr id="665" name="Oval 664">
          <a:extLst>
            <a:ext uri="{FF2B5EF4-FFF2-40B4-BE49-F238E27FC236}">
              <a16:creationId xmlns:a16="http://schemas.microsoft.com/office/drawing/2014/main" id="{1DDB1DFA-4B1E-4391-986D-527B7398DFBF}"/>
            </a:ext>
          </a:extLst>
        </xdr:cNvPr>
        <xdr:cNvSpPr/>
      </xdr:nvSpPr>
      <xdr:spPr>
        <a:xfrm>
          <a:off x="25599402" y="15420409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151</xdr:row>
      <xdr:rowOff>90713</xdr:rowOff>
    </xdr:from>
    <xdr:to>
      <xdr:col>36</xdr:col>
      <xdr:colOff>12880</xdr:colOff>
      <xdr:row>152</xdr:row>
      <xdr:rowOff>101372</xdr:rowOff>
    </xdr:to>
    <xdr:sp macro="" textlink="">
      <xdr:nvSpPr>
        <xdr:cNvPr id="666" name="Isosceles Triangle 665">
          <a:extLst>
            <a:ext uri="{FF2B5EF4-FFF2-40B4-BE49-F238E27FC236}">
              <a16:creationId xmlns:a16="http://schemas.microsoft.com/office/drawing/2014/main" id="{F412379A-F151-4058-A3CA-CD5ABD1D928B}"/>
            </a:ext>
          </a:extLst>
        </xdr:cNvPr>
        <xdr:cNvSpPr/>
      </xdr:nvSpPr>
      <xdr:spPr>
        <a:xfrm rot="16200000">
          <a:off x="25581280" y="16594565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149</xdr:row>
      <xdr:rowOff>112082</xdr:rowOff>
    </xdr:from>
    <xdr:to>
      <xdr:col>36</xdr:col>
      <xdr:colOff>14091</xdr:colOff>
      <xdr:row>150</xdr:row>
      <xdr:rowOff>122741</xdr:rowOff>
    </xdr:to>
    <xdr:sp macro="" textlink="">
      <xdr:nvSpPr>
        <xdr:cNvPr id="667" name="Isosceles Triangle 666">
          <a:extLst>
            <a:ext uri="{FF2B5EF4-FFF2-40B4-BE49-F238E27FC236}">
              <a16:creationId xmlns:a16="http://schemas.microsoft.com/office/drawing/2014/main" id="{BD9959F8-07CC-4CDF-BE65-F8AB7679A938}"/>
            </a:ext>
          </a:extLst>
        </xdr:cNvPr>
        <xdr:cNvSpPr/>
      </xdr:nvSpPr>
      <xdr:spPr>
        <a:xfrm rot="16200000">
          <a:off x="25582491" y="16245517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142</xdr:row>
      <xdr:rowOff>83054</xdr:rowOff>
    </xdr:from>
    <xdr:to>
      <xdr:col>36</xdr:col>
      <xdr:colOff>15299</xdr:colOff>
      <xdr:row>143</xdr:row>
      <xdr:rowOff>93713</xdr:rowOff>
    </xdr:to>
    <xdr:sp macro="" textlink="">
      <xdr:nvSpPr>
        <xdr:cNvPr id="668" name="Isosceles Triangle 667">
          <a:extLst>
            <a:ext uri="{FF2B5EF4-FFF2-40B4-BE49-F238E27FC236}">
              <a16:creationId xmlns:a16="http://schemas.microsoft.com/office/drawing/2014/main" id="{5A22294A-9B50-49A8-B69A-80F2FF1525FE}"/>
            </a:ext>
          </a:extLst>
        </xdr:cNvPr>
        <xdr:cNvSpPr/>
      </xdr:nvSpPr>
      <xdr:spPr>
        <a:xfrm rot="16200000">
          <a:off x="25583699" y="14920031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481377</xdr:colOff>
      <xdr:row>163</xdr:row>
      <xdr:rowOff>82043</xdr:rowOff>
    </xdr:from>
    <xdr:to>
      <xdr:col>19</xdr:col>
      <xdr:colOff>68635</xdr:colOff>
      <xdr:row>164</xdr:row>
      <xdr:rowOff>59817</xdr:rowOff>
    </xdr:to>
    <xdr:sp macro="" textlink="">
      <xdr:nvSpPr>
        <xdr:cNvPr id="669" name="Oval 668">
          <a:extLst>
            <a:ext uri="{FF2B5EF4-FFF2-40B4-BE49-F238E27FC236}">
              <a16:creationId xmlns:a16="http://schemas.microsoft.com/office/drawing/2014/main" id="{09E9CA25-E947-44C0-AB70-6A9AD212CFEC}"/>
            </a:ext>
          </a:extLst>
        </xdr:cNvPr>
        <xdr:cNvSpPr/>
      </xdr:nvSpPr>
      <xdr:spPr>
        <a:xfrm>
          <a:off x="15959502" y="187880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159</xdr:row>
      <xdr:rowOff>13510</xdr:rowOff>
    </xdr:from>
    <xdr:to>
      <xdr:col>24</xdr:col>
      <xdr:colOff>0</xdr:colOff>
      <xdr:row>163</xdr:row>
      <xdr:rowOff>121595</xdr:rowOff>
    </xdr:to>
    <xdr:cxnSp macro="">
      <xdr:nvCxnSpPr>
        <xdr:cNvPr id="670" name="Elbow Connector 59">
          <a:extLst>
            <a:ext uri="{FF2B5EF4-FFF2-40B4-BE49-F238E27FC236}">
              <a16:creationId xmlns:a16="http://schemas.microsoft.com/office/drawing/2014/main" id="{B72585D1-DD61-413E-A6D5-9095A586609E}"/>
            </a:ext>
          </a:extLst>
        </xdr:cNvPr>
        <xdr:cNvCxnSpPr>
          <a:cxnSpLocks/>
        </xdr:cNvCxnSpPr>
      </xdr:nvCxnSpPr>
      <xdr:spPr>
        <a:xfrm flipV="1">
          <a:off x="16033750" y="17978718"/>
          <a:ext cx="2778125" cy="848919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164</xdr:row>
      <xdr:rowOff>67823</xdr:rowOff>
    </xdr:from>
    <xdr:to>
      <xdr:col>24</xdr:col>
      <xdr:colOff>21585</xdr:colOff>
      <xdr:row>168</xdr:row>
      <xdr:rowOff>13511</xdr:rowOff>
    </xdr:to>
    <xdr:cxnSp macro="">
      <xdr:nvCxnSpPr>
        <xdr:cNvPr id="671" name="Elbow Connector 61">
          <a:extLst>
            <a:ext uri="{FF2B5EF4-FFF2-40B4-BE49-F238E27FC236}">
              <a16:creationId xmlns:a16="http://schemas.microsoft.com/office/drawing/2014/main" id="{BF7F62E2-2073-4399-B74E-90C34749DF63}"/>
            </a:ext>
          </a:extLst>
        </xdr:cNvPr>
        <xdr:cNvCxnSpPr/>
      </xdr:nvCxnSpPr>
      <xdr:spPr>
        <a:xfrm>
          <a:off x="16049256" y="18959073"/>
          <a:ext cx="2784204" cy="686521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163</xdr:row>
      <xdr:rowOff>82043</xdr:rowOff>
    </xdr:from>
    <xdr:to>
      <xdr:col>19</xdr:col>
      <xdr:colOff>68635</xdr:colOff>
      <xdr:row>164</xdr:row>
      <xdr:rowOff>59817</xdr:rowOff>
    </xdr:to>
    <xdr:sp macro="" textlink="">
      <xdr:nvSpPr>
        <xdr:cNvPr id="672" name="Oval 671">
          <a:extLst>
            <a:ext uri="{FF2B5EF4-FFF2-40B4-BE49-F238E27FC236}">
              <a16:creationId xmlns:a16="http://schemas.microsoft.com/office/drawing/2014/main" id="{88048BF6-4FC7-430A-9E2D-27F000D59A88}"/>
            </a:ext>
          </a:extLst>
        </xdr:cNvPr>
        <xdr:cNvSpPr/>
      </xdr:nvSpPr>
      <xdr:spPr>
        <a:xfrm>
          <a:off x="15959502" y="187880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501536</xdr:colOff>
      <xdr:row>158</xdr:row>
      <xdr:rowOff>112280</xdr:rowOff>
    </xdr:from>
    <xdr:to>
      <xdr:col>24</xdr:col>
      <xdr:colOff>88794</xdr:colOff>
      <xdr:row>159</xdr:row>
      <xdr:rowOff>90055</xdr:rowOff>
    </xdr:to>
    <xdr:sp macro="" textlink="">
      <xdr:nvSpPr>
        <xdr:cNvPr id="673" name="Oval 672">
          <a:extLst>
            <a:ext uri="{FF2B5EF4-FFF2-40B4-BE49-F238E27FC236}">
              <a16:creationId xmlns:a16="http://schemas.microsoft.com/office/drawing/2014/main" id="{5B4FEB48-DC36-4E29-AB78-351EB484E36E}"/>
            </a:ext>
          </a:extLst>
        </xdr:cNvPr>
        <xdr:cNvSpPr/>
      </xdr:nvSpPr>
      <xdr:spPr>
        <a:xfrm>
          <a:off x="18757786" y="17892280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534205</xdr:colOff>
      <xdr:row>156</xdr:row>
      <xdr:rowOff>161644</xdr:rowOff>
    </xdr:from>
    <xdr:to>
      <xdr:col>30</xdr:col>
      <xdr:colOff>481377</xdr:colOff>
      <xdr:row>158</xdr:row>
      <xdr:rowOff>120952</xdr:rowOff>
    </xdr:to>
    <xdr:cxnSp macro="">
      <xdr:nvCxnSpPr>
        <xdr:cNvPr id="674" name="Elbow Connector 59">
          <a:extLst>
            <a:ext uri="{FF2B5EF4-FFF2-40B4-BE49-F238E27FC236}">
              <a16:creationId xmlns:a16="http://schemas.microsoft.com/office/drawing/2014/main" id="{71E8385E-3D46-49DE-9CE8-2FAC9F2A9A22}"/>
            </a:ext>
          </a:extLst>
        </xdr:cNvPr>
        <xdr:cNvCxnSpPr>
          <a:cxnSpLocks/>
          <a:endCxn id="686" idx="2"/>
        </xdr:cNvCxnSpPr>
      </xdr:nvCxnSpPr>
      <xdr:spPr>
        <a:xfrm flipV="1">
          <a:off x="18790455" y="17571227"/>
          <a:ext cx="4101130" cy="329725"/>
        </a:xfrm>
        <a:prstGeom prst="bentConnector3">
          <a:avLst>
            <a:gd name="adj1" fmla="val 495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159</xdr:row>
      <xdr:rowOff>67823</xdr:rowOff>
    </xdr:from>
    <xdr:to>
      <xdr:col>36</xdr:col>
      <xdr:colOff>0</xdr:colOff>
      <xdr:row>160</xdr:row>
      <xdr:rowOff>171349</xdr:rowOff>
    </xdr:to>
    <xdr:cxnSp macro="">
      <xdr:nvCxnSpPr>
        <xdr:cNvPr id="675" name="Elbow Connector 61">
          <a:extLst>
            <a:ext uri="{FF2B5EF4-FFF2-40B4-BE49-F238E27FC236}">
              <a16:creationId xmlns:a16="http://schemas.microsoft.com/office/drawing/2014/main" id="{82A02C39-9F43-493B-B635-F74A7FD6D8FE}"/>
            </a:ext>
          </a:extLst>
        </xdr:cNvPr>
        <xdr:cNvCxnSpPr/>
      </xdr:nvCxnSpPr>
      <xdr:spPr>
        <a:xfrm>
          <a:off x="18819637" y="18033031"/>
          <a:ext cx="6924321" cy="288735"/>
        </a:xfrm>
        <a:prstGeom prst="bentConnector3">
          <a:avLst>
            <a:gd name="adj1" fmla="val -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167</xdr:row>
      <xdr:rowOff>82043</xdr:rowOff>
    </xdr:from>
    <xdr:to>
      <xdr:col>24</xdr:col>
      <xdr:colOff>68635</xdr:colOff>
      <xdr:row>168</xdr:row>
      <xdr:rowOff>59817</xdr:rowOff>
    </xdr:to>
    <xdr:sp macro="" textlink="">
      <xdr:nvSpPr>
        <xdr:cNvPr id="676" name="Oval 675">
          <a:extLst>
            <a:ext uri="{FF2B5EF4-FFF2-40B4-BE49-F238E27FC236}">
              <a16:creationId xmlns:a16="http://schemas.microsoft.com/office/drawing/2014/main" id="{BE12FAB6-335E-45C6-8F06-FE620CF2121E}"/>
            </a:ext>
          </a:extLst>
        </xdr:cNvPr>
        <xdr:cNvSpPr/>
      </xdr:nvSpPr>
      <xdr:spPr>
        <a:xfrm>
          <a:off x="18737627" y="1952891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167</xdr:row>
      <xdr:rowOff>82043</xdr:rowOff>
    </xdr:from>
    <xdr:to>
      <xdr:col>24</xdr:col>
      <xdr:colOff>68635</xdr:colOff>
      <xdr:row>168</xdr:row>
      <xdr:rowOff>59817</xdr:rowOff>
    </xdr:to>
    <xdr:sp macro="" textlink="">
      <xdr:nvSpPr>
        <xdr:cNvPr id="677" name="Oval 676">
          <a:extLst>
            <a:ext uri="{FF2B5EF4-FFF2-40B4-BE49-F238E27FC236}">
              <a16:creationId xmlns:a16="http://schemas.microsoft.com/office/drawing/2014/main" id="{6946541F-C19E-4E90-9ACE-B268DFA3C4F7}"/>
            </a:ext>
          </a:extLst>
        </xdr:cNvPr>
        <xdr:cNvSpPr/>
      </xdr:nvSpPr>
      <xdr:spPr>
        <a:xfrm>
          <a:off x="18737627" y="1952891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167</xdr:row>
      <xdr:rowOff>82043</xdr:rowOff>
    </xdr:from>
    <xdr:to>
      <xdr:col>24</xdr:col>
      <xdr:colOff>68635</xdr:colOff>
      <xdr:row>168</xdr:row>
      <xdr:rowOff>59817</xdr:rowOff>
    </xdr:to>
    <xdr:sp macro="" textlink="">
      <xdr:nvSpPr>
        <xdr:cNvPr id="678" name="Oval 677">
          <a:extLst>
            <a:ext uri="{FF2B5EF4-FFF2-40B4-BE49-F238E27FC236}">
              <a16:creationId xmlns:a16="http://schemas.microsoft.com/office/drawing/2014/main" id="{A0528EB8-BC85-4A5C-8A8B-5EA53B39A5A7}"/>
            </a:ext>
          </a:extLst>
        </xdr:cNvPr>
        <xdr:cNvSpPr/>
      </xdr:nvSpPr>
      <xdr:spPr>
        <a:xfrm>
          <a:off x="18737627" y="1952891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167</xdr:row>
      <xdr:rowOff>82043</xdr:rowOff>
    </xdr:from>
    <xdr:to>
      <xdr:col>24</xdr:col>
      <xdr:colOff>68635</xdr:colOff>
      <xdr:row>168</xdr:row>
      <xdr:rowOff>59817</xdr:rowOff>
    </xdr:to>
    <xdr:sp macro="" textlink="">
      <xdr:nvSpPr>
        <xdr:cNvPr id="679" name="Oval 678">
          <a:extLst>
            <a:ext uri="{FF2B5EF4-FFF2-40B4-BE49-F238E27FC236}">
              <a16:creationId xmlns:a16="http://schemas.microsoft.com/office/drawing/2014/main" id="{B38C5B89-C943-4602-A1A2-BDD60017100B}"/>
            </a:ext>
          </a:extLst>
        </xdr:cNvPr>
        <xdr:cNvSpPr/>
      </xdr:nvSpPr>
      <xdr:spPr>
        <a:xfrm>
          <a:off x="18737627" y="1952891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166</xdr:row>
      <xdr:rowOff>13512</xdr:rowOff>
    </xdr:from>
    <xdr:to>
      <xdr:col>30</xdr:col>
      <xdr:colOff>513404</xdr:colOff>
      <xdr:row>167</xdr:row>
      <xdr:rowOff>82044</xdr:rowOff>
    </xdr:to>
    <xdr:cxnSp macro="">
      <xdr:nvCxnSpPr>
        <xdr:cNvPr id="680" name="Elbow Connector 59">
          <a:extLst>
            <a:ext uri="{FF2B5EF4-FFF2-40B4-BE49-F238E27FC236}">
              <a16:creationId xmlns:a16="http://schemas.microsoft.com/office/drawing/2014/main" id="{2E8AFECD-B19C-4A92-AB5D-C6C78F44BEE2}"/>
            </a:ext>
          </a:extLst>
        </xdr:cNvPr>
        <xdr:cNvCxnSpPr>
          <a:cxnSpLocks/>
          <a:stCxn id="679" idx="0"/>
        </xdr:cNvCxnSpPr>
      </xdr:nvCxnSpPr>
      <xdr:spPr>
        <a:xfrm rot="5400000" flipH="1" flipV="1">
          <a:off x="20739048" y="17344355"/>
          <a:ext cx="253740" cy="4115388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156</xdr:row>
      <xdr:rowOff>82043</xdr:rowOff>
    </xdr:from>
    <xdr:to>
      <xdr:col>31</xdr:col>
      <xdr:colOff>68635</xdr:colOff>
      <xdr:row>157</xdr:row>
      <xdr:rowOff>59817</xdr:rowOff>
    </xdr:to>
    <xdr:sp macro="" textlink="">
      <xdr:nvSpPr>
        <xdr:cNvPr id="681" name="Oval 680">
          <a:extLst>
            <a:ext uri="{FF2B5EF4-FFF2-40B4-BE49-F238E27FC236}">
              <a16:creationId xmlns:a16="http://schemas.microsoft.com/office/drawing/2014/main" id="{A8571383-9132-415D-96F7-7540E77F46BF}"/>
            </a:ext>
          </a:extLst>
        </xdr:cNvPr>
        <xdr:cNvSpPr/>
      </xdr:nvSpPr>
      <xdr:spPr>
        <a:xfrm>
          <a:off x="22891585" y="1749162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154</xdr:row>
      <xdr:rowOff>168388</xdr:rowOff>
    </xdr:from>
    <xdr:to>
      <xdr:col>36</xdr:col>
      <xdr:colOff>27021</xdr:colOff>
      <xdr:row>157</xdr:row>
      <xdr:rowOff>90619</xdr:rowOff>
    </xdr:to>
    <xdr:cxnSp macro="">
      <xdr:nvCxnSpPr>
        <xdr:cNvPr id="682" name="Elbow Connector 59">
          <a:extLst>
            <a:ext uri="{FF2B5EF4-FFF2-40B4-BE49-F238E27FC236}">
              <a16:creationId xmlns:a16="http://schemas.microsoft.com/office/drawing/2014/main" id="{3456314E-8BC4-4425-BA48-7DFF76D9A2B4}"/>
            </a:ext>
          </a:extLst>
        </xdr:cNvPr>
        <xdr:cNvCxnSpPr>
          <a:cxnSpLocks/>
        </xdr:cNvCxnSpPr>
      </xdr:nvCxnSpPr>
      <xdr:spPr>
        <a:xfrm flipV="1">
          <a:off x="22965833" y="17207555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156</xdr:row>
      <xdr:rowOff>67823</xdr:rowOff>
    </xdr:from>
    <xdr:to>
      <xdr:col>36</xdr:col>
      <xdr:colOff>290</xdr:colOff>
      <xdr:row>159</xdr:row>
      <xdr:rowOff>13511</xdr:rowOff>
    </xdr:to>
    <xdr:cxnSp macro="">
      <xdr:nvCxnSpPr>
        <xdr:cNvPr id="683" name="Elbow Connector 61">
          <a:extLst>
            <a:ext uri="{FF2B5EF4-FFF2-40B4-BE49-F238E27FC236}">
              <a16:creationId xmlns:a16="http://schemas.microsoft.com/office/drawing/2014/main" id="{112E8B35-5BFC-4DEB-9F9A-34A7A31600AD}"/>
            </a:ext>
          </a:extLst>
        </xdr:cNvPr>
        <xdr:cNvCxnSpPr/>
      </xdr:nvCxnSpPr>
      <xdr:spPr>
        <a:xfrm>
          <a:off x="22960044" y="17477406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156</xdr:row>
      <xdr:rowOff>82043</xdr:rowOff>
    </xdr:from>
    <xdr:to>
      <xdr:col>31</xdr:col>
      <xdr:colOff>68635</xdr:colOff>
      <xdr:row>157</xdr:row>
      <xdr:rowOff>59817</xdr:rowOff>
    </xdr:to>
    <xdr:sp macro="" textlink="">
      <xdr:nvSpPr>
        <xdr:cNvPr id="684" name="Oval 683">
          <a:extLst>
            <a:ext uri="{FF2B5EF4-FFF2-40B4-BE49-F238E27FC236}">
              <a16:creationId xmlns:a16="http://schemas.microsoft.com/office/drawing/2014/main" id="{F5C10327-7074-409F-8A08-11EBB6D9740E}"/>
            </a:ext>
          </a:extLst>
        </xdr:cNvPr>
        <xdr:cNvSpPr/>
      </xdr:nvSpPr>
      <xdr:spPr>
        <a:xfrm>
          <a:off x="22891585" y="1749162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156</xdr:row>
      <xdr:rowOff>82043</xdr:rowOff>
    </xdr:from>
    <xdr:to>
      <xdr:col>31</xdr:col>
      <xdr:colOff>68635</xdr:colOff>
      <xdr:row>157</xdr:row>
      <xdr:rowOff>59817</xdr:rowOff>
    </xdr:to>
    <xdr:sp macro="" textlink="">
      <xdr:nvSpPr>
        <xdr:cNvPr id="685" name="Oval 684">
          <a:extLst>
            <a:ext uri="{FF2B5EF4-FFF2-40B4-BE49-F238E27FC236}">
              <a16:creationId xmlns:a16="http://schemas.microsoft.com/office/drawing/2014/main" id="{AEE5A02A-ECA6-45CD-8605-D27031F3C2EE}"/>
            </a:ext>
          </a:extLst>
        </xdr:cNvPr>
        <xdr:cNvSpPr/>
      </xdr:nvSpPr>
      <xdr:spPr>
        <a:xfrm>
          <a:off x="22891585" y="1749162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156</xdr:row>
      <xdr:rowOff>82043</xdr:rowOff>
    </xdr:from>
    <xdr:to>
      <xdr:col>31</xdr:col>
      <xdr:colOff>68635</xdr:colOff>
      <xdr:row>157</xdr:row>
      <xdr:rowOff>59817</xdr:rowOff>
    </xdr:to>
    <xdr:sp macro="" textlink="">
      <xdr:nvSpPr>
        <xdr:cNvPr id="686" name="Oval 685">
          <a:extLst>
            <a:ext uri="{FF2B5EF4-FFF2-40B4-BE49-F238E27FC236}">
              <a16:creationId xmlns:a16="http://schemas.microsoft.com/office/drawing/2014/main" id="{89381491-F3F4-4CCF-804B-FECF3D50FD18}"/>
            </a:ext>
          </a:extLst>
        </xdr:cNvPr>
        <xdr:cNvSpPr/>
      </xdr:nvSpPr>
      <xdr:spPr>
        <a:xfrm>
          <a:off x="22891585" y="1749162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154</xdr:row>
      <xdr:rowOff>48117</xdr:rowOff>
    </xdr:from>
    <xdr:to>
      <xdr:col>36</xdr:col>
      <xdr:colOff>100793</xdr:colOff>
      <xdr:row>155</xdr:row>
      <xdr:rowOff>120953</xdr:rowOff>
    </xdr:to>
    <xdr:sp macro="" textlink="">
      <xdr:nvSpPr>
        <xdr:cNvPr id="687" name="Oval 686">
          <a:extLst>
            <a:ext uri="{FF2B5EF4-FFF2-40B4-BE49-F238E27FC236}">
              <a16:creationId xmlns:a16="http://schemas.microsoft.com/office/drawing/2014/main" id="{E72CD2E6-6F6B-4A8A-B484-CF0EB22B9B10}"/>
            </a:ext>
          </a:extLst>
        </xdr:cNvPr>
        <xdr:cNvSpPr/>
      </xdr:nvSpPr>
      <xdr:spPr>
        <a:xfrm>
          <a:off x="25599402" y="17087284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158</xdr:row>
      <xdr:rowOff>112082</xdr:rowOff>
    </xdr:from>
    <xdr:to>
      <xdr:col>36</xdr:col>
      <xdr:colOff>14091</xdr:colOff>
      <xdr:row>159</xdr:row>
      <xdr:rowOff>122741</xdr:rowOff>
    </xdr:to>
    <xdr:sp macro="" textlink="">
      <xdr:nvSpPr>
        <xdr:cNvPr id="688" name="Isosceles Triangle 687">
          <a:extLst>
            <a:ext uri="{FF2B5EF4-FFF2-40B4-BE49-F238E27FC236}">
              <a16:creationId xmlns:a16="http://schemas.microsoft.com/office/drawing/2014/main" id="{F0862304-FBE2-4D4E-9736-8D8A37C52637}"/>
            </a:ext>
          </a:extLst>
        </xdr:cNvPr>
        <xdr:cNvSpPr/>
      </xdr:nvSpPr>
      <xdr:spPr>
        <a:xfrm rot="16200000">
          <a:off x="25582491" y="17912392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168</xdr:row>
      <xdr:rowOff>57743</xdr:rowOff>
    </xdr:from>
    <xdr:to>
      <xdr:col>36</xdr:col>
      <xdr:colOff>10080</xdr:colOff>
      <xdr:row>169</xdr:row>
      <xdr:rowOff>161270</xdr:rowOff>
    </xdr:to>
    <xdr:cxnSp macro="">
      <xdr:nvCxnSpPr>
        <xdr:cNvPr id="689" name="Elbow Connector 61">
          <a:extLst>
            <a:ext uri="{FF2B5EF4-FFF2-40B4-BE49-F238E27FC236}">
              <a16:creationId xmlns:a16="http://schemas.microsoft.com/office/drawing/2014/main" id="{CB1111E4-B2E3-431D-9470-AD9060965E83}"/>
            </a:ext>
          </a:extLst>
        </xdr:cNvPr>
        <xdr:cNvCxnSpPr/>
      </xdr:nvCxnSpPr>
      <xdr:spPr>
        <a:xfrm>
          <a:off x="18829717" y="19689826"/>
          <a:ext cx="6924321" cy="288736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165</xdr:row>
      <xdr:rowOff>82043</xdr:rowOff>
    </xdr:from>
    <xdr:to>
      <xdr:col>31</xdr:col>
      <xdr:colOff>68635</xdr:colOff>
      <xdr:row>166</xdr:row>
      <xdr:rowOff>59817</xdr:rowOff>
    </xdr:to>
    <xdr:sp macro="" textlink="">
      <xdr:nvSpPr>
        <xdr:cNvPr id="690" name="Oval 689">
          <a:extLst>
            <a:ext uri="{FF2B5EF4-FFF2-40B4-BE49-F238E27FC236}">
              <a16:creationId xmlns:a16="http://schemas.microsoft.com/office/drawing/2014/main" id="{A190FDC1-EB4D-42E9-9284-0DC58A1348D0}"/>
            </a:ext>
          </a:extLst>
        </xdr:cNvPr>
        <xdr:cNvSpPr/>
      </xdr:nvSpPr>
      <xdr:spPr>
        <a:xfrm>
          <a:off x="22891585" y="19158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163</xdr:row>
      <xdr:rowOff>168388</xdr:rowOff>
    </xdr:from>
    <xdr:to>
      <xdr:col>36</xdr:col>
      <xdr:colOff>27021</xdr:colOff>
      <xdr:row>166</xdr:row>
      <xdr:rowOff>90619</xdr:rowOff>
    </xdr:to>
    <xdr:cxnSp macro="">
      <xdr:nvCxnSpPr>
        <xdr:cNvPr id="691" name="Elbow Connector 59">
          <a:extLst>
            <a:ext uri="{FF2B5EF4-FFF2-40B4-BE49-F238E27FC236}">
              <a16:creationId xmlns:a16="http://schemas.microsoft.com/office/drawing/2014/main" id="{D19A5EEA-488C-41B9-8C8F-7D03DA976342}"/>
            </a:ext>
          </a:extLst>
        </xdr:cNvPr>
        <xdr:cNvCxnSpPr>
          <a:cxnSpLocks/>
        </xdr:cNvCxnSpPr>
      </xdr:nvCxnSpPr>
      <xdr:spPr>
        <a:xfrm flipV="1">
          <a:off x="22965833" y="18874430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165</xdr:row>
      <xdr:rowOff>67823</xdr:rowOff>
    </xdr:from>
    <xdr:to>
      <xdr:col>35</xdr:col>
      <xdr:colOff>555915</xdr:colOff>
      <xdr:row>168</xdr:row>
      <xdr:rowOff>13511</xdr:rowOff>
    </xdr:to>
    <xdr:cxnSp macro="">
      <xdr:nvCxnSpPr>
        <xdr:cNvPr id="692" name="Elbow Connector 61">
          <a:extLst>
            <a:ext uri="{FF2B5EF4-FFF2-40B4-BE49-F238E27FC236}">
              <a16:creationId xmlns:a16="http://schemas.microsoft.com/office/drawing/2014/main" id="{5A40FC5D-5FEA-4E22-B87B-74C66CC233BB}"/>
            </a:ext>
          </a:extLst>
        </xdr:cNvPr>
        <xdr:cNvCxnSpPr/>
      </xdr:nvCxnSpPr>
      <xdr:spPr>
        <a:xfrm>
          <a:off x="22960044" y="19144281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165</xdr:row>
      <xdr:rowOff>82043</xdr:rowOff>
    </xdr:from>
    <xdr:to>
      <xdr:col>31</xdr:col>
      <xdr:colOff>68635</xdr:colOff>
      <xdr:row>166</xdr:row>
      <xdr:rowOff>59817</xdr:rowOff>
    </xdr:to>
    <xdr:sp macro="" textlink="">
      <xdr:nvSpPr>
        <xdr:cNvPr id="693" name="Oval 692">
          <a:extLst>
            <a:ext uri="{FF2B5EF4-FFF2-40B4-BE49-F238E27FC236}">
              <a16:creationId xmlns:a16="http://schemas.microsoft.com/office/drawing/2014/main" id="{1569D3E9-CC88-4865-8EA6-2BB1D4706261}"/>
            </a:ext>
          </a:extLst>
        </xdr:cNvPr>
        <xdr:cNvSpPr/>
      </xdr:nvSpPr>
      <xdr:spPr>
        <a:xfrm>
          <a:off x="22891585" y="19158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165</xdr:row>
      <xdr:rowOff>82043</xdr:rowOff>
    </xdr:from>
    <xdr:to>
      <xdr:col>31</xdr:col>
      <xdr:colOff>68635</xdr:colOff>
      <xdr:row>166</xdr:row>
      <xdr:rowOff>59817</xdr:rowOff>
    </xdr:to>
    <xdr:sp macro="" textlink="">
      <xdr:nvSpPr>
        <xdr:cNvPr id="694" name="Oval 693">
          <a:extLst>
            <a:ext uri="{FF2B5EF4-FFF2-40B4-BE49-F238E27FC236}">
              <a16:creationId xmlns:a16="http://schemas.microsoft.com/office/drawing/2014/main" id="{50E36149-9405-40F1-8DD8-088A6C1E15D7}"/>
            </a:ext>
          </a:extLst>
        </xdr:cNvPr>
        <xdr:cNvSpPr/>
      </xdr:nvSpPr>
      <xdr:spPr>
        <a:xfrm>
          <a:off x="22891585" y="19158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165</xdr:row>
      <xdr:rowOff>82043</xdr:rowOff>
    </xdr:from>
    <xdr:to>
      <xdr:col>31</xdr:col>
      <xdr:colOff>68635</xdr:colOff>
      <xdr:row>166</xdr:row>
      <xdr:rowOff>59817</xdr:rowOff>
    </xdr:to>
    <xdr:sp macro="" textlink="">
      <xdr:nvSpPr>
        <xdr:cNvPr id="695" name="Oval 694">
          <a:extLst>
            <a:ext uri="{FF2B5EF4-FFF2-40B4-BE49-F238E27FC236}">
              <a16:creationId xmlns:a16="http://schemas.microsoft.com/office/drawing/2014/main" id="{1C344DB7-F23B-4697-880B-EF33A56781A9}"/>
            </a:ext>
          </a:extLst>
        </xdr:cNvPr>
        <xdr:cNvSpPr/>
      </xdr:nvSpPr>
      <xdr:spPr>
        <a:xfrm>
          <a:off x="22891585" y="19158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163</xdr:row>
      <xdr:rowOff>48117</xdr:rowOff>
    </xdr:from>
    <xdr:to>
      <xdr:col>36</xdr:col>
      <xdr:colOff>100793</xdr:colOff>
      <xdr:row>164</xdr:row>
      <xdr:rowOff>120953</xdr:rowOff>
    </xdr:to>
    <xdr:sp macro="" textlink="">
      <xdr:nvSpPr>
        <xdr:cNvPr id="696" name="Oval 695">
          <a:extLst>
            <a:ext uri="{FF2B5EF4-FFF2-40B4-BE49-F238E27FC236}">
              <a16:creationId xmlns:a16="http://schemas.microsoft.com/office/drawing/2014/main" id="{2B32BFAB-A1A5-4847-8F8D-AF14011550E6}"/>
            </a:ext>
          </a:extLst>
        </xdr:cNvPr>
        <xdr:cNvSpPr/>
      </xdr:nvSpPr>
      <xdr:spPr>
        <a:xfrm>
          <a:off x="25599402" y="18754159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169</xdr:row>
      <xdr:rowOff>90713</xdr:rowOff>
    </xdr:from>
    <xdr:to>
      <xdr:col>36</xdr:col>
      <xdr:colOff>12880</xdr:colOff>
      <xdr:row>170</xdr:row>
      <xdr:rowOff>101372</xdr:rowOff>
    </xdr:to>
    <xdr:sp macro="" textlink="">
      <xdr:nvSpPr>
        <xdr:cNvPr id="697" name="Isosceles Triangle 696">
          <a:extLst>
            <a:ext uri="{FF2B5EF4-FFF2-40B4-BE49-F238E27FC236}">
              <a16:creationId xmlns:a16="http://schemas.microsoft.com/office/drawing/2014/main" id="{47BA8367-3752-438F-8323-3A8A683D53AD}"/>
            </a:ext>
          </a:extLst>
        </xdr:cNvPr>
        <xdr:cNvSpPr/>
      </xdr:nvSpPr>
      <xdr:spPr>
        <a:xfrm rot="16200000">
          <a:off x="25581280" y="19928315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167</xdr:row>
      <xdr:rowOff>112082</xdr:rowOff>
    </xdr:from>
    <xdr:to>
      <xdr:col>36</xdr:col>
      <xdr:colOff>14091</xdr:colOff>
      <xdr:row>168</xdr:row>
      <xdr:rowOff>122741</xdr:rowOff>
    </xdr:to>
    <xdr:sp macro="" textlink="">
      <xdr:nvSpPr>
        <xdr:cNvPr id="698" name="Isosceles Triangle 697">
          <a:extLst>
            <a:ext uri="{FF2B5EF4-FFF2-40B4-BE49-F238E27FC236}">
              <a16:creationId xmlns:a16="http://schemas.microsoft.com/office/drawing/2014/main" id="{C2439AE8-0923-4DCC-B5E0-6FC2572831C7}"/>
            </a:ext>
          </a:extLst>
        </xdr:cNvPr>
        <xdr:cNvSpPr/>
      </xdr:nvSpPr>
      <xdr:spPr>
        <a:xfrm rot="16200000">
          <a:off x="25582491" y="19579267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160</xdr:row>
      <xdr:rowOff>83054</xdr:rowOff>
    </xdr:from>
    <xdr:to>
      <xdr:col>36</xdr:col>
      <xdr:colOff>15299</xdr:colOff>
      <xdr:row>161</xdr:row>
      <xdr:rowOff>93713</xdr:rowOff>
    </xdr:to>
    <xdr:sp macro="" textlink="">
      <xdr:nvSpPr>
        <xdr:cNvPr id="699" name="Isosceles Triangle 698">
          <a:extLst>
            <a:ext uri="{FF2B5EF4-FFF2-40B4-BE49-F238E27FC236}">
              <a16:creationId xmlns:a16="http://schemas.microsoft.com/office/drawing/2014/main" id="{8910088D-0D38-432E-8441-9324D4054440}"/>
            </a:ext>
          </a:extLst>
        </xdr:cNvPr>
        <xdr:cNvSpPr/>
      </xdr:nvSpPr>
      <xdr:spPr>
        <a:xfrm rot="16200000">
          <a:off x="25583699" y="18253781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333247</xdr:colOff>
      <xdr:row>144</xdr:row>
      <xdr:rowOff>134612</xdr:rowOff>
    </xdr:from>
    <xdr:to>
      <xdr:col>36</xdr:col>
      <xdr:colOff>217527</xdr:colOff>
      <xdr:row>147</xdr:row>
      <xdr:rowOff>42193</xdr:rowOff>
    </xdr:to>
    <xdr:sp macro="" textlink="">
      <xdr:nvSpPr>
        <xdr:cNvPr id="700" name="Oval 699">
          <a:extLst>
            <a:ext uri="{FF2B5EF4-FFF2-40B4-BE49-F238E27FC236}">
              <a16:creationId xmlns:a16="http://schemas.microsoft.com/office/drawing/2014/main" id="{110461AF-41F4-4B1A-987D-163A65955CBC}"/>
            </a:ext>
          </a:extLst>
        </xdr:cNvPr>
        <xdr:cNvSpPr/>
      </xdr:nvSpPr>
      <xdr:spPr>
        <a:xfrm>
          <a:off x="25521580" y="15321695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323206</xdr:colOff>
      <xdr:row>153</xdr:row>
      <xdr:rowOff>139338</xdr:rowOff>
    </xdr:from>
    <xdr:to>
      <xdr:col>36</xdr:col>
      <xdr:colOff>207486</xdr:colOff>
      <xdr:row>156</xdr:row>
      <xdr:rowOff>46919</xdr:rowOff>
    </xdr:to>
    <xdr:sp macro="" textlink="">
      <xdr:nvSpPr>
        <xdr:cNvPr id="701" name="Oval 700">
          <a:extLst>
            <a:ext uri="{FF2B5EF4-FFF2-40B4-BE49-F238E27FC236}">
              <a16:creationId xmlns:a16="http://schemas.microsoft.com/office/drawing/2014/main" id="{265C87DE-2442-47E9-B689-E489C1E6CF2D}"/>
            </a:ext>
          </a:extLst>
        </xdr:cNvPr>
        <xdr:cNvSpPr/>
      </xdr:nvSpPr>
      <xdr:spPr>
        <a:xfrm>
          <a:off x="25511539" y="16993296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327932</xdr:colOff>
      <xdr:row>162</xdr:row>
      <xdr:rowOff>129296</xdr:rowOff>
    </xdr:from>
    <xdr:to>
      <xdr:col>36</xdr:col>
      <xdr:colOff>212212</xdr:colOff>
      <xdr:row>165</xdr:row>
      <xdr:rowOff>36877</xdr:rowOff>
    </xdr:to>
    <xdr:sp macro="" textlink="">
      <xdr:nvSpPr>
        <xdr:cNvPr id="702" name="Oval 701">
          <a:extLst>
            <a:ext uri="{FF2B5EF4-FFF2-40B4-BE49-F238E27FC236}">
              <a16:creationId xmlns:a16="http://schemas.microsoft.com/office/drawing/2014/main" id="{17EDF89B-270C-401A-BC32-2A932B858EE3}"/>
            </a:ext>
          </a:extLst>
        </xdr:cNvPr>
        <xdr:cNvSpPr/>
      </xdr:nvSpPr>
      <xdr:spPr>
        <a:xfrm>
          <a:off x="25516265" y="18650129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18</xdr:col>
      <xdr:colOff>481377</xdr:colOff>
      <xdr:row>182</xdr:row>
      <xdr:rowOff>82043</xdr:rowOff>
    </xdr:from>
    <xdr:to>
      <xdr:col>19</xdr:col>
      <xdr:colOff>68635</xdr:colOff>
      <xdr:row>183</xdr:row>
      <xdr:rowOff>59817</xdr:rowOff>
    </xdr:to>
    <xdr:sp macro="" textlink="">
      <xdr:nvSpPr>
        <xdr:cNvPr id="703" name="Oval 702">
          <a:extLst>
            <a:ext uri="{FF2B5EF4-FFF2-40B4-BE49-F238E27FC236}">
              <a16:creationId xmlns:a16="http://schemas.microsoft.com/office/drawing/2014/main" id="{DF37C689-7BC4-4BB8-B1B6-0C941B870524}"/>
            </a:ext>
          </a:extLst>
        </xdr:cNvPr>
        <xdr:cNvSpPr/>
      </xdr:nvSpPr>
      <xdr:spPr>
        <a:xfrm>
          <a:off x="15959502" y="22307043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178</xdr:row>
      <xdr:rowOff>13510</xdr:rowOff>
    </xdr:from>
    <xdr:to>
      <xdr:col>24</xdr:col>
      <xdr:colOff>0</xdr:colOff>
      <xdr:row>182</xdr:row>
      <xdr:rowOff>121595</xdr:rowOff>
    </xdr:to>
    <xdr:cxnSp macro="">
      <xdr:nvCxnSpPr>
        <xdr:cNvPr id="704" name="Elbow Connector 59">
          <a:extLst>
            <a:ext uri="{FF2B5EF4-FFF2-40B4-BE49-F238E27FC236}">
              <a16:creationId xmlns:a16="http://schemas.microsoft.com/office/drawing/2014/main" id="{BB230F11-CA43-4F53-B6F1-89D4830ECA65}"/>
            </a:ext>
          </a:extLst>
        </xdr:cNvPr>
        <xdr:cNvCxnSpPr>
          <a:cxnSpLocks/>
        </xdr:cNvCxnSpPr>
      </xdr:nvCxnSpPr>
      <xdr:spPr>
        <a:xfrm flipV="1">
          <a:off x="16033750" y="21497677"/>
          <a:ext cx="2778125" cy="848918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183</xdr:row>
      <xdr:rowOff>67823</xdr:rowOff>
    </xdr:from>
    <xdr:to>
      <xdr:col>24</xdr:col>
      <xdr:colOff>21585</xdr:colOff>
      <xdr:row>187</xdr:row>
      <xdr:rowOff>13511</xdr:rowOff>
    </xdr:to>
    <xdr:cxnSp macro="">
      <xdr:nvCxnSpPr>
        <xdr:cNvPr id="705" name="Elbow Connector 61">
          <a:extLst>
            <a:ext uri="{FF2B5EF4-FFF2-40B4-BE49-F238E27FC236}">
              <a16:creationId xmlns:a16="http://schemas.microsoft.com/office/drawing/2014/main" id="{D2E51F8C-812D-4339-A64C-58375D257DD2}"/>
            </a:ext>
          </a:extLst>
        </xdr:cNvPr>
        <xdr:cNvCxnSpPr/>
      </xdr:nvCxnSpPr>
      <xdr:spPr>
        <a:xfrm>
          <a:off x="16049256" y="22478031"/>
          <a:ext cx="2784204" cy="686522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182</xdr:row>
      <xdr:rowOff>82043</xdr:rowOff>
    </xdr:from>
    <xdr:to>
      <xdr:col>19</xdr:col>
      <xdr:colOff>68635</xdr:colOff>
      <xdr:row>183</xdr:row>
      <xdr:rowOff>59817</xdr:rowOff>
    </xdr:to>
    <xdr:sp macro="" textlink="">
      <xdr:nvSpPr>
        <xdr:cNvPr id="706" name="Oval 705">
          <a:extLst>
            <a:ext uri="{FF2B5EF4-FFF2-40B4-BE49-F238E27FC236}">
              <a16:creationId xmlns:a16="http://schemas.microsoft.com/office/drawing/2014/main" id="{5692C6E0-B11F-4DBA-AE9A-8C2D2E121E39}"/>
            </a:ext>
          </a:extLst>
        </xdr:cNvPr>
        <xdr:cNvSpPr/>
      </xdr:nvSpPr>
      <xdr:spPr>
        <a:xfrm>
          <a:off x="15959502" y="22307043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501536</xdr:colOff>
      <xdr:row>177</xdr:row>
      <xdr:rowOff>112280</xdr:rowOff>
    </xdr:from>
    <xdr:to>
      <xdr:col>24</xdr:col>
      <xdr:colOff>88794</xdr:colOff>
      <xdr:row>178</xdr:row>
      <xdr:rowOff>90055</xdr:rowOff>
    </xdr:to>
    <xdr:sp macro="" textlink="">
      <xdr:nvSpPr>
        <xdr:cNvPr id="707" name="Oval 706">
          <a:extLst>
            <a:ext uri="{FF2B5EF4-FFF2-40B4-BE49-F238E27FC236}">
              <a16:creationId xmlns:a16="http://schemas.microsoft.com/office/drawing/2014/main" id="{082F132C-0766-4065-92D2-BF61F808BCB3}"/>
            </a:ext>
          </a:extLst>
        </xdr:cNvPr>
        <xdr:cNvSpPr/>
      </xdr:nvSpPr>
      <xdr:spPr>
        <a:xfrm>
          <a:off x="18757786" y="21411238"/>
          <a:ext cx="142883" cy="16298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534205</xdr:colOff>
      <xdr:row>175</xdr:row>
      <xdr:rowOff>161644</xdr:rowOff>
    </xdr:from>
    <xdr:to>
      <xdr:col>30</xdr:col>
      <xdr:colOff>481377</xdr:colOff>
      <xdr:row>177</xdr:row>
      <xdr:rowOff>120952</xdr:rowOff>
    </xdr:to>
    <xdr:cxnSp macro="">
      <xdr:nvCxnSpPr>
        <xdr:cNvPr id="708" name="Elbow Connector 59">
          <a:extLst>
            <a:ext uri="{FF2B5EF4-FFF2-40B4-BE49-F238E27FC236}">
              <a16:creationId xmlns:a16="http://schemas.microsoft.com/office/drawing/2014/main" id="{766726B2-3044-456F-9DF2-9845F29431BF}"/>
            </a:ext>
          </a:extLst>
        </xdr:cNvPr>
        <xdr:cNvCxnSpPr>
          <a:cxnSpLocks/>
          <a:endCxn id="720" idx="2"/>
        </xdr:cNvCxnSpPr>
      </xdr:nvCxnSpPr>
      <xdr:spPr>
        <a:xfrm flipV="1">
          <a:off x="18790455" y="21090186"/>
          <a:ext cx="4101130" cy="329724"/>
        </a:xfrm>
        <a:prstGeom prst="bentConnector3">
          <a:avLst>
            <a:gd name="adj1" fmla="val 495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178</xdr:row>
      <xdr:rowOff>67823</xdr:rowOff>
    </xdr:from>
    <xdr:to>
      <xdr:col>36</xdr:col>
      <xdr:colOff>0</xdr:colOff>
      <xdr:row>179</xdr:row>
      <xdr:rowOff>171349</xdr:rowOff>
    </xdr:to>
    <xdr:cxnSp macro="">
      <xdr:nvCxnSpPr>
        <xdr:cNvPr id="709" name="Elbow Connector 61">
          <a:extLst>
            <a:ext uri="{FF2B5EF4-FFF2-40B4-BE49-F238E27FC236}">
              <a16:creationId xmlns:a16="http://schemas.microsoft.com/office/drawing/2014/main" id="{DD94151A-1AC8-4A38-86B9-968206E6ADD8}"/>
            </a:ext>
          </a:extLst>
        </xdr:cNvPr>
        <xdr:cNvCxnSpPr/>
      </xdr:nvCxnSpPr>
      <xdr:spPr>
        <a:xfrm>
          <a:off x="18819637" y="21551990"/>
          <a:ext cx="6924321" cy="288734"/>
        </a:xfrm>
        <a:prstGeom prst="bentConnector3">
          <a:avLst>
            <a:gd name="adj1" fmla="val -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186</xdr:row>
      <xdr:rowOff>82043</xdr:rowOff>
    </xdr:from>
    <xdr:to>
      <xdr:col>24</xdr:col>
      <xdr:colOff>68635</xdr:colOff>
      <xdr:row>187</xdr:row>
      <xdr:rowOff>59817</xdr:rowOff>
    </xdr:to>
    <xdr:sp macro="" textlink="">
      <xdr:nvSpPr>
        <xdr:cNvPr id="710" name="Oval 709">
          <a:extLst>
            <a:ext uri="{FF2B5EF4-FFF2-40B4-BE49-F238E27FC236}">
              <a16:creationId xmlns:a16="http://schemas.microsoft.com/office/drawing/2014/main" id="{B274DB26-CC9E-424D-91BA-CB4B89FA6E73}"/>
            </a:ext>
          </a:extLst>
        </xdr:cNvPr>
        <xdr:cNvSpPr/>
      </xdr:nvSpPr>
      <xdr:spPr>
        <a:xfrm>
          <a:off x="18737627" y="2304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186</xdr:row>
      <xdr:rowOff>82043</xdr:rowOff>
    </xdr:from>
    <xdr:to>
      <xdr:col>24</xdr:col>
      <xdr:colOff>68635</xdr:colOff>
      <xdr:row>187</xdr:row>
      <xdr:rowOff>59817</xdr:rowOff>
    </xdr:to>
    <xdr:sp macro="" textlink="">
      <xdr:nvSpPr>
        <xdr:cNvPr id="711" name="Oval 710">
          <a:extLst>
            <a:ext uri="{FF2B5EF4-FFF2-40B4-BE49-F238E27FC236}">
              <a16:creationId xmlns:a16="http://schemas.microsoft.com/office/drawing/2014/main" id="{6075238E-88D3-4EB8-B7D0-DD0343B81A7A}"/>
            </a:ext>
          </a:extLst>
        </xdr:cNvPr>
        <xdr:cNvSpPr/>
      </xdr:nvSpPr>
      <xdr:spPr>
        <a:xfrm>
          <a:off x="18737627" y="2304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186</xdr:row>
      <xdr:rowOff>82043</xdr:rowOff>
    </xdr:from>
    <xdr:to>
      <xdr:col>24</xdr:col>
      <xdr:colOff>68635</xdr:colOff>
      <xdr:row>187</xdr:row>
      <xdr:rowOff>59817</xdr:rowOff>
    </xdr:to>
    <xdr:sp macro="" textlink="">
      <xdr:nvSpPr>
        <xdr:cNvPr id="712" name="Oval 711">
          <a:extLst>
            <a:ext uri="{FF2B5EF4-FFF2-40B4-BE49-F238E27FC236}">
              <a16:creationId xmlns:a16="http://schemas.microsoft.com/office/drawing/2014/main" id="{68DAFFD1-BF7A-4C73-8C6C-94D8E20CBA70}"/>
            </a:ext>
          </a:extLst>
        </xdr:cNvPr>
        <xdr:cNvSpPr/>
      </xdr:nvSpPr>
      <xdr:spPr>
        <a:xfrm>
          <a:off x="18737627" y="2304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186</xdr:row>
      <xdr:rowOff>82043</xdr:rowOff>
    </xdr:from>
    <xdr:to>
      <xdr:col>24</xdr:col>
      <xdr:colOff>68635</xdr:colOff>
      <xdr:row>187</xdr:row>
      <xdr:rowOff>59817</xdr:rowOff>
    </xdr:to>
    <xdr:sp macro="" textlink="">
      <xdr:nvSpPr>
        <xdr:cNvPr id="713" name="Oval 712">
          <a:extLst>
            <a:ext uri="{FF2B5EF4-FFF2-40B4-BE49-F238E27FC236}">
              <a16:creationId xmlns:a16="http://schemas.microsoft.com/office/drawing/2014/main" id="{882DF93C-290F-4B47-A9F3-C90403BEAAB3}"/>
            </a:ext>
          </a:extLst>
        </xdr:cNvPr>
        <xdr:cNvSpPr/>
      </xdr:nvSpPr>
      <xdr:spPr>
        <a:xfrm>
          <a:off x="18737627" y="2304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185</xdr:row>
      <xdr:rowOff>13512</xdr:rowOff>
    </xdr:from>
    <xdr:to>
      <xdr:col>30</xdr:col>
      <xdr:colOff>513404</xdr:colOff>
      <xdr:row>186</xdr:row>
      <xdr:rowOff>82044</xdr:rowOff>
    </xdr:to>
    <xdr:cxnSp macro="">
      <xdr:nvCxnSpPr>
        <xdr:cNvPr id="714" name="Elbow Connector 59">
          <a:extLst>
            <a:ext uri="{FF2B5EF4-FFF2-40B4-BE49-F238E27FC236}">
              <a16:creationId xmlns:a16="http://schemas.microsoft.com/office/drawing/2014/main" id="{F2B42B8A-9512-4747-B41E-2BE92B1316C8}"/>
            </a:ext>
          </a:extLst>
        </xdr:cNvPr>
        <xdr:cNvCxnSpPr>
          <a:cxnSpLocks/>
          <a:stCxn id="713" idx="0"/>
        </xdr:cNvCxnSpPr>
      </xdr:nvCxnSpPr>
      <xdr:spPr>
        <a:xfrm rot="5400000" flipH="1" flipV="1">
          <a:off x="20739048" y="20863313"/>
          <a:ext cx="253740" cy="4115388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175</xdr:row>
      <xdr:rowOff>82043</xdr:rowOff>
    </xdr:from>
    <xdr:to>
      <xdr:col>31</xdr:col>
      <xdr:colOff>68635</xdr:colOff>
      <xdr:row>176</xdr:row>
      <xdr:rowOff>59817</xdr:rowOff>
    </xdr:to>
    <xdr:sp macro="" textlink="">
      <xdr:nvSpPr>
        <xdr:cNvPr id="715" name="Oval 714">
          <a:extLst>
            <a:ext uri="{FF2B5EF4-FFF2-40B4-BE49-F238E27FC236}">
              <a16:creationId xmlns:a16="http://schemas.microsoft.com/office/drawing/2014/main" id="{FDB6F4EF-9FEC-44CF-9AC4-ADC7B525B9F0}"/>
            </a:ext>
          </a:extLst>
        </xdr:cNvPr>
        <xdr:cNvSpPr/>
      </xdr:nvSpPr>
      <xdr:spPr>
        <a:xfrm>
          <a:off x="22891585" y="210105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173</xdr:row>
      <xdr:rowOff>168388</xdr:rowOff>
    </xdr:from>
    <xdr:to>
      <xdr:col>36</xdr:col>
      <xdr:colOff>27021</xdr:colOff>
      <xdr:row>176</xdr:row>
      <xdr:rowOff>90619</xdr:rowOff>
    </xdr:to>
    <xdr:cxnSp macro="">
      <xdr:nvCxnSpPr>
        <xdr:cNvPr id="716" name="Elbow Connector 59">
          <a:extLst>
            <a:ext uri="{FF2B5EF4-FFF2-40B4-BE49-F238E27FC236}">
              <a16:creationId xmlns:a16="http://schemas.microsoft.com/office/drawing/2014/main" id="{6ED493A6-1B11-4935-8B8C-AD45979069D9}"/>
            </a:ext>
          </a:extLst>
        </xdr:cNvPr>
        <xdr:cNvCxnSpPr>
          <a:cxnSpLocks/>
        </xdr:cNvCxnSpPr>
      </xdr:nvCxnSpPr>
      <xdr:spPr>
        <a:xfrm flipV="1">
          <a:off x="22965833" y="20726513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175</xdr:row>
      <xdr:rowOff>67823</xdr:rowOff>
    </xdr:from>
    <xdr:to>
      <xdr:col>36</xdr:col>
      <xdr:colOff>290</xdr:colOff>
      <xdr:row>178</xdr:row>
      <xdr:rowOff>13511</xdr:rowOff>
    </xdr:to>
    <xdr:cxnSp macro="">
      <xdr:nvCxnSpPr>
        <xdr:cNvPr id="717" name="Elbow Connector 61">
          <a:extLst>
            <a:ext uri="{FF2B5EF4-FFF2-40B4-BE49-F238E27FC236}">
              <a16:creationId xmlns:a16="http://schemas.microsoft.com/office/drawing/2014/main" id="{3578C6F7-9E4F-4694-B07D-9434B9FE4E77}"/>
            </a:ext>
          </a:extLst>
        </xdr:cNvPr>
        <xdr:cNvCxnSpPr/>
      </xdr:nvCxnSpPr>
      <xdr:spPr>
        <a:xfrm>
          <a:off x="22960044" y="20996365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175</xdr:row>
      <xdr:rowOff>82043</xdr:rowOff>
    </xdr:from>
    <xdr:to>
      <xdr:col>31</xdr:col>
      <xdr:colOff>68635</xdr:colOff>
      <xdr:row>176</xdr:row>
      <xdr:rowOff>59817</xdr:rowOff>
    </xdr:to>
    <xdr:sp macro="" textlink="">
      <xdr:nvSpPr>
        <xdr:cNvPr id="718" name="Oval 717">
          <a:extLst>
            <a:ext uri="{FF2B5EF4-FFF2-40B4-BE49-F238E27FC236}">
              <a16:creationId xmlns:a16="http://schemas.microsoft.com/office/drawing/2014/main" id="{D87CA46F-EEBC-4F8B-9A09-B0F853625043}"/>
            </a:ext>
          </a:extLst>
        </xdr:cNvPr>
        <xdr:cNvSpPr/>
      </xdr:nvSpPr>
      <xdr:spPr>
        <a:xfrm>
          <a:off x="22891585" y="210105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175</xdr:row>
      <xdr:rowOff>82043</xdr:rowOff>
    </xdr:from>
    <xdr:to>
      <xdr:col>31</xdr:col>
      <xdr:colOff>68635</xdr:colOff>
      <xdr:row>176</xdr:row>
      <xdr:rowOff>59817</xdr:rowOff>
    </xdr:to>
    <xdr:sp macro="" textlink="">
      <xdr:nvSpPr>
        <xdr:cNvPr id="719" name="Oval 718">
          <a:extLst>
            <a:ext uri="{FF2B5EF4-FFF2-40B4-BE49-F238E27FC236}">
              <a16:creationId xmlns:a16="http://schemas.microsoft.com/office/drawing/2014/main" id="{1253B34D-9A17-428A-8B6F-897C86896540}"/>
            </a:ext>
          </a:extLst>
        </xdr:cNvPr>
        <xdr:cNvSpPr/>
      </xdr:nvSpPr>
      <xdr:spPr>
        <a:xfrm>
          <a:off x="22891585" y="210105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175</xdr:row>
      <xdr:rowOff>82043</xdr:rowOff>
    </xdr:from>
    <xdr:to>
      <xdr:col>31</xdr:col>
      <xdr:colOff>68635</xdr:colOff>
      <xdr:row>176</xdr:row>
      <xdr:rowOff>59817</xdr:rowOff>
    </xdr:to>
    <xdr:sp macro="" textlink="">
      <xdr:nvSpPr>
        <xdr:cNvPr id="720" name="Oval 719">
          <a:extLst>
            <a:ext uri="{FF2B5EF4-FFF2-40B4-BE49-F238E27FC236}">
              <a16:creationId xmlns:a16="http://schemas.microsoft.com/office/drawing/2014/main" id="{8557B4E4-157D-499C-864B-040E02B23A1B}"/>
            </a:ext>
          </a:extLst>
        </xdr:cNvPr>
        <xdr:cNvSpPr/>
      </xdr:nvSpPr>
      <xdr:spPr>
        <a:xfrm>
          <a:off x="22891585" y="210105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173</xdr:row>
      <xdr:rowOff>48117</xdr:rowOff>
    </xdr:from>
    <xdr:to>
      <xdr:col>36</xdr:col>
      <xdr:colOff>100793</xdr:colOff>
      <xdr:row>174</xdr:row>
      <xdr:rowOff>120953</xdr:rowOff>
    </xdr:to>
    <xdr:sp macro="" textlink="">
      <xdr:nvSpPr>
        <xdr:cNvPr id="721" name="Oval 720">
          <a:extLst>
            <a:ext uri="{FF2B5EF4-FFF2-40B4-BE49-F238E27FC236}">
              <a16:creationId xmlns:a16="http://schemas.microsoft.com/office/drawing/2014/main" id="{56111961-6D5B-4F9A-8885-DC52ACAA6649}"/>
            </a:ext>
          </a:extLst>
        </xdr:cNvPr>
        <xdr:cNvSpPr/>
      </xdr:nvSpPr>
      <xdr:spPr>
        <a:xfrm>
          <a:off x="25599402" y="20606242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177</xdr:row>
      <xdr:rowOff>112082</xdr:rowOff>
    </xdr:from>
    <xdr:to>
      <xdr:col>36</xdr:col>
      <xdr:colOff>14091</xdr:colOff>
      <xdr:row>178</xdr:row>
      <xdr:rowOff>122741</xdr:rowOff>
    </xdr:to>
    <xdr:sp macro="" textlink="">
      <xdr:nvSpPr>
        <xdr:cNvPr id="722" name="Isosceles Triangle 721">
          <a:extLst>
            <a:ext uri="{FF2B5EF4-FFF2-40B4-BE49-F238E27FC236}">
              <a16:creationId xmlns:a16="http://schemas.microsoft.com/office/drawing/2014/main" id="{86612B41-F4DC-4B7C-90DF-6B31D57B4C87}"/>
            </a:ext>
          </a:extLst>
        </xdr:cNvPr>
        <xdr:cNvSpPr/>
      </xdr:nvSpPr>
      <xdr:spPr>
        <a:xfrm rot="16200000">
          <a:off x="25582491" y="21431350"/>
          <a:ext cx="195868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187</xdr:row>
      <xdr:rowOff>57743</xdr:rowOff>
    </xdr:from>
    <xdr:to>
      <xdr:col>36</xdr:col>
      <xdr:colOff>10080</xdr:colOff>
      <xdr:row>188</xdr:row>
      <xdr:rowOff>161270</xdr:rowOff>
    </xdr:to>
    <xdr:cxnSp macro="">
      <xdr:nvCxnSpPr>
        <xdr:cNvPr id="723" name="Elbow Connector 61">
          <a:extLst>
            <a:ext uri="{FF2B5EF4-FFF2-40B4-BE49-F238E27FC236}">
              <a16:creationId xmlns:a16="http://schemas.microsoft.com/office/drawing/2014/main" id="{DC5C339E-590F-46B7-A24F-359BC2714AC7}"/>
            </a:ext>
          </a:extLst>
        </xdr:cNvPr>
        <xdr:cNvCxnSpPr/>
      </xdr:nvCxnSpPr>
      <xdr:spPr>
        <a:xfrm>
          <a:off x="18829717" y="23208785"/>
          <a:ext cx="6924321" cy="288735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184</xdr:row>
      <xdr:rowOff>82043</xdr:rowOff>
    </xdr:from>
    <xdr:to>
      <xdr:col>31</xdr:col>
      <xdr:colOff>68635</xdr:colOff>
      <xdr:row>185</xdr:row>
      <xdr:rowOff>59817</xdr:rowOff>
    </xdr:to>
    <xdr:sp macro="" textlink="">
      <xdr:nvSpPr>
        <xdr:cNvPr id="724" name="Oval 723">
          <a:extLst>
            <a:ext uri="{FF2B5EF4-FFF2-40B4-BE49-F238E27FC236}">
              <a16:creationId xmlns:a16="http://schemas.microsoft.com/office/drawing/2014/main" id="{9262CE16-16AD-431C-B092-B3A224E0720F}"/>
            </a:ext>
          </a:extLst>
        </xdr:cNvPr>
        <xdr:cNvSpPr/>
      </xdr:nvSpPr>
      <xdr:spPr>
        <a:xfrm>
          <a:off x="22891585" y="22677460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182</xdr:row>
      <xdr:rowOff>168388</xdr:rowOff>
    </xdr:from>
    <xdr:to>
      <xdr:col>36</xdr:col>
      <xdr:colOff>27021</xdr:colOff>
      <xdr:row>185</xdr:row>
      <xdr:rowOff>90619</xdr:rowOff>
    </xdr:to>
    <xdr:cxnSp macro="">
      <xdr:nvCxnSpPr>
        <xdr:cNvPr id="725" name="Elbow Connector 59">
          <a:extLst>
            <a:ext uri="{FF2B5EF4-FFF2-40B4-BE49-F238E27FC236}">
              <a16:creationId xmlns:a16="http://schemas.microsoft.com/office/drawing/2014/main" id="{ECF5271A-36CF-4446-A13B-91AC2B326BA9}"/>
            </a:ext>
          </a:extLst>
        </xdr:cNvPr>
        <xdr:cNvCxnSpPr>
          <a:cxnSpLocks/>
        </xdr:cNvCxnSpPr>
      </xdr:nvCxnSpPr>
      <xdr:spPr>
        <a:xfrm flipV="1">
          <a:off x="22965833" y="22393388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184</xdr:row>
      <xdr:rowOff>67823</xdr:rowOff>
    </xdr:from>
    <xdr:to>
      <xdr:col>35</xdr:col>
      <xdr:colOff>555915</xdr:colOff>
      <xdr:row>187</xdr:row>
      <xdr:rowOff>13511</xdr:rowOff>
    </xdr:to>
    <xdr:cxnSp macro="">
      <xdr:nvCxnSpPr>
        <xdr:cNvPr id="726" name="Elbow Connector 61">
          <a:extLst>
            <a:ext uri="{FF2B5EF4-FFF2-40B4-BE49-F238E27FC236}">
              <a16:creationId xmlns:a16="http://schemas.microsoft.com/office/drawing/2014/main" id="{5E26B63A-9FE6-454A-AA1F-F418D4CF836A}"/>
            </a:ext>
          </a:extLst>
        </xdr:cNvPr>
        <xdr:cNvCxnSpPr/>
      </xdr:nvCxnSpPr>
      <xdr:spPr>
        <a:xfrm>
          <a:off x="22960044" y="22663240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184</xdr:row>
      <xdr:rowOff>82043</xdr:rowOff>
    </xdr:from>
    <xdr:to>
      <xdr:col>31</xdr:col>
      <xdr:colOff>68635</xdr:colOff>
      <xdr:row>185</xdr:row>
      <xdr:rowOff>59817</xdr:rowOff>
    </xdr:to>
    <xdr:sp macro="" textlink="">
      <xdr:nvSpPr>
        <xdr:cNvPr id="727" name="Oval 726">
          <a:extLst>
            <a:ext uri="{FF2B5EF4-FFF2-40B4-BE49-F238E27FC236}">
              <a16:creationId xmlns:a16="http://schemas.microsoft.com/office/drawing/2014/main" id="{34B63A7A-851D-4837-8F51-2CC2FC0955FD}"/>
            </a:ext>
          </a:extLst>
        </xdr:cNvPr>
        <xdr:cNvSpPr/>
      </xdr:nvSpPr>
      <xdr:spPr>
        <a:xfrm>
          <a:off x="22891585" y="22677460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184</xdr:row>
      <xdr:rowOff>82043</xdr:rowOff>
    </xdr:from>
    <xdr:to>
      <xdr:col>31</xdr:col>
      <xdr:colOff>68635</xdr:colOff>
      <xdr:row>185</xdr:row>
      <xdr:rowOff>59817</xdr:rowOff>
    </xdr:to>
    <xdr:sp macro="" textlink="">
      <xdr:nvSpPr>
        <xdr:cNvPr id="728" name="Oval 727">
          <a:extLst>
            <a:ext uri="{FF2B5EF4-FFF2-40B4-BE49-F238E27FC236}">
              <a16:creationId xmlns:a16="http://schemas.microsoft.com/office/drawing/2014/main" id="{3249C4D9-8C68-496D-BEC1-1588341043A9}"/>
            </a:ext>
          </a:extLst>
        </xdr:cNvPr>
        <xdr:cNvSpPr/>
      </xdr:nvSpPr>
      <xdr:spPr>
        <a:xfrm>
          <a:off x="22891585" y="22677460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184</xdr:row>
      <xdr:rowOff>82043</xdr:rowOff>
    </xdr:from>
    <xdr:to>
      <xdr:col>31</xdr:col>
      <xdr:colOff>68635</xdr:colOff>
      <xdr:row>185</xdr:row>
      <xdr:rowOff>59817</xdr:rowOff>
    </xdr:to>
    <xdr:sp macro="" textlink="">
      <xdr:nvSpPr>
        <xdr:cNvPr id="729" name="Oval 728">
          <a:extLst>
            <a:ext uri="{FF2B5EF4-FFF2-40B4-BE49-F238E27FC236}">
              <a16:creationId xmlns:a16="http://schemas.microsoft.com/office/drawing/2014/main" id="{7628337A-CF45-456B-AC72-2C3210653FFA}"/>
            </a:ext>
          </a:extLst>
        </xdr:cNvPr>
        <xdr:cNvSpPr/>
      </xdr:nvSpPr>
      <xdr:spPr>
        <a:xfrm>
          <a:off x="22891585" y="22677460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182</xdr:row>
      <xdr:rowOff>48117</xdr:rowOff>
    </xdr:from>
    <xdr:to>
      <xdr:col>36</xdr:col>
      <xdr:colOff>100793</xdr:colOff>
      <xdr:row>183</xdr:row>
      <xdr:rowOff>120953</xdr:rowOff>
    </xdr:to>
    <xdr:sp macro="" textlink="">
      <xdr:nvSpPr>
        <xdr:cNvPr id="730" name="Oval 729">
          <a:extLst>
            <a:ext uri="{FF2B5EF4-FFF2-40B4-BE49-F238E27FC236}">
              <a16:creationId xmlns:a16="http://schemas.microsoft.com/office/drawing/2014/main" id="{F779D842-9602-4E32-A121-702A14EDB4F8}"/>
            </a:ext>
          </a:extLst>
        </xdr:cNvPr>
        <xdr:cNvSpPr/>
      </xdr:nvSpPr>
      <xdr:spPr>
        <a:xfrm>
          <a:off x="25599402" y="22273117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188</xdr:row>
      <xdr:rowOff>90713</xdr:rowOff>
    </xdr:from>
    <xdr:to>
      <xdr:col>36</xdr:col>
      <xdr:colOff>12880</xdr:colOff>
      <xdr:row>189</xdr:row>
      <xdr:rowOff>101372</xdr:rowOff>
    </xdr:to>
    <xdr:sp macro="" textlink="">
      <xdr:nvSpPr>
        <xdr:cNvPr id="731" name="Isosceles Triangle 730">
          <a:extLst>
            <a:ext uri="{FF2B5EF4-FFF2-40B4-BE49-F238E27FC236}">
              <a16:creationId xmlns:a16="http://schemas.microsoft.com/office/drawing/2014/main" id="{2DAC86A6-E5DB-4B21-A687-20FD4319DB44}"/>
            </a:ext>
          </a:extLst>
        </xdr:cNvPr>
        <xdr:cNvSpPr/>
      </xdr:nvSpPr>
      <xdr:spPr>
        <a:xfrm rot="16200000">
          <a:off x="25581280" y="23447273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186</xdr:row>
      <xdr:rowOff>112082</xdr:rowOff>
    </xdr:from>
    <xdr:to>
      <xdr:col>36</xdr:col>
      <xdr:colOff>14091</xdr:colOff>
      <xdr:row>187</xdr:row>
      <xdr:rowOff>122741</xdr:rowOff>
    </xdr:to>
    <xdr:sp macro="" textlink="">
      <xdr:nvSpPr>
        <xdr:cNvPr id="732" name="Isosceles Triangle 731">
          <a:extLst>
            <a:ext uri="{FF2B5EF4-FFF2-40B4-BE49-F238E27FC236}">
              <a16:creationId xmlns:a16="http://schemas.microsoft.com/office/drawing/2014/main" id="{60AD3ED4-3A08-467F-872F-AB9EF6CAECE9}"/>
            </a:ext>
          </a:extLst>
        </xdr:cNvPr>
        <xdr:cNvSpPr/>
      </xdr:nvSpPr>
      <xdr:spPr>
        <a:xfrm rot="16200000">
          <a:off x="25582491" y="23098225"/>
          <a:ext cx="195868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179</xdr:row>
      <xdr:rowOff>83054</xdr:rowOff>
    </xdr:from>
    <xdr:to>
      <xdr:col>36</xdr:col>
      <xdr:colOff>15299</xdr:colOff>
      <xdr:row>180</xdr:row>
      <xdr:rowOff>93713</xdr:rowOff>
    </xdr:to>
    <xdr:sp macro="" textlink="">
      <xdr:nvSpPr>
        <xdr:cNvPr id="733" name="Isosceles Triangle 732">
          <a:extLst>
            <a:ext uri="{FF2B5EF4-FFF2-40B4-BE49-F238E27FC236}">
              <a16:creationId xmlns:a16="http://schemas.microsoft.com/office/drawing/2014/main" id="{6515ECC1-E51C-4A0C-9EBB-983003F5A828}"/>
            </a:ext>
          </a:extLst>
        </xdr:cNvPr>
        <xdr:cNvSpPr/>
      </xdr:nvSpPr>
      <xdr:spPr>
        <a:xfrm rot="16200000">
          <a:off x="25583699" y="21772739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323206</xdr:colOff>
      <xdr:row>172</xdr:row>
      <xdr:rowOff>139338</xdr:rowOff>
    </xdr:from>
    <xdr:to>
      <xdr:col>36</xdr:col>
      <xdr:colOff>207486</xdr:colOff>
      <xdr:row>175</xdr:row>
      <xdr:rowOff>46919</xdr:rowOff>
    </xdr:to>
    <xdr:sp macro="" textlink="">
      <xdr:nvSpPr>
        <xdr:cNvPr id="734" name="Oval 733">
          <a:extLst>
            <a:ext uri="{FF2B5EF4-FFF2-40B4-BE49-F238E27FC236}">
              <a16:creationId xmlns:a16="http://schemas.microsoft.com/office/drawing/2014/main" id="{33799487-EE0A-4CCB-81D1-A70379FFC7C4}"/>
            </a:ext>
          </a:extLst>
        </xdr:cNvPr>
        <xdr:cNvSpPr/>
      </xdr:nvSpPr>
      <xdr:spPr>
        <a:xfrm>
          <a:off x="25511539" y="20512255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327932</xdr:colOff>
      <xdr:row>181</xdr:row>
      <xdr:rowOff>129296</xdr:rowOff>
    </xdr:from>
    <xdr:to>
      <xdr:col>36</xdr:col>
      <xdr:colOff>212212</xdr:colOff>
      <xdr:row>184</xdr:row>
      <xdr:rowOff>36877</xdr:rowOff>
    </xdr:to>
    <xdr:sp macro="" textlink="">
      <xdr:nvSpPr>
        <xdr:cNvPr id="735" name="Oval 734">
          <a:extLst>
            <a:ext uri="{FF2B5EF4-FFF2-40B4-BE49-F238E27FC236}">
              <a16:creationId xmlns:a16="http://schemas.microsoft.com/office/drawing/2014/main" id="{90DEE961-7EC5-498A-8065-4D1EFC0D45CF}"/>
            </a:ext>
          </a:extLst>
        </xdr:cNvPr>
        <xdr:cNvSpPr/>
      </xdr:nvSpPr>
      <xdr:spPr>
        <a:xfrm>
          <a:off x="25516265" y="22169088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4</xdr:col>
      <xdr:colOff>0</xdr:colOff>
      <xdr:row>164</xdr:row>
      <xdr:rowOff>27021</xdr:rowOff>
    </xdr:from>
    <xdr:to>
      <xdr:col>13</xdr:col>
      <xdr:colOff>467432</xdr:colOff>
      <xdr:row>164</xdr:row>
      <xdr:rowOff>32595</xdr:rowOff>
    </xdr:to>
    <xdr:cxnSp macro="">
      <xdr:nvCxnSpPr>
        <xdr:cNvPr id="736" name="Straight Connector 735">
          <a:extLst>
            <a:ext uri="{FF2B5EF4-FFF2-40B4-BE49-F238E27FC236}">
              <a16:creationId xmlns:a16="http://schemas.microsoft.com/office/drawing/2014/main" id="{6BEB30F9-A792-40D1-859D-E6F82C104423}"/>
            </a:ext>
          </a:extLst>
        </xdr:cNvPr>
        <xdr:cNvCxnSpPr/>
      </xdr:nvCxnSpPr>
      <xdr:spPr>
        <a:xfrm>
          <a:off x="7646458" y="18918271"/>
          <a:ext cx="5520974" cy="55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542258</xdr:colOff>
      <xdr:row>224</xdr:row>
      <xdr:rowOff>83636</xdr:rowOff>
    </xdr:from>
    <xdr:to>
      <xdr:col>18</xdr:col>
      <xdr:colOff>481376</xdr:colOff>
      <xdr:row>242</xdr:row>
      <xdr:rowOff>165505</xdr:rowOff>
    </xdr:to>
    <xdr:cxnSp macro="">
      <xdr:nvCxnSpPr>
        <xdr:cNvPr id="737" name="Elbow Connector 39">
          <a:extLst>
            <a:ext uri="{FF2B5EF4-FFF2-40B4-BE49-F238E27FC236}">
              <a16:creationId xmlns:a16="http://schemas.microsoft.com/office/drawing/2014/main" id="{9762F1BC-8D0A-4775-9357-617C56E282FF}"/>
            </a:ext>
          </a:extLst>
        </xdr:cNvPr>
        <xdr:cNvCxnSpPr>
          <a:cxnSpLocks/>
          <a:stCxn id="739" idx="4"/>
          <a:endCxn id="813" idx="2"/>
        </xdr:cNvCxnSpPr>
      </xdr:nvCxnSpPr>
      <xdr:spPr>
        <a:xfrm rot="16200000" flipH="1">
          <a:off x="12893070" y="19324074"/>
          <a:ext cx="3415619" cy="2717243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100014</xdr:colOff>
      <xdr:row>223</xdr:row>
      <xdr:rowOff>183576</xdr:rowOff>
    </xdr:from>
    <xdr:to>
      <xdr:col>19</xdr:col>
      <xdr:colOff>0</xdr:colOff>
      <xdr:row>224</xdr:row>
      <xdr:rowOff>13511</xdr:rowOff>
    </xdr:to>
    <xdr:cxnSp macro="">
      <xdr:nvCxnSpPr>
        <xdr:cNvPr id="738" name="Straight Connector 737">
          <a:extLst>
            <a:ext uri="{FF2B5EF4-FFF2-40B4-BE49-F238E27FC236}">
              <a16:creationId xmlns:a16="http://schemas.microsoft.com/office/drawing/2014/main" id="{8F9E44D9-2B48-4B61-AAC5-50C093AE4E62}"/>
            </a:ext>
          </a:extLst>
        </xdr:cNvPr>
        <xdr:cNvCxnSpPr/>
      </xdr:nvCxnSpPr>
      <xdr:spPr>
        <a:xfrm>
          <a:off x="13355639" y="18889618"/>
          <a:ext cx="2678111" cy="1514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471662</xdr:colOff>
      <xdr:row>223</xdr:row>
      <xdr:rowOff>99512</xdr:rowOff>
    </xdr:from>
    <xdr:to>
      <xdr:col>14</xdr:col>
      <xdr:colOff>58920</xdr:colOff>
      <xdr:row>224</xdr:row>
      <xdr:rowOff>83636</xdr:rowOff>
    </xdr:to>
    <xdr:sp macro="" textlink="">
      <xdr:nvSpPr>
        <xdr:cNvPr id="739" name="Oval 738">
          <a:extLst>
            <a:ext uri="{FF2B5EF4-FFF2-40B4-BE49-F238E27FC236}">
              <a16:creationId xmlns:a16="http://schemas.microsoft.com/office/drawing/2014/main" id="{39AB3E51-A26D-47F0-BDF6-282F8D18A7F5}"/>
            </a:ext>
          </a:extLst>
        </xdr:cNvPr>
        <xdr:cNvSpPr/>
      </xdr:nvSpPr>
      <xdr:spPr>
        <a:xfrm>
          <a:off x="13171662" y="18805554"/>
          <a:ext cx="142883" cy="16933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503680</xdr:colOff>
      <xdr:row>205</xdr:row>
      <xdr:rowOff>162127</xdr:rowOff>
    </xdr:from>
    <xdr:to>
      <xdr:col>18</xdr:col>
      <xdr:colOff>540426</xdr:colOff>
      <xdr:row>223</xdr:row>
      <xdr:rowOff>98357</xdr:rowOff>
    </xdr:to>
    <xdr:cxnSp macro="">
      <xdr:nvCxnSpPr>
        <xdr:cNvPr id="740" name="Elbow Connector 34">
          <a:extLst>
            <a:ext uri="{FF2B5EF4-FFF2-40B4-BE49-F238E27FC236}">
              <a16:creationId xmlns:a16="http://schemas.microsoft.com/office/drawing/2014/main" id="{AC1B4D97-F9D3-47C6-8310-1634E070AD2F}"/>
            </a:ext>
          </a:extLst>
        </xdr:cNvPr>
        <xdr:cNvCxnSpPr/>
      </xdr:nvCxnSpPr>
      <xdr:spPr>
        <a:xfrm flipV="1">
          <a:off x="13203680" y="15534419"/>
          <a:ext cx="2814871" cy="3269980"/>
        </a:xfrm>
        <a:prstGeom prst="bentConnector3">
          <a:avLst>
            <a:gd name="adj1" fmla="val 18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205</xdr:row>
      <xdr:rowOff>82043</xdr:rowOff>
    </xdr:from>
    <xdr:to>
      <xdr:col>19</xdr:col>
      <xdr:colOff>68635</xdr:colOff>
      <xdr:row>206</xdr:row>
      <xdr:rowOff>59817</xdr:rowOff>
    </xdr:to>
    <xdr:sp macro="" textlink="">
      <xdr:nvSpPr>
        <xdr:cNvPr id="741" name="Oval 740">
          <a:extLst>
            <a:ext uri="{FF2B5EF4-FFF2-40B4-BE49-F238E27FC236}">
              <a16:creationId xmlns:a16="http://schemas.microsoft.com/office/drawing/2014/main" id="{353AAFDD-46A1-4129-96D7-D4AD246A8B29}"/>
            </a:ext>
          </a:extLst>
        </xdr:cNvPr>
        <xdr:cNvSpPr/>
      </xdr:nvSpPr>
      <xdr:spPr>
        <a:xfrm>
          <a:off x="15959502" y="1545433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201</xdr:row>
      <xdr:rowOff>13510</xdr:rowOff>
    </xdr:from>
    <xdr:to>
      <xdr:col>24</xdr:col>
      <xdr:colOff>0</xdr:colOff>
      <xdr:row>205</xdr:row>
      <xdr:rowOff>121595</xdr:rowOff>
    </xdr:to>
    <xdr:cxnSp macro="">
      <xdr:nvCxnSpPr>
        <xdr:cNvPr id="742" name="Elbow Connector 59">
          <a:extLst>
            <a:ext uri="{FF2B5EF4-FFF2-40B4-BE49-F238E27FC236}">
              <a16:creationId xmlns:a16="http://schemas.microsoft.com/office/drawing/2014/main" id="{E775D42E-4FE8-4024-96DC-56EA8E72C1E7}"/>
            </a:ext>
          </a:extLst>
        </xdr:cNvPr>
        <xdr:cNvCxnSpPr>
          <a:cxnSpLocks/>
        </xdr:cNvCxnSpPr>
      </xdr:nvCxnSpPr>
      <xdr:spPr>
        <a:xfrm flipV="1">
          <a:off x="16033750" y="14644968"/>
          <a:ext cx="2778125" cy="848919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206</xdr:row>
      <xdr:rowOff>67823</xdr:rowOff>
    </xdr:from>
    <xdr:to>
      <xdr:col>24</xdr:col>
      <xdr:colOff>21585</xdr:colOff>
      <xdr:row>210</xdr:row>
      <xdr:rowOff>13511</xdr:rowOff>
    </xdr:to>
    <xdr:cxnSp macro="">
      <xdr:nvCxnSpPr>
        <xdr:cNvPr id="743" name="Elbow Connector 61">
          <a:extLst>
            <a:ext uri="{FF2B5EF4-FFF2-40B4-BE49-F238E27FC236}">
              <a16:creationId xmlns:a16="http://schemas.microsoft.com/office/drawing/2014/main" id="{1D09D69D-98D4-4551-B432-FCB2D6A7EAB5}"/>
            </a:ext>
          </a:extLst>
        </xdr:cNvPr>
        <xdr:cNvCxnSpPr/>
      </xdr:nvCxnSpPr>
      <xdr:spPr>
        <a:xfrm>
          <a:off x="16049256" y="15625323"/>
          <a:ext cx="2784204" cy="686521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205</xdr:row>
      <xdr:rowOff>82043</xdr:rowOff>
    </xdr:from>
    <xdr:to>
      <xdr:col>19</xdr:col>
      <xdr:colOff>68635</xdr:colOff>
      <xdr:row>206</xdr:row>
      <xdr:rowOff>59817</xdr:rowOff>
    </xdr:to>
    <xdr:sp macro="" textlink="">
      <xdr:nvSpPr>
        <xdr:cNvPr id="744" name="Oval 743">
          <a:extLst>
            <a:ext uri="{FF2B5EF4-FFF2-40B4-BE49-F238E27FC236}">
              <a16:creationId xmlns:a16="http://schemas.microsoft.com/office/drawing/2014/main" id="{492331F5-C23C-4EFF-8E30-36ECF543A02B}"/>
            </a:ext>
          </a:extLst>
        </xdr:cNvPr>
        <xdr:cNvSpPr/>
      </xdr:nvSpPr>
      <xdr:spPr>
        <a:xfrm>
          <a:off x="15959502" y="1545433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201</xdr:row>
      <xdr:rowOff>82043</xdr:rowOff>
    </xdr:from>
    <xdr:to>
      <xdr:col>24</xdr:col>
      <xdr:colOff>68635</xdr:colOff>
      <xdr:row>202</xdr:row>
      <xdr:rowOff>59817</xdr:rowOff>
    </xdr:to>
    <xdr:sp macro="" textlink="">
      <xdr:nvSpPr>
        <xdr:cNvPr id="745" name="Oval 744">
          <a:extLst>
            <a:ext uri="{FF2B5EF4-FFF2-40B4-BE49-F238E27FC236}">
              <a16:creationId xmlns:a16="http://schemas.microsoft.com/office/drawing/2014/main" id="{969F699A-8088-4920-B59F-216AA4BB9FE7}"/>
            </a:ext>
          </a:extLst>
        </xdr:cNvPr>
        <xdr:cNvSpPr/>
      </xdr:nvSpPr>
      <xdr:spPr>
        <a:xfrm>
          <a:off x="18737627" y="14713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0</xdr:colOff>
      <xdr:row>199</xdr:row>
      <xdr:rowOff>13510</xdr:rowOff>
    </xdr:from>
    <xdr:to>
      <xdr:col>31</xdr:col>
      <xdr:colOff>27021</xdr:colOff>
      <xdr:row>201</xdr:row>
      <xdr:rowOff>121595</xdr:rowOff>
    </xdr:to>
    <xdr:cxnSp macro="">
      <xdr:nvCxnSpPr>
        <xdr:cNvPr id="746" name="Elbow Connector 59">
          <a:extLst>
            <a:ext uri="{FF2B5EF4-FFF2-40B4-BE49-F238E27FC236}">
              <a16:creationId xmlns:a16="http://schemas.microsoft.com/office/drawing/2014/main" id="{CF2DC29A-49CE-4B75-9634-834FA74CEC9D}"/>
            </a:ext>
          </a:extLst>
        </xdr:cNvPr>
        <xdr:cNvCxnSpPr>
          <a:cxnSpLocks/>
        </xdr:cNvCxnSpPr>
      </xdr:nvCxnSpPr>
      <xdr:spPr>
        <a:xfrm flipV="1">
          <a:off x="18811875" y="14274552"/>
          <a:ext cx="4180979" cy="478501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201</xdr:row>
      <xdr:rowOff>67823</xdr:rowOff>
    </xdr:from>
    <xdr:to>
      <xdr:col>36</xdr:col>
      <xdr:colOff>0</xdr:colOff>
      <xdr:row>202</xdr:row>
      <xdr:rowOff>171349</xdr:rowOff>
    </xdr:to>
    <xdr:cxnSp macro="">
      <xdr:nvCxnSpPr>
        <xdr:cNvPr id="747" name="Elbow Connector 61">
          <a:extLst>
            <a:ext uri="{FF2B5EF4-FFF2-40B4-BE49-F238E27FC236}">
              <a16:creationId xmlns:a16="http://schemas.microsoft.com/office/drawing/2014/main" id="{D0D45566-E47A-4FA0-854D-C8E0DCDF994A}"/>
            </a:ext>
          </a:extLst>
        </xdr:cNvPr>
        <xdr:cNvCxnSpPr/>
      </xdr:nvCxnSpPr>
      <xdr:spPr>
        <a:xfrm>
          <a:off x="18819637" y="14699281"/>
          <a:ext cx="6924321" cy="288735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201</xdr:row>
      <xdr:rowOff>82043</xdr:rowOff>
    </xdr:from>
    <xdr:to>
      <xdr:col>24</xdr:col>
      <xdr:colOff>68635</xdr:colOff>
      <xdr:row>202</xdr:row>
      <xdr:rowOff>59817</xdr:rowOff>
    </xdr:to>
    <xdr:sp macro="" textlink="">
      <xdr:nvSpPr>
        <xdr:cNvPr id="748" name="Oval 747">
          <a:extLst>
            <a:ext uri="{FF2B5EF4-FFF2-40B4-BE49-F238E27FC236}">
              <a16:creationId xmlns:a16="http://schemas.microsoft.com/office/drawing/2014/main" id="{B2B5A1A8-A3F2-482F-A753-8F73DEB1A93E}"/>
            </a:ext>
          </a:extLst>
        </xdr:cNvPr>
        <xdr:cNvSpPr/>
      </xdr:nvSpPr>
      <xdr:spPr>
        <a:xfrm>
          <a:off x="18737627" y="14713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0</xdr:colOff>
      <xdr:row>199</xdr:row>
      <xdr:rowOff>13510</xdr:rowOff>
    </xdr:from>
    <xdr:to>
      <xdr:col>31</xdr:col>
      <xdr:colOff>27021</xdr:colOff>
      <xdr:row>201</xdr:row>
      <xdr:rowOff>121595</xdr:rowOff>
    </xdr:to>
    <xdr:cxnSp macro="">
      <xdr:nvCxnSpPr>
        <xdr:cNvPr id="749" name="Elbow Connector 59">
          <a:extLst>
            <a:ext uri="{FF2B5EF4-FFF2-40B4-BE49-F238E27FC236}">
              <a16:creationId xmlns:a16="http://schemas.microsoft.com/office/drawing/2014/main" id="{52BB6FE3-68CC-4F3B-8FC1-30E81FF295EE}"/>
            </a:ext>
          </a:extLst>
        </xdr:cNvPr>
        <xdr:cNvCxnSpPr>
          <a:cxnSpLocks/>
        </xdr:cNvCxnSpPr>
      </xdr:nvCxnSpPr>
      <xdr:spPr>
        <a:xfrm flipV="1">
          <a:off x="18811875" y="14274552"/>
          <a:ext cx="4180979" cy="478501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201</xdr:row>
      <xdr:rowOff>82043</xdr:rowOff>
    </xdr:from>
    <xdr:to>
      <xdr:col>24</xdr:col>
      <xdr:colOff>68635</xdr:colOff>
      <xdr:row>202</xdr:row>
      <xdr:rowOff>59817</xdr:rowOff>
    </xdr:to>
    <xdr:sp macro="" textlink="">
      <xdr:nvSpPr>
        <xdr:cNvPr id="750" name="Oval 749">
          <a:extLst>
            <a:ext uri="{FF2B5EF4-FFF2-40B4-BE49-F238E27FC236}">
              <a16:creationId xmlns:a16="http://schemas.microsoft.com/office/drawing/2014/main" id="{CE1AE01E-C00B-49DD-86FF-3BE223C50B1D}"/>
            </a:ext>
          </a:extLst>
        </xdr:cNvPr>
        <xdr:cNvSpPr/>
      </xdr:nvSpPr>
      <xdr:spPr>
        <a:xfrm>
          <a:off x="18737627" y="14713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201</xdr:row>
      <xdr:rowOff>82043</xdr:rowOff>
    </xdr:from>
    <xdr:to>
      <xdr:col>24</xdr:col>
      <xdr:colOff>68635</xdr:colOff>
      <xdr:row>202</xdr:row>
      <xdr:rowOff>59817</xdr:rowOff>
    </xdr:to>
    <xdr:sp macro="" textlink="">
      <xdr:nvSpPr>
        <xdr:cNvPr id="751" name="Oval 750">
          <a:extLst>
            <a:ext uri="{FF2B5EF4-FFF2-40B4-BE49-F238E27FC236}">
              <a16:creationId xmlns:a16="http://schemas.microsoft.com/office/drawing/2014/main" id="{7AC18DB6-ACFA-4BFE-B7DA-850CB83CD4B6}"/>
            </a:ext>
          </a:extLst>
        </xdr:cNvPr>
        <xdr:cNvSpPr/>
      </xdr:nvSpPr>
      <xdr:spPr>
        <a:xfrm>
          <a:off x="18737627" y="14713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209</xdr:row>
      <xdr:rowOff>82043</xdr:rowOff>
    </xdr:from>
    <xdr:to>
      <xdr:col>24</xdr:col>
      <xdr:colOff>68635</xdr:colOff>
      <xdr:row>210</xdr:row>
      <xdr:rowOff>59817</xdr:rowOff>
    </xdr:to>
    <xdr:sp macro="" textlink="">
      <xdr:nvSpPr>
        <xdr:cNvPr id="752" name="Oval 751">
          <a:extLst>
            <a:ext uri="{FF2B5EF4-FFF2-40B4-BE49-F238E27FC236}">
              <a16:creationId xmlns:a16="http://schemas.microsoft.com/office/drawing/2014/main" id="{E9C8A97A-0F6A-47FD-805C-639BB7B0B495}"/>
            </a:ext>
          </a:extLst>
        </xdr:cNvPr>
        <xdr:cNvSpPr/>
      </xdr:nvSpPr>
      <xdr:spPr>
        <a:xfrm>
          <a:off x="18737627" y="1619516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209</xdr:row>
      <xdr:rowOff>82043</xdr:rowOff>
    </xdr:from>
    <xdr:to>
      <xdr:col>24</xdr:col>
      <xdr:colOff>68635</xdr:colOff>
      <xdr:row>210</xdr:row>
      <xdr:rowOff>59817</xdr:rowOff>
    </xdr:to>
    <xdr:sp macro="" textlink="">
      <xdr:nvSpPr>
        <xdr:cNvPr id="753" name="Oval 752">
          <a:extLst>
            <a:ext uri="{FF2B5EF4-FFF2-40B4-BE49-F238E27FC236}">
              <a16:creationId xmlns:a16="http://schemas.microsoft.com/office/drawing/2014/main" id="{1D2B4732-B45C-4397-8440-9116F676D79D}"/>
            </a:ext>
          </a:extLst>
        </xdr:cNvPr>
        <xdr:cNvSpPr/>
      </xdr:nvSpPr>
      <xdr:spPr>
        <a:xfrm>
          <a:off x="18737627" y="1619516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209</xdr:row>
      <xdr:rowOff>82043</xdr:rowOff>
    </xdr:from>
    <xdr:to>
      <xdr:col>24</xdr:col>
      <xdr:colOff>68635</xdr:colOff>
      <xdr:row>210</xdr:row>
      <xdr:rowOff>59817</xdr:rowOff>
    </xdr:to>
    <xdr:sp macro="" textlink="">
      <xdr:nvSpPr>
        <xdr:cNvPr id="754" name="Oval 753">
          <a:extLst>
            <a:ext uri="{FF2B5EF4-FFF2-40B4-BE49-F238E27FC236}">
              <a16:creationId xmlns:a16="http://schemas.microsoft.com/office/drawing/2014/main" id="{B07FB3DE-704D-4482-A802-A9BCAD191980}"/>
            </a:ext>
          </a:extLst>
        </xdr:cNvPr>
        <xdr:cNvSpPr/>
      </xdr:nvSpPr>
      <xdr:spPr>
        <a:xfrm>
          <a:off x="18737627" y="1619516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209</xdr:row>
      <xdr:rowOff>82043</xdr:rowOff>
    </xdr:from>
    <xdr:to>
      <xdr:col>24</xdr:col>
      <xdr:colOff>68635</xdr:colOff>
      <xdr:row>210</xdr:row>
      <xdr:rowOff>59817</xdr:rowOff>
    </xdr:to>
    <xdr:sp macro="" textlink="">
      <xdr:nvSpPr>
        <xdr:cNvPr id="755" name="Oval 754">
          <a:extLst>
            <a:ext uri="{FF2B5EF4-FFF2-40B4-BE49-F238E27FC236}">
              <a16:creationId xmlns:a16="http://schemas.microsoft.com/office/drawing/2014/main" id="{C90B6936-26B5-4D0D-87EF-7E11CEFD4CAD}"/>
            </a:ext>
          </a:extLst>
        </xdr:cNvPr>
        <xdr:cNvSpPr/>
      </xdr:nvSpPr>
      <xdr:spPr>
        <a:xfrm>
          <a:off x="18737627" y="1619516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208</xdr:row>
      <xdr:rowOff>13512</xdr:rowOff>
    </xdr:from>
    <xdr:to>
      <xdr:col>30</xdr:col>
      <xdr:colOff>513404</xdr:colOff>
      <xdr:row>209</xdr:row>
      <xdr:rowOff>82044</xdr:rowOff>
    </xdr:to>
    <xdr:cxnSp macro="">
      <xdr:nvCxnSpPr>
        <xdr:cNvPr id="756" name="Elbow Connector 59">
          <a:extLst>
            <a:ext uri="{FF2B5EF4-FFF2-40B4-BE49-F238E27FC236}">
              <a16:creationId xmlns:a16="http://schemas.microsoft.com/office/drawing/2014/main" id="{F3F10F20-D2B0-4502-9AC5-859B034E31D9}"/>
            </a:ext>
          </a:extLst>
        </xdr:cNvPr>
        <xdr:cNvCxnSpPr>
          <a:cxnSpLocks/>
          <a:stCxn id="755" idx="0"/>
        </xdr:cNvCxnSpPr>
      </xdr:nvCxnSpPr>
      <xdr:spPr>
        <a:xfrm rot="5400000" flipH="1" flipV="1">
          <a:off x="20739048" y="14010605"/>
          <a:ext cx="253740" cy="4115388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198</xdr:row>
      <xdr:rowOff>82043</xdr:rowOff>
    </xdr:from>
    <xdr:to>
      <xdr:col>31</xdr:col>
      <xdr:colOff>68635</xdr:colOff>
      <xdr:row>199</xdr:row>
      <xdr:rowOff>59817</xdr:rowOff>
    </xdr:to>
    <xdr:sp macro="" textlink="">
      <xdr:nvSpPr>
        <xdr:cNvPr id="757" name="Oval 756">
          <a:extLst>
            <a:ext uri="{FF2B5EF4-FFF2-40B4-BE49-F238E27FC236}">
              <a16:creationId xmlns:a16="http://schemas.microsoft.com/office/drawing/2014/main" id="{55D24388-846A-4C07-8C81-7DE6EC69B908}"/>
            </a:ext>
          </a:extLst>
        </xdr:cNvPr>
        <xdr:cNvSpPr/>
      </xdr:nvSpPr>
      <xdr:spPr>
        <a:xfrm>
          <a:off x="22891585" y="1415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196</xdr:row>
      <xdr:rowOff>168388</xdr:rowOff>
    </xdr:from>
    <xdr:to>
      <xdr:col>36</xdr:col>
      <xdr:colOff>27021</xdr:colOff>
      <xdr:row>199</xdr:row>
      <xdr:rowOff>90619</xdr:rowOff>
    </xdr:to>
    <xdr:cxnSp macro="">
      <xdr:nvCxnSpPr>
        <xdr:cNvPr id="758" name="Elbow Connector 59">
          <a:extLst>
            <a:ext uri="{FF2B5EF4-FFF2-40B4-BE49-F238E27FC236}">
              <a16:creationId xmlns:a16="http://schemas.microsoft.com/office/drawing/2014/main" id="{246A7DF5-8FFD-4017-AB95-97716ED6F880}"/>
            </a:ext>
          </a:extLst>
        </xdr:cNvPr>
        <xdr:cNvCxnSpPr>
          <a:cxnSpLocks/>
        </xdr:cNvCxnSpPr>
      </xdr:nvCxnSpPr>
      <xdr:spPr>
        <a:xfrm flipV="1">
          <a:off x="22965833" y="13873805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198</xdr:row>
      <xdr:rowOff>67823</xdr:rowOff>
    </xdr:from>
    <xdr:to>
      <xdr:col>35</xdr:col>
      <xdr:colOff>555915</xdr:colOff>
      <xdr:row>201</xdr:row>
      <xdr:rowOff>13511</xdr:rowOff>
    </xdr:to>
    <xdr:cxnSp macro="">
      <xdr:nvCxnSpPr>
        <xdr:cNvPr id="759" name="Elbow Connector 61">
          <a:extLst>
            <a:ext uri="{FF2B5EF4-FFF2-40B4-BE49-F238E27FC236}">
              <a16:creationId xmlns:a16="http://schemas.microsoft.com/office/drawing/2014/main" id="{413173A3-E051-494D-9A82-782ECB513662}"/>
            </a:ext>
          </a:extLst>
        </xdr:cNvPr>
        <xdr:cNvCxnSpPr/>
      </xdr:nvCxnSpPr>
      <xdr:spPr>
        <a:xfrm>
          <a:off x="22960044" y="14143656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198</xdr:row>
      <xdr:rowOff>82043</xdr:rowOff>
    </xdr:from>
    <xdr:to>
      <xdr:col>31</xdr:col>
      <xdr:colOff>68635</xdr:colOff>
      <xdr:row>199</xdr:row>
      <xdr:rowOff>59817</xdr:rowOff>
    </xdr:to>
    <xdr:sp macro="" textlink="">
      <xdr:nvSpPr>
        <xdr:cNvPr id="760" name="Oval 759">
          <a:extLst>
            <a:ext uri="{FF2B5EF4-FFF2-40B4-BE49-F238E27FC236}">
              <a16:creationId xmlns:a16="http://schemas.microsoft.com/office/drawing/2014/main" id="{3D23111B-9C47-4302-92F1-89485196B083}"/>
            </a:ext>
          </a:extLst>
        </xdr:cNvPr>
        <xdr:cNvSpPr/>
      </xdr:nvSpPr>
      <xdr:spPr>
        <a:xfrm>
          <a:off x="22891585" y="1415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198</xdr:row>
      <xdr:rowOff>82043</xdr:rowOff>
    </xdr:from>
    <xdr:to>
      <xdr:col>31</xdr:col>
      <xdr:colOff>68635</xdr:colOff>
      <xdr:row>199</xdr:row>
      <xdr:rowOff>59817</xdr:rowOff>
    </xdr:to>
    <xdr:sp macro="" textlink="">
      <xdr:nvSpPr>
        <xdr:cNvPr id="761" name="Oval 760">
          <a:extLst>
            <a:ext uri="{FF2B5EF4-FFF2-40B4-BE49-F238E27FC236}">
              <a16:creationId xmlns:a16="http://schemas.microsoft.com/office/drawing/2014/main" id="{592D2DF1-544B-48A8-95F3-14FA567E3989}"/>
            </a:ext>
          </a:extLst>
        </xdr:cNvPr>
        <xdr:cNvSpPr/>
      </xdr:nvSpPr>
      <xdr:spPr>
        <a:xfrm>
          <a:off x="22891585" y="1415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198</xdr:row>
      <xdr:rowOff>82043</xdr:rowOff>
    </xdr:from>
    <xdr:to>
      <xdr:col>31</xdr:col>
      <xdr:colOff>68635</xdr:colOff>
      <xdr:row>199</xdr:row>
      <xdr:rowOff>59817</xdr:rowOff>
    </xdr:to>
    <xdr:sp macro="" textlink="">
      <xdr:nvSpPr>
        <xdr:cNvPr id="762" name="Oval 761">
          <a:extLst>
            <a:ext uri="{FF2B5EF4-FFF2-40B4-BE49-F238E27FC236}">
              <a16:creationId xmlns:a16="http://schemas.microsoft.com/office/drawing/2014/main" id="{41C384BD-0F29-4DA7-A66A-801A6967DAC6}"/>
            </a:ext>
          </a:extLst>
        </xdr:cNvPr>
        <xdr:cNvSpPr/>
      </xdr:nvSpPr>
      <xdr:spPr>
        <a:xfrm>
          <a:off x="22891585" y="1415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307697</xdr:colOff>
      <xdr:row>195</xdr:row>
      <xdr:rowOff>121954</xdr:rowOff>
    </xdr:from>
    <xdr:to>
      <xdr:col>36</xdr:col>
      <xdr:colOff>191977</xdr:colOff>
      <xdr:row>198</xdr:row>
      <xdr:rowOff>29535</xdr:rowOff>
    </xdr:to>
    <xdr:sp macro="" textlink="">
      <xdr:nvSpPr>
        <xdr:cNvPr id="763" name="Oval 762">
          <a:extLst>
            <a:ext uri="{FF2B5EF4-FFF2-40B4-BE49-F238E27FC236}">
              <a16:creationId xmlns:a16="http://schemas.microsoft.com/office/drawing/2014/main" id="{DDA6687B-51CB-4005-B6B3-17FEC18760E9}"/>
            </a:ext>
          </a:extLst>
        </xdr:cNvPr>
        <xdr:cNvSpPr/>
      </xdr:nvSpPr>
      <xdr:spPr>
        <a:xfrm>
          <a:off x="25496030" y="13642162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414468</xdr:colOff>
      <xdr:row>200</xdr:row>
      <xdr:rowOff>112082</xdr:rowOff>
    </xdr:from>
    <xdr:to>
      <xdr:col>36</xdr:col>
      <xdr:colOff>14091</xdr:colOff>
      <xdr:row>201</xdr:row>
      <xdr:rowOff>122741</xdr:rowOff>
    </xdr:to>
    <xdr:sp macro="" textlink="">
      <xdr:nvSpPr>
        <xdr:cNvPr id="764" name="Isosceles Triangle 763">
          <a:extLst>
            <a:ext uri="{FF2B5EF4-FFF2-40B4-BE49-F238E27FC236}">
              <a16:creationId xmlns:a16="http://schemas.microsoft.com/office/drawing/2014/main" id="{50252AAA-37AB-4FC4-BD85-C98430772B56}"/>
            </a:ext>
          </a:extLst>
        </xdr:cNvPr>
        <xdr:cNvSpPr/>
      </xdr:nvSpPr>
      <xdr:spPr>
        <a:xfrm rot="16200000">
          <a:off x="25582491" y="14578642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210</xdr:row>
      <xdr:rowOff>57743</xdr:rowOff>
    </xdr:from>
    <xdr:to>
      <xdr:col>36</xdr:col>
      <xdr:colOff>10080</xdr:colOff>
      <xdr:row>211</xdr:row>
      <xdr:rowOff>161270</xdr:rowOff>
    </xdr:to>
    <xdr:cxnSp macro="">
      <xdr:nvCxnSpPr>
        <xdr:cNvPr id="765" name="Elbow Connector 61">
          <a:extLst>
            <a:ext uri="{FF2B5EF4-FFF2-40B4-BE49-F238E27FC236}">
              <a16:creationId xmlns:a16="http://schemas.microsoft.com/office/drawing/2014/main" id="{FD52D1BC-2CCF-4C14-A244-EADA22F9F3E5}"/>
            </a:ext>
          </a:extLst>
        </xdr:cNvPr>
        <xdr:cNvCxnSpPr/>
      </xdr:nvCxnSpPr>
      <xdr:spPr>
        <a:xfrm>
          <a:off x="18829717" y="16356076"/>
          <a:ext cx="6924321" cy="288736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207</xdr:row>
      <xdr:rowOff>82043</xdr:rowOff>
    </xdr:from>
    <xdr:to>
      <xdr:col>31</xdr:col>
      <xdr:colOff>68635</xdr:colOff>
      <xdr:row>208</xdr:row>
      <xdr:rowOff>59817</xdr:rowOff>
    </xdr:to>
    <xdr:sp macro="" textlink="">
      <xdr:nvSpPr>
        <xdr:cNvPr id="766" name="Oval 765">
          <a:extLst>
            <a:ext uri="{FF2B5EF4-FFF2-40B4-BE49-F238E27FC236}">
              <a16:creationId xmlns:a16="http://schemas.microsoft.com/office/drawing/2014/main" id="{307DF7FB-B3FC-4F46-A2E6-CF87503444E3}"/>
            </a:ext>
          </a:extLst>
        </xdr:cNvPr>
        <xdr:cNvSpPr/>
      </xdr:nvSpPr>
      <xdr:spPr>
        <a:xfrm>
          <a:off x="22891585" y="1582475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205</xdr:row>
      <xdr:rowOff>168388</xdr:rowOff>
    </xdr:from>
    <xdr:to>
      <xdr:col>36</xdr:col>
      <xdr:colOff>27021</xdr:colOff>
      <xdr:row>208</xdr:row>
      <xdr:rowOff>90619</xdr:rowOff>
    </xdr:to>
    <xdr:cxnSp macro="">
      <xdr:nvCxnSpPr>
        <xdr:cNvPr id="767" name="Elbow Connector 59">
          <a:extLst>
            <a:ext uri="{FF2B5EF4-FFF2-40B4-BE49-F238E27FC236}">
              <a16:creationId xmlns:a16="http://schemas.microsoft.com/office/drawing/2014/main" id="{2ED4107F-804B-4044-8F75-D1C0F0FA21BB}"/>
            </a:ext>
          </a:extLst>
        </xdr:cNvPr>
        <xdr:cNvCxnSpPr>
          <a:cxnSpLocks/>
        </xdr:cNvCxnSpPr>
      </xdr:nvCxnSpPr>
      <xdr:spPr>
        <a:xfrm flipV="1">
          <a:off x="22965833" y="15540680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207</xdr:row>
      <xdr:rowOff>67823</xdr:rowOff>
    </xdr:from>
    <xdr:to>
      <xdr:col>35</xdr:col>
      <xdr:colOff>555915</xdr:colOff>
      <xdr:row>210</xdr:row>
      <xdr:rowOff>13511</xdr:rowOff>
    </xdr:to>
    <xdr:cxnSp macro="">
      <xdr:nvCxnSpPr>
        <xdr:cNvPr id="768" name="Elbow Connector 61">
          <a:extLst>
            <a:ext uri="{FF2B5EF4-FFF2-40B4-BE49-F238E27FC236}">
              <a16:creationId xmlns:a16="http://schemas.microsoft.com/office/drawing/2014/main" id="{004B69B7-DFE7-4E7D-9331-12FB975FED85}"/>
            </a:ext>
          </a:extLst>
        </xdr:cNvPr>
        <xdr:cNvCxnSpPr/>
      </xdr:nvCxnSpPr>
      <xdr:spPr>
        <a:xfrm>
          <a:off x="22960044" y="15810531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207</xdr:row>
      <xdr:rowOff>82043</xdr:rowOff>
    </xdr:from>
    <xdr:to>
      <xdr:col>31</xdr:col>
      <xdr:colOff>68635</xdr:colOff>
      <xdr:row>208</xdr:row>
      <xdr:rowOff>59817</xdr:rowOff>
    </xdr:to>
    <xdr:sp macro="" textlink="">
      <xdr:nvSpPr>
        <xdr:cNvPr id="769" name="Oval 768">
          <a:extLst>
            <a:ext uri="{FF2B5EF4-FFF2-40B4-BE49-F238E27FC236}">
              <a16:creationId xmlns:a16="http://schemas.microsoft.com/office/drawing/2014/main" id="{9CB10FED-15F3-4AAC-BD1F-A8EE8177583E}"/>
            </a:ext>
          </a:extLst>
        </xdr:cNvPr>
        <xdr:cNvSpPr/>
      </xdr:nvSpPr>
      <xdr:spPr>
        <a:xfrm>
          <a:off x="22891585" y="1582475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207</xdr:row>
      <xdr:rowOff>82043</xdr:rowOff>
    </xdr:from>
    <xdr:to>
      <xdr:col>31</xdr:col>
      <xdr:colOff>68635</xdr:colOff>
      <xdr:row>208</xdr:row>
      <xdr:rowOff>59817</xdr:rowOff>
    </xdr:to>
    <xdr:sp macro="" textlink="">
      <xdr:nvSpPr>
        <xdr:cNvPr id="770" name="Oval 769">
          <a:extLst>
            <a:ext uri="{FF2B5EF4-FFF2-40B4-BE49-F238E27FC236}">
              <a16:creationId xmlns:a16="http://schemas.microsoft.com/office/drawing/2014/main" id="{7A08AFB6-6B8B-4AB0-B93B-572268E5449A}"/>
            </a:ext>
          </a:extLst>
        </xdr:cNvPr>
        <xdr:cNvSpPr/>
      </xdr:nvSpPr>
      <xdr:spPr>
        <a:xfrm>
          <a:off x="22891585" y="1582475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207</xdr:row>
      <xdr:rowOff>82043</xdr:rowOff>
    </xdr:from>
    <xdr:to>
      <xdr:col>31</xdr:col>
      <xdr:colOff>68635</xdr:colOff>
      <xdr:row>208</xdr:row>
      <xdr:rowOff>59817</xdr:rowOff>
    </xdr:to>
    <xdr:sp macro="" textlink="">
      <xdr:nvSpPr>
        <xdr:cNvPr id="771" name="Oval 770">
          <a:extLst>
            <a:ext uri="{FF2B5EF4-FFF2-40B4-BE49-F238E27FC236}">
              <a16:creationId xmlns:a16="http://schemas.microsoft.com/office/drawing/2014/main" id="{9BDB8436-4840-4B61-BBDB-EBF44B0544FD}"/>
            </a:ext>
          </a:extLst>
        </xdr:cNvPr>
        <xdr:cNvSpPr/>
      </xdr:nvSpPr>
      <xdr:spPr>
        <a:xfrm>
          <a:off x="22891585" y="1582475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205</xdr:row>
      <xdr:rowOff>48117</xdr:rowOff>
    </xdr:from>
    <xdr:to>
      <xdr:col>36</xdr:col>
      <xdr:colOff>100793</xdr:colOff>
      <xdr:row>206</xdr:row>
      <xdr:rowOff>120953</xdr:rowOff>
    </xdr:to>
    <xdr:sp macro="" textlink="">
      <xdr:nvSpPr>
        <xdr:cNvPr id="772" name="Oval 771">
          <a:extLst>
            <a:ext uri="{FF2B5EF4-FFF2-40B4-BE49-F238E27FC236}">
              <a16:creationId xmlns:a16="http://schemas.microsoft.com/office/drawing/2014/main" id="{D4F0E37F-DCDE-44CF-90C3-64BEDDFF8CFC}"/>
            </a:ext>
          </a:extLst>
        </xdr:cNvPr>
        <xdr:cNvSpPr/>
      </xdr:nvSpPr>
      <xdr:spPr>
        <a:xfrm>
          <a:off x="25599402" y="15420409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211</xdr:row>
      <xdr:rowOff>90713</xdr:rowOff>
    </xdr:from>
    <xdr:to>
      <xdr:col>36</xdr:col>
      <xdr:colOff>12880</xdr:colOff>
      <xdr:row>212</xdr:row>
      <xdr:rowOff>101372</xdr:rowOff>
    </xdr:to>
    <xdr:sp macro="" textlink="">
      <xdr:nvSpPr>
        <xdr:cNvPr id="773" name="Isosceles Triangle 772">
          <a:extLst>
            <a:ext uri="{FF2B5EF4-FFF2-40B4-BE49-F238E27FC236}">
              <a16:creationId xmlns:a16="http://schemas.microsoft.com/office/drawing/2014/main" id="{E5ACA3FA-639A-4604-8EC7-A47B2BADA779}"/>
            </a:ext>
          </a:extLst>
        </xdr:cNvPr>
        <xdr:cNvSpPr/>
      </xdr:nvSpPr>
      <xdr:spPr>
        <a:xfrm rot="16200000">
          <a:off x="25581280" y="16594565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209</xdr:row>
      <xdr:rowOff>112082</xdr:rowOff>
    </xdr:from>
    <xdr:to>
      <xdr:col>36</xdr:col>
      <xdr:colOff>14091</xdr:colOff>
      <xdr:row>210</xdr:row>
      <xdr:rowOff>122741</xdr:rowOff>
    </xdr:to>
    <xdr:sp macro="" textlink="">
      <xdr:nvSpPr>
        <xdr:cNvPr id="774" name="Isosceles Triangle 773">
          <a:extLst>
            <a:ext uri="{FF2B5EF4-FFF2-40B4-BE49-F238E27FC236}">
              <a16:creationId xmlns:a16="http://schemas.microsoft.com/office/drawing/2014/main" id="{2022BCAA-B616-4D79-BE92-57C447B3CF51}"/>
            </a:ext>
          </a:extLst>
        </xdr:cNvPr>
        <xdr:cNvSpPr/>
      </xdr:nvSpPr>
      <xdr:spPr>
        <a:xfrm rot="16200000">
          <a:off x="25582491" y="16245517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202</xdr:row>
      <xdr:rowOff>83054</xdr:rowOff>
    </xdr:from>
    <xdr:to>
      <xdr:col>36</xdr:col>
      <xdr:colOff>15299</xdr:colOff>
      <xdr:row>203</xdr:row>
      <xdr:rowOff>93713</xdr:rowOff>
    </xdr:to>
    <xdr:sp macro="" textlink="">
      <xdr:nvSpPr>
        <xdr:cNvPr id="775" name="Isosceles Triangle 774">
          <a:extLst>
            <a:ext uri="{FF2B5EF4-FFF2-40B4-BE49-F238E27FC236}">
              <a16:creationId xmlns:a16="http://schemas.microsoft.com/office/drawing/2014/main" id="{9660AD63-1A5A-4804-A9DA-34E9F1D5F584}"/>
            </a:ext>
          </a:extLst>
        </xdr:cNvPr>
        <xdr:cNvSpPr/>
      </xdr:nvSpPr>
      <xdr:spPr>
        <a:xfrm rot="16200000">
          <a:off x="25583699" y="14920031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481377</xdr:colOff>
      <xdr:row>223</xdr:row>
      <xdr:rowOff>82043</xdr:rowOff>
    </xdr:from>
    <xdr:to>
      <xdr:col>19</xdr:col>
      <xdr:colOff>68635</xdr:colOff>
      <xdr:row>224</xdr:row>
      <xdr:rowOff>59817</xdr:rowOff>
    </xdr:to>
    <xdr:sp macro="" textlink="">
      <xdr:nvSpPr>
        <xdr:cNvPr id="776" name="Oval 775">
          <a:extLst>
            <a:ext uri="{FF2B5EF4-FFF2-40B4-BE49-F238E27FC236}">
              <a16:creationId xmlns:a16="http://schemas.microsoft.com/office/drawing/2014/main" id="{A02AF605-053E-49C8-B316-13E74A034898}"/>
            </a:ext>
          </a:extLst>
        </xdr:cNvPr>
        <xdr:cNvSpPr/>
      </xdr:nvSpPr>
      <xdr:spPr>
        <a:xfrm>
          <a:off x="15959502" y="187880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219</xdr:row>
      <xdr:rowOff>13510</xdr:rowOff>
    </xdr:from>
    <xdr:to>
      <xdr:col>24</xdr:col>
      <xdr:colOff>0</xdr:colOff>
      <xdr:row>223</xdr:row>
      <xdr:rowOff>121595</xdr:rowOff>
    </xdr:to>
    <xdr:cxnSp macro="">
      <xdr:nvCxnSpPr>
        <xdr:cNvPr id="777" name="Elbow Connector 59">
          <a:extLst>
            <a:ext uri="{FF2B5EF4-FFF2-40B4-BE49-F238E27FC236}">
              <a16:creationId xmlns:a16="http://schemas.microsoft.com/office/drawing/2014/main" id="{953BBA8F-4E2D-4402-A81B-8F6D80E357AD}"/>
            </a:ext>
          </a:extLst>
        </xdr:cNvPr>
        <xdr:cNvCxnSpPr>
          <a:cxnSpLocks/>
        </xdr:cNvCxnSpPr>
      </xdr:nvCxnSpPr>
      <xdr:spPr>
        <a:xfrm flipV="1">
          <a:off x="16033750" y="17978718"/>
          <a:ext cx="2778125" cy="848919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224</xdr:row>
      <xdr:rowOff>67823</xdr:rowOff>
    </xdr:from>
    <xdr:to>
      <xdr:col>24</xdr:col>
      <xdr:colOff>21585</xdr:colOff>
      <xdr:row>228</xdr:row>
      <xdr:rowOff>13511</xdr:rowOff>
    </xdr:to>
    <xdr:cxnSp macro="">
      <xdr:nvCxnSpPr>
        <xdr:cNvPr id="778" name="Elbow Connector 61">
          <a:extLst>
            <a:ext uri="{FF2B5EF4-FFF2-40B4-BE49-F238E27FC236}">
              <a16:creationId xmlns:a16="http://schemas.microsoft.com/office/drawing/2014/main" id="{1B9EFF7A-9A28-409F-8B39-FB81F87B2198}"/>
            </a:ext>
          </a:extLst>
        </xdr:cNvPr>
        <xdr:cNvCxnSpPr/>
      </xdr:nvCxnSpPr>
      <xdr:spPr>
        <a:xfrm>
          <a:off x="16049256" y="18959073"/>
          <a:ext cx="2784204" cy="686521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223</xdr:row>
      <xdr:rowOff>82043</xdr:rowOff>
    </xdr:from>
    <xdr:to>
      <xdr:col>19</xdr:col>
      <xdr:colOff>68635</xdr:colOff>
      <xdr:row>224</xdr:row>
      <xdr:rowOff>59817</xdr:rowOff>
    </xdr:to>
    <xdr:sp macro="" textlink="">
      <xdr:nvSpPr>
        <xdr:cNvPr id="779" name="Oval 778">
          <a:extLst>
            <a:ext uri="{FF2B5EF4-FFF2-40B4-BE49-F238E27FC236}">
              <a16:creationId xmlns:a16="http://schemas.microsoft.com/office/drawing/2014/main" id="{BA2DD91C-2D5D-4DE3-913A-F7A015AE6D37}"/>
            </a:ext>
          </a:extLst>
        </xdr:cNvPr>
        <xdr:cNvSpPr/>
      </xdr:nvSpPr>
      <xdr:spPr>
        <a:xfrm>
          <a:off x="15959502" y="187880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501536</xdr:colOff>
      <xdr:row>218</xdr:row>
      <xdr:rowOff>112280</xdr:rowOff>
    </xdr:from>
    <xdr:to>
      <xdr:col>24</xdr:col>
      <xdr:colOff>88794</xdr:colOff>
      <xdr:row>219</xdr:row>
      <xdr:rowOff>90055</xdr:rowOff>
    </xdr:to>
    <xdr:sp macro="" textlink="">
      <xdr:nvSpPr>
        <xdr:cNvPr id="780" name="Oval 779">
          <a:extLst>
            <a:ext uri="{FF2B5EF4-FFF2-40B4-BE49-F238E27FC236}">
              <a16:creationId xmlns:a16="http://schemas.microsoft.com/office/drawing/2014/main" id="{652BD2CC-C625-4E41-A9FA-746D98ACF737}"/>
            </a:ext>
          </a:extLst>
        </xdr:cNvPr>
        <xdr:cNvSpPr/>
      </xdr:nvSpPr>
      <xdr:spPr>
        <a:xfrm>
          <a:off x="18757786" y="17892280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534205</xdr:colOff>
      <xdr:row>216</xdr:row>
      <xdr:rowOff>161644</xdr:rowOff>
    </xdr:from>
    <xdr:to>
      <xdr:col>30</xdr:col>
      <xdr:colOff>481377</xdr:colOff>
      <xdr:row>218</xdr:row>
      <xdr:rowOff>120952</xdr:rowOff>
    </xdr:to>
    <xdr:cxnSp macro="">
      <xdr:nvCxnSpPr>
        <xdr:cNvPr id="781" name="Elbow Connector 59">
          <a:extLst>
            <a:ext uri="{FF2B5EF4-FFF2-40B4-BE49-F238E27FC236}">
              <a16:creationId xmlns:a16="http://schemas.microsoft.com/office/drawing/2014/main" id="{2D1D5BDC-5E77-4630-A3AC-4E680589D6C1}"/>
            </a:ext>
          </a:extLst>
        </xdr:cNvPr>
        <xdr:cNvCxnSpPr>
          <a:cxnSpLocks/>
          <a:endCxn id="793" idx="2"/>
        </xdr:cNvCxnSpPr>
      </xdr:nvCxnSpPr>
      <xdr:spPr>
        <a:xfrm flipV="1">
          <a:off x="18790455" y="17571227"/>
          <a:ext cx="4101130" cy="329725"/>
        </a:xfrm>
        <a:prstGeom prst="bentConnector3">
          <a:avLst>
            <a:gd name="adj1" fmla="val 495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219</xdr:row>
      <xdr:rowOff>67823</xdr:rowOff>
    </xdr:from>
    <xdr:to>
      <xdr:col>36</xdr:col>
      <xdr:colOff>0</xdr:colOff>
      <xdr:row>220</xdr:row>
      <xdr:rowOff>171349</xdr:rowOff>
    </xdr:to>
    <xdr:cxnSp macro="">
      <xdr:nvCxnSpPr>
        <xdr:cNvPr id="782" name="Elbow Connector 61">
          <a:extLst>
            <a:ext uri="{FF2B5EF4-FFF2-40B4-BE49-F238E27FC236}">
              <a16:creationId xmlns:a16="http://schemas.microsoft.com/office/drawing/2014/main" id="{746257DF-0637-491A-88CB-45A6C4A1DE2A}"/>
            </a:ext>
          </a:extLst>
        </xdr:cNvPr>
        <xdr:cNvCxnSpPr/>
      </xdr:nvCxnSpPr>
      <xdr:spPr>
        <a:xfrm>
          <a:off x="18819637" y="18033031"/>
          <a:ext cx="6924321" cy="288735"/>
        </a:xfrm>
        <a:prstGeom prst="bentConnector3">
          <a:avLst>
            <a:gd name="adj1" fmla="val -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227</xdr:row>
      <xdr:rowOff>82043</xdr:rowOff>
    </xdr:from>
    <xdr:to>
      <xdr:col>24</xdr:col>
      <xdr:colOff>68635</xdr:colOff>
      <xdr:row>228</xdr:row>
      <xdr:rowOff>59817</xdr:rowOff>
    </xdr:to>
    <xdr:sp macro="" textlink="">
      <xdr:nvSpPr>
        <xdr:cNvPr id="783" name="Oval 782">
          <a:extLst>
            <a:ext uri="{FF2B5EF4-FFF2-40B4-BE49-F238E27FC236}">
              <a16:creationId xmlns:a16="http://schemas.microsoft.com/office/drawing/2014/main" id="{30D34BC1-7DE4-4525-8490-803A13D24E8B}"/>
            </a:ext>
          </a:extLst>
        </xdr:cNvPr>
        <xdr:cNvSpPr/>
      </xdr:nvSpPr>
      <xdr:spPr>
        <a:xfrm>
          <a:off x="18737627" y="1952891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227</xdr:row>
      <xdr:rowOff>82043</xdr:rowOff>
    </xdr:from>
    <xdr:to>
      <xdr:col>24</xdr:col>
      <xdr:colOff>68635</xdr:colOff>
      <xdr:row>228</xdr:row>
      <xdr:rowOff>59817</xdr:rowOff>
    </xdr:to>
    <xdr:sp macro="" textlink="">
      <xdr:nvSpPr>
        <xdr:cNvPr id="784" name="Oval 783">
          <a:extLst>
            <a:ext uri="{FF2B5EF4-FFF2-40B4-BE49-F238E27FC236}">
              <a16:creationId xmlns:a16="http://schemas.microsoft.com/office/drawing/2014/main" id="{27C3F166-C1B2-4B3C-880E-D26C42A316B4}"/>
            </a:ext>
          </a:extLst>
        </xdr:cNvPr>
        <xdr:cNvSpPr/>
      </xdr:nvSpPr>
      <xdr:spPr>
        <a:xfrm>
          <a:off x="18737627" y="1952891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227</xdr:row>
      <xdr:rowOff>82043</xdr:rowOff>
    </xdr:from>
    <xdr:to>
      <xdr:col>24</xdr:col>
      <xdr:colOff>68635</xdr:colOff>
      <xdr:row>228</xdr:row>
      <xdr:rowOff>59817</xdr:rowOff>
    </xdr:to>
    <xdr:sp macro="" textlink="">
      <xdr:nvSpPr>
        <xdr:cNvPr id="785" name="Oval 784">
          <a:extLst>
            <a:ext uri="{FF2B5EF4-FFF2-40B4-BE49-F238E27FC236}">
              <a16:creationId xmlns:a16="http://schemas.microsoft.com/office/drawing/2014/main" id="{04E7E852-4171-4345-AF9D-557FFD011AD2}"/>
            </a:ext>
          </a:extLst>
        </xdr:cNvPr>
        <xdr:cNvSpPr/>
      </xdr:nvSpPr>
      <xdr:spPr>
        <a:xfrm>
          <a:off x="18737627" y="1952891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227</xdr:row>
      <xdr:rowOff>82043</xdr:rowOff>
    </xdr:from>
    <xdr:to>
      <xdr:col>24</xdr:col>
      <xdr:colOff>68635</xdr:colOff>
      <xdr:row>228</xdr:row>
      <xdr:rowOff>59817</xdr:rowOff>
    </xdr:to>
    <xdr:sp macro="" textlink="">
      <xdr:nvSpPr>
        <xdr:cNvPr id="786" name="Oval 785">
          <a:extLst>
            <a:ext uri="{FF2B5EF4-FFF2-40B4-BE49-F238E27FC236}">
              <a16:creationId xmlns:a16="http://schemas.microsoft.com/office/drawing/2014/main" id="{67759EE0-AB2A-4CC7-83F7-7E109D09312D}"/>
            </a:ext>
          </a:extLst>
        </xdr:cNvPr>
        <xdr:cNvSpPr/>
      </xdr:nvSpPr>
      <xdr:spPr>
        <a:xfrm>
          <a:off x="18737627" y="1952891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226</xdr:row>
      <xdr:rowOff>13512</xdr:rowOff>
    </xdr:from>
    <xdr:to>
      <xdr:col>30</xdr:col>
      <xdr:colOff>513404</xdr:colOff>
      <xdr:row>227</xdr:row>
      <xdr:rowOff>82044</xdr:rowOff>
    </xdr:to>
    <xdr:cxnSp macro="">
      <xdr:nvCxnSpPr>
        <xdr:cNvPr id="787" name="Elbow Connector 59">
          <a:extLst>
            <a:ext uri="{FF2B5EF4-FFF2-40B4-BE49-F238E27FC236}">
              <a16:creationId xmlns:a16="http://schemas.microsoft.com/office/drawing/2014/main" id="{E0F6934A-577B-420E-AD61-575EEDFD5101}"/>
            </a:ext>
          </a:extLst>
        </xdr:cNvPr>
        <xdr:cNvCxnSpPr>
          <a:cxnSpLocks/>
          <a:stCxn id="786" idx="0"/>
        </xdr:cNvCxnSpPr>
      </xdr:nvCxnSpPr>
      <xdr:spPr>
        <a:xfrm rot="5400000" flipH="1" flipV="1">
          <a:off x="20739048" y="17344355"/>
          <a:ext cx="253740" cy="4115388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216</xdr:row>
      <xdr:rowOff>82043</xdr:rowOff>
    </xdr:from>
    <xdr:to>
      <xdr:col>31</xdr:col>
      <xdr:colOff>68635</xdr:colOff>
      <xdr:row>217</xdr:row>
      <xdr:rowOff>59817</xdr:rowOff>
    </xdr:to>
    <xdr:sp macro="" textlink="">
      <xdr:nvSpPr>
        <xdr:cNvPr id="788" name="Oval 787">
          <a:extLst>
            <a:ext uri="{FF2B5EF4-FFF2-40B4-BE49-F238E27FC236}">
              <a16:creationId xmlns:a16="http://schemas.microsoft.com/office/drawing/2014/main" id="{BFB59DA9-82DF-4F62-809E-1C394CB7E032}"/>
            </a:ext>
          </a:extLst>
        </xdr:cNvPr>
        <xdr:cNvSpPr/>
      </xdr:nvSpPr>
      <xdr:spPr>
        <a:xfrm>
          <a:off x="22891585" y="1749162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214</xdr:row>
      <xdr:rowOff>168388</xdr:rowOff>
    </xdr:from>
    <xdr:to>
      <xdr:col>36</xdr:col>
      <xdr:colOff>27021</xdr:colOff>
      <xdr:row>217</xdr:row>
      <xdr:rowOff>90619</xdr:rowOff>
    </xdr:to>
    <xdr:cxnSp macro="">
      <xdr:nvCxnSpPr>
        <xdr:cNvPr id="789" name="Elbow Connector 59">
          <a:extLst>
            <a:ext uri="{FF2B5EF4-FFF2-40B4-BE49-F238E27FC236}">
              <a16:creationId xmlns:a16="http://schemas.microsoft.com/office/drawing/2014/main" id="{C9256584-2738-41F2-ABE5-42B7508375F2}"/>
            </a:ext>
          </a:extLst>
        </xdr:cNvPr>
        <xdr:cNvCxnSpPr>
          <a:cxnSpLocks/>
        </xdr:cNvCxnSpPr>
      </xdr:nvCxnSpPr>
      <xdr:spPr>
        <a:xfrm flipV="1">
          <a:off x="22965833" y="17207555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216</xdr:row>
      <xdr:rowOff>67823</xdr:rowOff>
    </xdr:from>
    <xdr:to>
      <xdr:col>36</xdr:col>
      <xdr:colOff>290</xdr:colOff>
      <xdr:row>219</xdr:row>
      <xdr:rowOff>13511</xdr:rowOff>
    </xdr:to>
    <xdr:cxnSp macro="">
      <xdr:nvCxnSpPr>
        <xdr:cNvPr id="790" name="Elbow Connector 61">
          <a:extLst>
            <a:ext uri="{FF2B5EF4-FFF2-40B4-BE49-F238E27FC236}">
              <a16:creationId xmlns:a16="http://schemas.microsoft.com/office/drawing/2014/main" id="{D78C9A38-4FD7-4BC7-BD25-DAF51E5C2990}"/>
            </a:ext>
          </a:extLst>
        </xdr:cNvPr>
        <xdr:cNvCxnSpPr/>
      </xdr:nvCxnSpPr>
      <xdr:spPr>
        <a:xfrm>
          <a:off x="22960044" y="17477406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216</xdr:row>
      <xdr:rowOff>82043</xdr:rowOff>
    </xdr:from>
    <xdr:to>
      <xdr:col>31</xdr:col>
      <xdr:colOff>68635</xdr:colOff>
      <xdr:row>217</xdr:row>
      <xdr:rowOff>59817</xdr:rowOff>
    </xdr:to>
    <xdr:sp macro="" textlink="">
      <xdr:nvSpPr>
        <xdr:cNvPr id="791" name="Oval 790">
          <a:extLst>
            <a:ext uri="{FF2B5EF4-FFF2-40B4-BE49-F238E27FC236}">
              <a16:creationId xmlns:a16="http://schemas.microsoft.com/office/drawing/2014/main" id="{2BDD1C43-8C60-44A3-9208-43B24D0D0A7A}"/>
            </a:ext>
          </a:extLst>
        </xdr:cNvPr>
        <xdr:cNvSpPr/>
      </xdr:nvSpPr>
      <xdr:spPr>
        <a:xfrm>
          <a:off x="22891585" y="1749162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216</xdr:row>
      <xdr:rowOff>82043</xdr:rowOff>
    </xdr:from>
    <xdr:to>
      <xdr:col>31</xdr:col>
      <xdr:colOff>68635</xdr:colOff>
      <xdr:row>217</xdr:row>
      <xdr:rowOff>59817</xdr:rowOff>
    </xdr:to>
    <xdr:sp macro="" textlink="">
      <xdr:nvSpPr>
        <xdr:cNvPr id="792" name="Oval 791">
          <a:extLst>
            <a:ext uri="{FF2B5EF4-FFF2-40B4-BE49-F238E27FC236}">
              <a16:creationId xmlns:a16="http://schemas.microsoft.com/office/drawing/2014/main" id="{0142FCE0-7F70-4011-AD4E-1F60F8050330}"/>
            </a:ext>
          </a:extLst>
        </xdr:cNvPr>
        <xdr:cNvSpPr/>
      </xdr:nvSpPr>
      <xdr:spPr>
        <a:xfrm>
          <a:off x="22891585" y="1749162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216</xdr:row>
      <xdr:rowOff>82043</xdr:rowOff>
    </xdr:from>
    <xdr:to>
      <xdr:col>31</xdr:col>
      <xdr:colOff>68635</xdr:colOff>
      <xdr:row>217</xdr:row>
      <xdr:rowOff>59817</xdr:rowOff>
    </xdr:to>
    <xdr:sp macro="" textlink="">
      <xdr:nvSpPr>
        <xdr:cNvPr id="793" name="Oval 792">
          <a:extLst>
            <a:ext uri="{FF2B5EF4-FFF2-40B4-BE49-F238E27FC236}">
              <a16:creationId xmlns:a16="http://schemas.microsoft.com/office/drawing/2014/main" id="{E8F76053-D544-40F7-81B9-A5ED41FA6F67}"/>
            </a:ext>
          </a:extLst>
        </xdr:cNvPr>
        <xdr:cNvSpPr/>
      </xdr:nvSpPr>
      <xdr:spPr>
        <a:xfrm>
          <a:off x="22891585" y="1749162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214</xdr:row>
      <xdr:rowOff>48117</xdr:rowOff>
    </xdr:from>
    <xdr:to>
      <xdr:col>36</xdr:col>
      <xdr:colOff>100793</xdr:colOff>
      <xdr:row>215</xdr:row>
      <xdr:rowOff>120953</xdr:rowOff>
    </xdr:to>
    <xdr:sp macro="" textlink="">
      <xdr:nvSpPr>
        <xdr:cNvPr id="794" name="Oval 793">
          <a:extLst>
            <a:ext uri="{FF2B5EF4-FFF2-40B4-BE49-F238E27FC236}">
              <a16:creationId xmlns:a16="http://schemas.microsoft.com/office/drawing/2014/main" id="{7C2D4227-87D6-4F74-ADC7-F29E3C2288F6}"/>
            </a:ext>
          </a:extLst>
        </xdr:cNvPr>
        <xdr:cNvSpPr/>
      </xdr:nvSpPr>
      <xdr:spPr>
        <a:xfrm>
          <a:off x="25599402" y="17087284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218</xdr:row>
      <xdr:rowOff>112082</xdr:rowOff>
    </xdr:from>
    <xdr:to>
      <xdr:col>36</xdr:col>
      <xdr:colOff>14091</xdr:colOff>
      <xdr:row>219</xdr:row>
      <xdr:rowOff>122741</xdr:rowOff>
    </xdr:to>
    <xdr:sp macro="" textlink="">
      <xdr:nvSpPr>
        <xdr:cNvPr id="795" name="Isosceles Triangle 794">
          <a:extLst>
            <a:ext uri="{FF2B5EF4-FFF2-40B4-BE49-F238E27FC236}">
              <a16:creationId xmlns:a16="http://schemas.microsoft.com/office/drawing/2014/main" id="{AA155C97-BE06-4BFF-AF1F-7EE208530E50}"/>
            </a:ext>
          </a:extLst>
        </xdr:cNvPr>
        <xdr:cNvSpPr/>
      </xdr:nvSpPr>
      <xdr:spPr>
        <a:xfrm rot="16200000">
          <a:off x="25582491" y="17912392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228</xdr:row>
      <xdr:rowOff>57743</xdr:rowOff>
    </xdr:from>
    <xdr:to>
      <xdr:col>36</xdr:col>
      <xdr:colOff>10080</xdr:colOff>
      <xdr:row>229</xdr:row>
      <xdr:rowOff>161270</xdr:rowOff>
    </xdr:to>
    <xdr:cxnSp macro="">
      <xdr:nvCxnSpPr>
        <xdr:cNvPr id="796" name="Elbow Connector 61">
          <a:extLst>
            <a:ext uri="{FF2B5EF4-FFF2-40B4-BE49-F238E27FC236}">
              <a16:creationId xmlns:a16="http://schemas.microsoft.com/office/drawing/2014/main" id="{8265508A-1BCC-4B91-89CE-72135F51706A}"/>
            </a:ext>
          </a:extLst>
        </xdr:cNvPr>
        <xdr:cNvCxnSpPr/>
      </xdr:nvCxnSpPr>
      <xdr:spPr>
        <a:xfrm>
          <a:off x="18829717" y="19689826"/>
          <a:ext cx="6924321" cy="288736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225</xdr:row>
      <xdr:rowOff>82043</xdr:rowOff>
    </xdr:from>
    <xdr:to>
      <xdr:col>31</xdr:col>
      <xdr:colOff>68635</xdr:colOff>
      <xdr:row>226</xdr:row>
      <xdr:rowOff>59817</xdr:rowOff>
    </xdr:to>
    <xdr:sp macro="" textlink="">
      <xdr:nvSpPr>
        <xdr:cNvPr id="797" name="Oval 796">
          <a:extLst>
            <a:ext uri="{FF2B5EF4-FFF2-40B4-BE49-F238E27FC236}">
              <a16:creationId xmlns:a16="http://schemas.microsoft.com/office/drawing/2014/main" id="{33792A39-CD84-4C0A-8C8D-D76D812B0133}"/>
            </a:ext>
          </a:extLst>
        </xdr:cNvPr>
        <xdr:cNvSpPr/>
      </xdr:nvSpPr>
      <xdr:spPr>
        <a:xfrm>
          <a:off x="22891585" y="19158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223</xdr:row>
      <xdr:rowOff>168388</xdr:rowOff>
    </xdr:from>
    <xdr:to>
      <xdr:col>36</xdr:col>
      <xdr:colOff>27021</xdr:colOff>
      <xdr:row>226</xdr:row>
      <xdr:rowOff>90619</xdr:rowOff>
    </xdr:to>
    <xdr:cxnSp macro="">
      <xdr:nvCxnSpPr>
        <xdr:cNvPr id="798" name="Elbow Connector 59">
          <a:extLst>
            <a:ext uri="{FF2B5EF4-FFF2-40B4-BE49-F238E27FC236}">
              <a16:creationId xmlns:a16="http://schemas.microsoft.com/office/drawing/2014/main" id="{43FF83D2-5FBB-4A08-86A8-C51539DC683C}"/>
            </a:ext>
          </a:extLst>
        </xdr:cNvPr>
        <xdr:cNvCxnSpPr>
          <a:cxnSpLocks/>
        </xdr:cNvCxnSpPr>
      </xdr:nvCxnSpPr>
      <xdr:spPr>
        <a:xfrm flipV="1">
          <a:off x="22965833" y="18874430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225</xdr:row>
      <xdr:rowOff>67823</xdr:rowOff>
    </xdr:from>
    <xdr:to>
      <xdr:col>35</xdr:col>
      <xdr:colOff>555915</xdr:colOff>
      <xdr:row>228</xdr:row>
      <xdr:rowOff>13511</xdr:rowOff>
    </xdr:to>
    <xdr:cxnSp macro="">
      <xdr:nvCxnSpPr>
        <xdr:cNvPr id="799" name="Elbow Connector 61">
          <a:extLst>
            <a:ext uri="{FF2B5EF4-FFF2-40B4-BE49-F238E27FC236}">
              <a16:creationId xmlns:a16="http://schemas.microsoft.com/office/drawing/2014/main" id="{C2F5DD22-ACE8-4012-8BBC-E338F227B764}"/>
            </a:ext>
          </a:extLst>
        </xdr:cNvPr>
        <xdr:cNvCxnSpPr/>
      </xdr:nvCxnSpPr>
      <xdr:spPr>
        <a:xfrm>
          <a:off x="22960044" y="19144281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225</xdr:row>
      <xdr:rowOff>82043</xdr:rowOff>
    </xdr:from>
    <xdr:to>
      <xdr:col>31</xdr:col>
      <xdr:colOff>68635</xdr:colOff>
      <xdr:row>226</xdr:row>
      <xdr:rowOff>59817</xdr:rowOff>
    </xdr:to>
    <xdr:sp macro="" textlink="">
      <xdr:nvSpPr>
        <xdr:cNvPr id="800" name="Oval 799">
          <a:extLst>
            <a:ext uri="{FF2B5EF4-FFF2-40B4-BE49-F238E27FC236}">
              <a16:creationId xmlns:a16="http://schemas.microsoft.com/office/drawing/2014/main" id="{47C048FB-4491-4EC4-B003-4EE6B86FB5F1}"/>
            </a:ext>
          </a:extLst>
        </xdr:cNvPr>
        <xdr:cNvSpPr/>
      </xdr:nvSpPr>
      <xdr:spPr>
        <a:xfrm>
          <a:off x="22891585" y="19158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225</xdr:row>
      <xdr:rowOff>82043</xdr:rowOff>
    </xdr:from>
    <xdr:to>
      <xdr:col>31</xdr:col>
      <xdr:colOff>68635</xdr:colOff>
      <xdr:row>226</xdr:row>
      <xdr:rowOff>59817</xdr:rowOff>
    </xdr:to>
    <xdr:sp macro="" textlink="">
      <xdr:nvSpPr>
        <xdr:cNvPr id="801" name="Oval 800">
          <a:extLst>
            <a:ext uri="{FF2B5EF4-FFF2-40B4-BE49-F238E27FC236}">
              <a16:creationId xmlns:a16="http://schemas.microsoft.com/office/drawing/2014/main" id="{067C5D45-C7C5-4494-A56B-7C075534DCD1}"/>
            </a:ext>
          </a:extLst>
        </xdr:cNvPr>
        <xdr:cNvSpPr/>
      </xdr:nvSpPr>
      <xdr:spPr>
        <a:xfrm>
          <a:off x="22891585" y="19158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225</xdr:row>
      <xdr:rowOff>82043</xdr:rowOff>
    </xdr:from>
    <xdr:to>
      <xdr:col>31</xdr:col>
      <xdr:colOff>68635</xdr:colOff>
      <xdr:row>226</xdr:row>
      <xdr:rowOff>59817</xdr:rowOff>
    </xdr:to>
    <xdr:sp macro="" textlink="">
      <xdr:nvSpPr>
        <xdr:cNvPr id="802" name="Oval 801">
          <a:extLst>
            <a:ext uri="{FF2B5EF4-FFF2-40B4-BE49-F238E27FC236}">
              <a16:creationId xmlns:a16="http://schemas.microsoft.com/office/drawing/2014/main" id="{DEA77B96-C208-424A-AFFB-5AE6FF25308F}"/>
            </a:ext>
          </a:extLst>
        </xdr:cNvPr>
        <xdr:cNvSpPr/>
      </xdr:nvSpPr>
      <xdr:spPr>
        <a:xfrm>
          <a:off x="22891585" y="19158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223</xdr:row>
      <xdr:rowOff>48117</xdr:rowOff>
    </xdr:from>
    <xdr:to>
      <xdr:col>36</xdr:col>
      <xdr:colOff>100793</xdr:colOff>
      <xdr:row>224</xdr:row>
      <xdr:rowOff>120953</xdr:rowOff>
    </xdr:to>
    <xdr:sp macro="" textlink="">
      <xdr:nvSpPr>
        <xdr:cNvPr id="803" name="Oval 802">
          <a:extLst>
            <a:ext uri="{FF2B5EF4-FFF2-40B4-BE49-F238E27FC236}">
              <a16:creationId xmlns:a16="http://schemas.microsoft.com/office/drawing/2014/main" id="{95331AC2-4481-4473-93AE-DAE67F39F974}"/>
            </a:ext>
          </a:extLst>
        </xdr:cNvPr>
        <xdr:cNvSpPr/>
      </xdr:nvSpPr>
      <xdr:spPr>
        <a:xfrm>
          <a:off x="25599402" y="18754159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229</xdr:row>
      <xdr:rowOff>90713</xdr:rowOff>
    </xdr:from>
    <xdr:to>
      <xdr:col>36</xdr:col>
      <xdr:colOff>12880</xdr:colOff>
      <xdr:row>230</xdr:row>
      <xdr:rowOff>101372</xdr:rowOff>
    </xdr:to>
    <xdr:sp macro="" textlink="">
      <xdr:nvSpPr>
        <xdr:cNvPr id="804" name="Isosceles Triangle 803">
          <a:extLst>
            <a:ext uri="{FF2B5EF4-FFF2-40B4-BE49-F238E27FC236}">
              <a16:creationId xmlns:a16="http://schemas.microsoft.com/office/drawing/2014/main" id="{9BD9DE07-96BC-49C3-A887-48666E2D7C6D}"/>
            </a:ext>
          </a:extLst>
        </xdr:cNvPr>
        <xdr:cNvSpPr/>
      </xdr:nvSpPr>
      <xdr:spPr>
        <a:xfrm rot="16200000">
          <a:off x="25581280" y="19928315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227</xdr:row>
      <xdr:rowOff>112082</xdr:rowOff>
    </xdr:from>
    <xdr:to>
      <xdr:col>36</xdr:col>
      <xdr:colOff>14091</xdr:colOff>
      <xdr:row>228</xdr:row>
      <xdr:rowOff>122741</xdr:rowOff>
    </xdr:to>
    <xdr:sp macro="" textlink="">
      <xdr:nvSpPr>
        <xdr:cNvPr id="805" name="Isosceles Triangle 804">
          <a:extLst>
            <a:ext uri="{FF2B5EF4-FFF2-40B4-BE49-F238E27FC236}">
              <a16:creationId xmlns:a16="http://schemas.microsoft.com/office/drawing/2014/main" id="{8C2CD3CC-0702-4DCC-A2BA-E02A51DFC00A}"/>
            </a:ext>
          </a:extLst>
        </xdr:cNvPr>
        <xdr:cNvSpPr/>
      </xdr:nvSpPr>
      <xdr:spPr>
        <a:xfrm rot="16200000">
          <a:off x="25582491" y="19579267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220</xdr:row>
      <xdr:rowOff>83054</xdr:rowOff>
    </xdr:from>
    <xdr:to>
      <xdr:col>36</xdr:col>
      <xdr:colOff>15299</xdr:colOff>
      <xdr:row>221</xdr:row>
      <xdr:rowOff>93713</xdr:rowOff>
    </xdr:to>
    <xdr:sp macro="" textlink="">
      <xdr:nvSpPr>
        <xdr:cNvPr id="806" name="Isosceles Triangle 805">
          <a:extLst>
            <a:ext uri="{FF2B5EF4-FFF2-40B4-BE49-F238E27FC236}">
              <a16:creationId xmlns:a16="http://schemas.microsoft.com/office/drawing/2014/main" id="{7805669D-70B0-4AD0-B54E-E40B0C7D61CB}"/>
            </a:ext>
          </a:extLst>
        </xdr:cNvPr>
        <xdr:cNvSpPr/>
      </xdr:nvSpPr>
      <xdr:spPr>
        <a:xfrm rot="16200000">
          <a:off x="25583699" y="18253781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333247</xdr:colOff>
      <xdr:row>204</xdr:row>
      <xdr:rowOff>134612</xdr:rowOff>
    </xdr:from>
    <xdr:to>
      <xdr:col>36</xdr:col>
      <xdr:colOff>217527</xdr:colOff>
      <xdr:row>207</xdr:row>
      <xdr:rowOff>42193</xdr:rowOff>
    </xdr:to>
    <xdr:sp macro="" textlink="">
      <xdr:nvSpPr>
        <xdr:cNvPr id="807" name="Oval 806">
          <a:extLst>
            <a:ext uri="{FF2B5EF4-FFF2-40B4-BE49-F238E27FC236}">
              <a16:creationId xmlns:a16="http://schemas.microsoft.com/office/drawing/2014/main" id="{A6488100-B403-4384-9671-B17F3AC36C44}"/>
            </a:ext>
          </a:extLst>
        </xdr:cNvPr>
        <xdr:cNvSpPr/>
      </xdr:nvSpPr>
      <xdr:spPr>
        <a:xfrm>
          <a:off x="25521580" y="15321695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323206</xdr:colOff>
      <xdr:row>213</xdr:row>
      <xdr:rowOff>139338</xdr:rowOff>
    </xdr:from>
    <xdr:to>
      <xdr:col>36</xdr:col>
      <xdr:colOff>207486</xdr:colOff>
      <xdr:row>216</xdr:row>
      <xdr:rowOff>46919</xdr:rowOff>
    </xdr:to>
    <xdr:sp macro="" textlink="">
      <xdr:nvSpPr>
        <xdr:cNvPr id="808" name="Oval 807">
          <a:extLst>
            <a:ext uri="{FF2B5EF4-FFF2-40B4-BE49-F238E27FC236}">
              <a16:creationId xmlns:a16="http://schemas.microsoft.com/office/drawing/2014/main" id="{6F93A901-F613-4A7C-97DD-6480A91371C4}"/>
            </a:ext>
          </a:extLst>
        </xdr:cNvPr>
        <xdr:cNvSpPr/>
      </xdr:nvSpPr>
      <xdr:spPr>
        <a:xfrm>
          <a:off x="25511539" y="16993296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327932</xdr:colOff>
      <xdr:row>222</xdr:row>
      <xdr:rowOff>129296</xdr:rowOff>
    </xdr:from>
    <xdr:to>
      <xdr:col>36</xdr:col>
      <xdr:colOff>212212</xdr:colOff>
      <xdr:row>225</xdr:row>
      <xdr:rowOff>36877</xdr:rowOff>
    </xdr:to>
    <xdr:sp macro="" textlink="">
      <xdr:nvSpPr>
        <xdr:cNvPr id="809" name="Oval 808">
          <a:extLst>
            <a:ext uri="{FF2B5EF4-FFF2-40B4-BE49-F238E27FC236}">
              <a16:creationId xmlns:a16="http://schemas.microsoft.com/office/drawing/2014/main" id="{81D9D21D-3626-49B8-BE53-27D805ACE728}"/>
            </a:ext>
          </a:extLst>
        </xdr:cNvPr>
        <xdr:cNvSpPr/>
      </xdr:nvSpPr>
      <xdr:spPr>
        <a:xfrm>
          <a:off x="25516265" y="18650129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18</xdr:col>
      <xdr:colOff>481377</xdr:colOff>
      <xdr:row>242</xdr:row>
      <xdr:rowOff>82043</xdr:rowOff>
    </xdr:from>
    <xdr:to>
      <xdr:col>19</xdr:col>
      <xdr:colOff>68635</xdr:colOff>
      <xdr:row>243</xdr:row>
      <xdr:rowOff>59817</xdr:rowOff>
    </xdr:to>
    <xdr:sp macro="" textlink="">
      <xdr:nvSpPr>
        <xdr:cNvPr id="810" name="Oval 809">
          <a:extLst>
            <a:ext uri="{FF2B5EF4-FFF2-40B4-BE49-F238E27FC236}">
              <a16:creationId xmlns:a16="http://schemas.microsoft.com/office/drawing/2014/main" id="{ACFBE77C-91CE-4142-AA0C-98ADA2EAA0ED}"/>
            </a:ext>
          </a:extLst>
        </xdr:cNvPr>
        <xdr:cNvSpPr/>
      </xdr:nvSpPr>
      <xdr:spPr>
        <a:xfrm>
          <a:off x="15959502" y="22307043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238</xdr:row>
      <xdr:rowOff>13510</xdr:rowOff>
    </xdr:from>
    <xdr:to>
      <xdr:col>24</xdr:col>
      <xdr:colOff>0</xdr:colOff>
      <xdr:row>242</xdr:row>
      <xdr:rowOff>121595</xdr:rowOff>
    </xdr:to>
    <xdr:cxnSp macro="">
      <xdr:nvCxnSpPr>
        <xdr:cNvPr id="811" name="Elbow Connector 59">
          <a:extLst>
            <a:ext uri="{FF2B5EF4-FFF2-40B4-BE49-F238E27FC236}">
              <a16:creationId xmlns:a16="http://schemas.microsoft.com/office/drawing/2014/main" id="{25B4C248-A633-426E-8390-C57C9ED0EF2D}"/>
            </a:ext>
          </a:extLst>
        </xdr:cNvPr>
        <xdr:cNvCxnSpPr>
          <a:cxnSpLocks/>
        </xdr:cNvCxnSpPr>
      </xdr:nvCxnSpPr>
      <xdr:spPr>
        <a:xfrm flipV="1">
          <a:off x="16033750" y="21497677"/>
          <a:ext cx="2778125" cy="848918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243</xdr:row>
      <xdr:rowOff>67823</xdr:rowOff>
    </xdr:from>
    <xdr:to>
      <xdr:col>24</xdr:col>
      <xdr:colOff>21585</xdr:colOff>
      <xdr:row>247</xdr:row>
      <xdr:rowOff>13511</xdr:rowOff>
    </xdr:to>
    <xdr:cxnSp macro="">
      <xdr:nvCxnSpPr>
        <xdr:cNvPr id="812" name="Elbow Connector 61">
          <a:extLst>
            <a:ext uri="{FF2B5EF4-FFF2-40B4-BE49-F238E27FC236}">
              <a16:creationId xmlns:a16="http://schemas.microsoft.com/office/drawing/2014/main" id="{E8236315-09E2-4364-968E-E79E6F3CCF1A}"/>
            </a:ext>
          </a:extLst>
        </xdr:cNvPr>
        <xdr:cNvCxnSpPr/>
      </xdr:nvCxnSpPr>
      <xdr:spPr>
        <a:xfrm>
          <a:off x="16049256" y="22478031"/>
          <a:ext cx="2784204" cy="686522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242</xdr:row>
      <xdr:rowOff>82043</xdr:rowOff>
    </xdr:from>
    <xdr:to>
      <xdr:col>19</xdr:col>
      <xdr:colOff>68635</xdr:colOff>
      <xdr:row>243</xdr:row>
      <xdr:rowOff>59817</xdr:rowOff>
    </xdr:to>
    <xdr:sp macro="" textlink="">
      <xdr:nvSpPr>
        <xdr:cNvPr id="813" name="Oval 812">
          <a:extLst>
            <a:ext uri="{FF2B5EF4-FFF2-40B4-BE49-F238E27FC236}">
              <a16:creationId xmlns:a16="http://schemas.microsoft.com/office/drawing/2014/main" id="{DE40A471-7788-4160-A793-8F33AC752C5E}"/>
            </a:ext>
          </a:extLst>
        </xdr:cNvPr>
        <xdr:cNvSpPr/>
      </xdr:nvSpPr>
      <xdr:spPr>
        <a:xfrm>
          <a:off x="15959502" y="22307043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501536</xdr:colOff>
      <xdr:row>237</xdr:row>
      <xdr:rowOff>112280</xdr:rowOff>
    </xdr:from>
    <xdr:to>
      <xdr:col>24</xdr:col>
      <xdr:colOff>88794</xdr:colOff>
      <xdr:row>238</xdr:row>
      <xdr:rowOff>90055</xdr:rowOff>
    </xdr:to>
    <xdr:sp macro="" textlink="">
      <xdr:nvSpPr>
        <xdr:cNvPr id="814" name="Oval 813">
          <a:extLst>
            <a:ext uri="{FF2B5EF4-FFF2-40B4-BE49-F238E27FC236}">
              <a16:creationId xmlns:a16="http://schemas.microsoft.com/office/drawing/2014/main" id="{292E372F-2F8F-4BF7-A03D-762DD566CAF4}"/>
            </a:ext>
          </a:extLst>
        </xdr:cNvPr>
        <xdr:cNvSpPr/>
      </xdr:nvSpPr>
      <xdr:spPr>
        <a:xfrm>
          <a:off x="18757786" y="21411238"/>
          <a:ext cx="142883" cy="16298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534205</xdr:colOff>
      <xdr:row>235</xdr:row>
      <xdr:rowOff>161644</xdr:rowOff>
    </xdr:from>
    <xdr:to>
      <xdr:col>30</xdr:col>
      <xdr:colOff>481377</xdr:colOff>
      <xdr:row>237</xdr:row>
      <xdr:rowOff>120952</xdr:rowOff>
    </xdr:to>
    <xdr:cxnSp macro="">
      <xdr:nvCxnSpPr>
        <xdr:cNvPr id="815" name="Elbow Connector 59">
          <a:extLst>
            <a:ext uri="{FF2B5EF4-FFF2-40B4-BE49-F238E27FC236}">
              <a16:creationId xmlns:a16="http://schemas.microsoft.com/office/drawing/2014/main" id="{646B2CA8-5839-4CDE-A989-C0AF64259AFB}"/>
            </a:ext>
          </a:extLst>
        </xdr:cNvPr>
        <xdr:cNvCxnSpPr>
          <a:cxnSpLocks/>
          <a:endCxn id="827" idx="2"/>
        </xdr:cNvCxnSpPr>
      </xdr:nvCxnSpPr>
      <xdr:spPr>
        <a:xfrm flipV="1">
          <a:off x="18790455" y="21090186"/>
          <a:ext cx="4101130" cy="329724"/>
        </a:xfrm>
        <a:prstGeom prst="bentConnector3">
          <a:avLst>
            <a:gd name="adj1" fmla="val 495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238</xdr:row>
      <xdr:rowOff>67823</xdr:rowOff>
    </xdr:from>
    <xdr:to>
      <xdr:col>36</xdr:col>
      <xdr:colOff>0</xdr:colOff>
      <xdr:row>239</xdr:row>
      <xdr:rowOff>171349</xdr:rowOff>
    </xdr:to>
    <xdr:cxnSp macro="">
      <xdr:nvCxnSpPr>
        <xdr:cNvPr id="816" name="Elbow Connector 61">
          <a:extLst>
            <a:ext uri="{FF2B5EF4-FFF2-40B4-BE49-F238E27FC236}">
              <a16:creationId xmlns:a16="http://schemas.microsoft.com/office/drawing/2014/main" id="{86635FD8-69C5-4529-B04C-230C3AD1C1D2}"/>
            </a:ext>
          </a:extLst>
        </xdr:cNvPr>
        <xdr:cNvCxnSpPr/>
      </xdr:nvCxnSpPr>
      <xdr:spPr>
        <a:xfrm>
          <a:off x="18819637" y="21551990"/>
          <a:ext cx="6924321" cy="288734"/>
        </a:xfrm>
        <a:prstGeom prst="bentConnector3">
          <a:avLst>
            <a:gd name="adj1" fmla="val -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246</xdr:row>
      <xdr:rowOff>82043</xdr:rowOff>
    </xdr:from>
    <xdr:to>
      <xdr:col>24</xdr:col>
      <xdr:colOff>68635</xdr:colOff>
      <xdr:row>247</xdr:row>
      <xdr:rowOff>59817</xdr:rowOff>
    </xdr:to>
    <xdr:sp macro="" textlink="">
      <xdr:nvSpPr>
        <xdr:cNvPr id="817" name="Oval 816">
          <a:extLst>
            <a:ext uri="{FF2B5EF4-FFF2-40B4-BE49-F238E27FC236}">
              <a16:creationId xmlns:a16="http://schemas.microsoft.com/office/drawing/2014/main" id="{4B8E88A0-5E71-488F-B9B7-E27BA83EF27D}"/>
            </a:ext>
          </a:extLst>
        </xdr:cNvPr>
        <xdr:cNvSpPr/>
      </xdr:nvSpPr>
      <xdr:spPr>
        <a:xfrm>
          <a:off x="18737627" y="2304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246</xdr:row>
      <xdr:rowOff>82043</xdr:rowOff>
    </xdr:from>
    <xdr:to>
      <xdr:col>24</xdr:col>
      <xdr:colOff>68635</xdr:colOff>
      <xdr:row>247</xdr:row>
      <xdr:rowOff>59817</xdr:rowOff>
    </xdr:to>
    <xdr:sp macro="" textlink="">
      <xdr:nvSpPr>
        <xdr:cNvPr id="818" name="Oval 817">
          <a:extLst>
            <a:ext uri="{FF2B5EF4-FFF2-40B4-BE49-F238E27FC236}">
              <a16:creationId xmlns:a16="http://schemas.microsoft.com/office/drawing/2014/main" id="{4DE0C77E-7F46-44CD-BC52-4D6649095A3D}"/>
            </a:ext>
          </a:extLst>
        </xdr:cNvPr>
        <xdr:cNvSpPr/>
      </xdr:nvSpPr>
      <xdr:spPr>
        <a:xfrm>
          <a:off x="18737627" y="2304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246</xdr:row>
      <xdr:rowOff>82043</xdr:rowOff>
    </xdr:from>
    <xdr:to>
      <xdr:col>24</xdr:col>
      <xdr:colOff>68635</xdr:colOff>
      <xdr:row>247</xdr:row>
      <xdr:rowOff>59817</xdr:rowOff>
    </xdr:to>
    <xdr:sp macro="" textlink="">
      <xdr:nvSpPr>
        <xdr:cNvPr id="819" name="Oval 818">
          <a:extLst>
            <a:ext uri="{FF2B5EF4-FFF2-40B4-BE49-F238E27FC236}">
              <a16:creationId xmlns:a16="http://schemas.microsoft.com/office/drawing/2014/main" id="{D8807F6A-AD6A-4A79-9B3B-A3A938F22412}"/>
            </a:ext>
          </a:extLst>
        </xdr:cNvPr>
        <xdr:cNvSpPr/>
      </xdr:nvSpPr>
      <xdr:spPr>
        <a:xfrm>
          <a:off x="18737627" y="2304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246</xdr:row>
      <xdr:rowOff>82043</xdr:rowOff>
    </xdr:from>
    <xdr:to>
      <xdr:col>24</xdr:col>
      <xdr:colOff>68635</xdr:colOff>
      <xdr:row>247</xdr:row>
      <xdr:rowOff>59817</xdr:rowOff>
    </xdr:to>
    <xdr:sp macro="" textlink="">
      <xdr:nvSpPr>
        <xdr:cNvPr id="820" name="Oval 819">
          <a:extLst>
            <a:ext uri="{FF2B5EF4-FFF2-40B4-BE49-F238E27FC236}">
              <a16:creationId xmlns:a16="http://schemas.microsoft.com/office/drawing/2014/main" id="{1C98BD5B-9D3F-4976-8F4A-52AF59A28B7E}"/>
            </a:ext>
          </a:extLst>
        </xdr:cNvPr>
        <xdr:cNvSpPr/>
      </xdr:nvSpPr>
      <xdr:spPr>
        <a:xfrm>
          <a:off x="18737627" y="2304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245</xdr:row>
      <xdr:rowOff>13512</xdr:rowOff>
    </xdr:from>
    <xdr:to>
      <xdr:col>30</xdr:col>
      <xdr:colOff>513404</xdr:colOff>
      <xdr:row>246</xdr:row>
      <xdr:rowOff>82044</xdr:rowOff>
    </xdr:to>
    <xdr:cxnSp macro="">
      <xdr:nvCxnSpPr>
        <xdr:cNvPr id="821" name="Elbow Connector 59">
          <a:extLst>
            <a:ext uri="{FF2B5EF4-FFF2-40B4-BE49-F238E27FC236}">
              <a16:creationId xmlns:a16="http://schemas.microsoft.com/office/drawing/2014/main" id="{C06A8380-7D8F-4264-B55D-95595079E0F6}"/>
            </a:ext>
          </a:extLst>
        </xdr:cNvPr>
        <xdr:cNvCxnSpPr>
          <a:cxnSpLocks/>
          <a:stCxn id="820" idx="0"/>
        </xdr:cNvCxnSpPr>
      </xdr:nvCxnSpPr>
      <xdr:spPr>
        <a:xfrm rot="5400000" flipH="1" flipV="1">
          <a:off x="20739048" y="20863313"/>
          <a:ext cx="253740" cy="4115388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235</xdr:row>
      <xdr:rowOff>82043</xdr:rowOff>
    </xdr:from>
    <xdr:to>
      <xdr:col>31</xdr:col>
      <xdr:colOff>68635</xdr:colOff>
      <xdr:row>236</xdr:row>
      <xdr:rowOff>59817</xdr:rowOff>
    </xdr:to>
    <xdr:sp macro="" textlink="">
      <xdr:nvSpPr>
        <xdr:cNvPr id="822" name="Oval 821">
          <a:extLst>
            <a:ext uri="{FF2B5EF4-FFF2-40B4-BE49-F238E27FC236}">
              <a16:creationId xmlns:a16="http://schemas.microsoft.com/office/drawing/2014/main" id="{B8E6FAEB-E6D6-4FF0-89A5-6B422EB85452}"/>
            </a:ext>
          </a:extLst>
        </xdr:cNvPr>
        <xdr:cNvSpPr/>
      </xdr:nvSpPr>
      <xdr:spPr>
        <a:xfrm>
          <a:off x="22891585" y="210105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233</xdr:row>
      <xdr:rowOff>168388</xdr:rowOff>
    </xdr:from>
    <xdr:to>
      <xdr:col>36</xdr:col>
      <xdr:colOff>27021</xdr:colOff>
      <xdr:row>236</xdr:row>
      <xdr:rowOff>90619</xdr:rowOff>
    </xdr:to>
    <xdr:cxnSp macro="">
      <xdr:nvCxnSpPr>
        <xdr:cNvPr id="823" name="Elbow Connector 59">
          <a:extLst>
            <a:ext uri="{FF2B5EF4-FFF2-40B4-BE49-F238E27FC236}">
              <a16:creationId xmlns:a16="http://schemas.microsoft.com/office/drawing/2014/main" id="{A310FE9C-9BE1-4530-842E-25CCE5958784}"/>
            </a:ext>
          </a:extLst>
        </xdr:cNvPr>
        <xdr:cNvCxnSpPr>
          <a:cxnSpLocks/>
        </xdr:cNvCxnSpPr>
      </xdr:nvCxnSpPr>
      <xdr:spPr>
        <a:xfrm flipV="1">
          <a:off x="22965833" y="20726513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235</xdr:row>
      <xdr:rowOff>67823</xdr:rowOff>
    </xdr:from>
    <xdr:to>
      <xdr:col>36</xdr:col>
      <xdr:colOff>290</xdr:colOff>
      <xdr:row>238</xdr:row>
      <xdr:rowOff>13511</xdr:rowOff>
    </xdr:to>
    <xdr:cxnSp macro="">
      <xdr:nvCxnSpPr>
        <xdr:cNvPr id="824" name="Elbow Connector 61">
          <a:extLst>
            <a:ext uri="{FF2B5EF4-FFF2-40B4-BE49-F238E27FC236}">
              <a16:creationId xmlns:a16="http://schemas.microsoft.com/office/drawing/2014/main" id="{C5DB84D5-F404-4FCE-B37E-8A49C702F6F5}"/>
            </a:ext>
          </a:extLst>
        </xdr:cNvPr>
        <xdr:cNvCxnSpPr/>
      </xdr:nvCxnSpPr>
      <xdr:spPr>
        <a:xfrm>
          <a:off x="22960044" y="20996365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235</xdr:row>
      <xdr:rowOff>82043</xdr:rowOff>
    </xdr:from>
    <xdr:to>
      <xdr:col>31</xdr:col>
      <xdr:colOff>68635</xdr:colOff>
      <xdr:row>236</xdr:row>
      <xdr:rowOff>59817</xdr:rowOff>
    </xdr:to>
    <xdr:sp macro="" textlink="">
      <xdr:nvSpPr>
        <xdr:cNvPr id="825" name="Oval 824">
          <a:extLst>
            <a:ext uri="{FF2B5EF4-FFF2-40B4-BE49-F238E27FC236}">
              <a16:creationId xmlns:a16="http://schemas.microsoft.com/office/drawing/2014/main" id="{AEC63A85-F39C-429B-8D13-6283AA872FCB}"/>
            </a:ext>
          </a:extLst>
        </xdr:cNvPr>
        <xdr:cNvSpPr/>
      </xdr:nvSpPr>
      <xdr:spPr>
        <a:xfrm>
          <a:off x="22891585" y="210105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235</xdr:row>
      <xdr:rowOff>82043</xdr:rowOff>
    </xdr:from>
    <xdr:to>
      <xdr:col>31</xdr:col>
      <xdr:colOff>68635</xdr:colOff>
      <xdr:row>236</xdr:row>
      <xdr:rowOff>59817</xdr:rowOff>
    </xdr:to>
    <xdr:sp macro="" textlink="">
      <xdr:nvSpPr>
        <xdr:cNvPr id="826" name="Oval 825">
          <a:extLst>
            <a:ext uri="{FF2B5EF4-FFF2-40B4-BE49-F238E27FC236}">
              <a16:creationId xmlns:a16="http://schemas.microsoft.com/office/drawing/2014/main" id="{AE42F2A2-7387-4B5B-96ED-FBE16CF4296C}"/>
            </a:ext>
          </a:extLst>
        </xdr:cNvPr>
        <xdr:cNvSpPr/>
      </xdr:nvSpPr>
      <xdr:spPr>
        <a:xfrm>
          <a:off x="22891585" y="210105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235</xdr:row>
      <xdr:rowOff>82043</xdr:rowOff>
    </xdr:from>
    <xdr:to>
      <xdr:col>31</xdr:col>
      <xdr:colOff>68635</xdr:colOff>
      <xdr:row>236</xdr:row>
      <xdr:rowOff>59817</xdr:rowOff>
    </xdr:to>
    <xdr:sp macro="" textlink="">
      <xdr:nvSpPr>
        <xdr:cNvPr id="827" name="Oval 826">
          <a:extLst>
            <a:ext uri="{FF2B5EF4-FFF2-40B4-BE49-F238E27FC236}">
              <a16:creationId xmlns:a16="http://schemas.microsoft.com/office/drawing/2014/main" id="{8D7D22E2-A4A7-4536-88FE-7D2D5532A684}"/>
            </a:ext>
          </a:extLst>
        </xdr:cNvPr>
        <xdr:cNvSpPr/>
      </xdr:nvSpPr>
      <xdr:spPr>
        <a:xfrm>
          <a:off x="22891585" y="210105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233</xdr:row>
      <xdr:rowOff>48117</xdr:rowOff>
    </xdr:from>
    <xdr:to>
      <xdr:col>36</xdr:col>
      <xdr:colOff>100793</xdr:colOff>
      <xdr:row>234</xdr:row>
      <xdr:rowOff>120953</xdr:rowOff>
    </xdr:to>
    <xdr:sp macro="" textlink="">
      <xdr:nvSpPr>
        <xdr:cNvPr id="828" name="Oval 827">
          <a:extLst>
            <a:ext uri="{FF2B5EF4-FFF2-40B4-BE49-F238E27FC236}">
              <a16:creationId xmlns:a16="http://schemas.microsoft.com/office/drawing/2014/main" id="{34A2D079-44F4-4108-ACBE-EB70BBE86425}"/>
            </a:ext>
          </a:extLst>
        </xdr:cNvPr>
        <xdr:cNvSpPr/>
      </xdr:nvSpPr>
      <xdr:spPr>
        <a:xfrm>
          <a:off x="25599402" y="20606242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237</xdr:row>
      <xdr:rowOff>112082</xdr:rowOff>
    </xdr:from>
    <xdr:to>
      <xdr:col>36</xdr:col>
      <xdr:colOff>14091</xdr:colOff>
      <xdr:row>238</xdr:row>
      <xdr:rowOff>122741</xdr:rowOff>
    </xdr:to>
    <xdr:sp macro="" textlink="">
      <xdr:nvSpPr>
        <xdr:cNvPr id="829" name="Isosceles Triangle 828">
          <a:extLst>
            <a:ext uri="{FF2B5EF4-FFF2-40B4-BE49-F238E27FC236}">
              <a16:creationId xmlns:a16="http://schemas.microsoft.com/office/drawing/2014/main" id="{93AF2232-16F1-4EE3-ABCA-103880E2B26C}"/>
            </a:ext>
          </a:extLst>
        </xdr:cNvPr>
        <xdr:cNvSpPr/>
      </xdr:nvSpPr>
      <xdr:spPr>
        <a:xfrm rot="16200000">
          <a:off x="25582491" y="21431350"/>
          <a:ext cx="195868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247</xdr:row>
      <xdr:rowOff>57743</xdr:rowOff>
    </xdr:from>
    <xdr:to>
      <xdr:col>36</xdr:col>
      <xdr:colOff>10080</xdr:colOff>
      <xdr:row>248</xdr:row>
      <xdr:rowOff>161270</xdr:rowOff>
    </xdr:to>
    <xdr:cxnSp macro="">
      <xdr:nvCxnSpPr>
        <xdr:cNvPr id="830" name="Elbow Connector 61">
          <a:extLst>
            <a:ext uri="{FF2B5EF4-FFF2-40B4-BE49-F238E27FC236}">
              <a16:creationId xmlns:a16="http://schemas.microsoft.com/office/drawing/2014/main" id="{094E0100-1CB1-4880-839D-1E50A2DE886F}"/>
            </a:ext>
          </a:extLst>
        </xdr:cNvPr>
        <xdr:cNvCxnSpPr/>
      </xdr:nvCxnSpPr>
      <xdr:spPr>
        <a:xfrm>
          <a:off x="18829717" y="23208785"/>
          <a:ext cx="6924321" cy="288735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244</xdr:row>
      <xdr:rowOff>82043</xdr:rowOff>
    </xdr:from>
    <xdr:to>
      <xdr:col>31</xdr:col>
      <xdr:colOff>68635</xdr:colOff>
      <xdr:row>245</xdr:row>
      <xdr:rowOff>59817</xdr:rowOff>
    </xdr:to>
    <xdr:sp macro="" textlink="">
      <xdr:nvSpPr>
        <xdr:cNvPr id="831" name="Oval 830">
          <a:extLst>
            <a:ext uri="{FF2B5EF4-FFF2-40B4-BE49-F238E27FC236}">
              <a16:creationId xmlns:a16="http://schemas.microsoft.com/office/drawing/2014/main" id="{FDD7E9BF-5929-408E-B60C-F792C4E5D247}"/>
            </a:ext>
          </a:extLst>
        </xdr:cNvPr>
        <xdr:cNvSpPr/>
      </xdr:nvSpPr>
      <xdr:spPr>
        <a:xfrm>
          <a:off x="22891585" y="22677460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242</xdr:row>
      <xdr:rowOff>168388</xdr:rowOff>
    </xdr:from>
    <xdr:to>
      <xdr:col>36</xdr:col>
      <xdr:colOff>27021</xdr:colOff>
      <xdr:row>245</xdr:row>
      <xdr:rowOff>90619</xdr:rowOff>
    </xdr:to>
    <xdr:cxnSp macro="">
      <xdr:nvCxnSpPr>
        <xdr:cNvPr id="832" name="Elbow Connector 59">
          <a:extLst>
            <a:ext uri="{FF2B5EF4-FFF2-40B4-BE49-F238E27FC236}">
              <a16:creationId xmlns:a16="http://schemas.microsoft.com/office/drawing/2014/main" id="{99515B5C-263B-4B74-BF94-C34B7CA14E76}"/>
            </a:ext>
          </a:extLst>
        </xdr:cNvPr>
        <xdr:cNvCxnSpPr>
          <a:cxnSpLocks/>
        </xdr:cNvCxnSpPr>
      </xdr:nvCxnSpPr>
      <xdr:spPr>
        <a:xfrm flipV="1">
          <a:off x="22965833" y="22393388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244</xdr:row>
      <xdr:rowOff>67823</xdr:rowOff>
    </xdr:from>
    <xdr:to>
      <xdr:col>35</xdr:col>
      <xdr:colOff>555915</xdr:colOff>
      <xdr:row>247</xdr:row>
      <xdr:rowOff>13511</xdr:rowOff>
    </xdr:to>
    <xdr:cxnSp macro="">
      <xdr:nvCxnSpPr>
        <xdr:cNvPr id="833" name="Elbow Connector 61">
          <a:extLst>
            <a:ext uri="{FF2B5EF4-FFF2-40B4-BE49-F238E27FC236}">
              <a16:creationId xmlns:a16="http://schemas.microsoft.com/office/drawing/2014/main" id="{3BE51348-291F-4298-B198-4B7EF24C1908}"/>
            </a:ext>
          </a:extLst>
        </xdr:cNvPr>
        <xdr:cNvCxnSpPr/>
      </xdr:nvCxnSpPr>
      <xdr:spPr>
        <a:xfrm>
          <a:off x="22960044" y="22663240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244</xdr:row>
      <xdr:rowOff>82043</xdr:rowOff>
    </xdr:from>
    <xdr:to>
      <xdr:col>31</xdr:col>
      <xdr:colOff>68635</xdr:colOff>
      <xdr:row>245</xdr:row>
      <xdr:rowOff>59817</xdr:rowOff>
    </xdr:to>
    <xdr:sp macro="" textlink="">
      <xdr:nvSpPr>
        <xdr:cNvPr id="834" name="Oval 833">
          <a:extLst>
            <a:ext uri="{FF2B5EF4-FFF2-40B4-BE49-F238E27FC236}">
              <a16:creationId xmlns:a16="http://schemas.microsoft.com/office/drawing/2014/main" id="{6AB79A2E-810C-419C-B887-975B13521A69}"/>
            </a:ext>
          </a:extLst>
        </xdr:cNvPr>
        <xdr:cNvSpPr/>
      </xdr:nvSpPr>
      <xdr:spPr>
        <a:xfrm>
          <a:off x="22891585" y="22677460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244</xdr:row>
      <xdr:rowOff>82043</xdr:rowOff>
    </xdr:from>
    <xdr:to>
      <xdr:col>31</xdr:col>
      <xdr:colOff>68635</xdr:colOff>
      <xdr:row>245</xdr:row>
      <xdr:rowOff>59817</xdr:rowOff>
    </xdr:to>
    <xdr:sp macro="" textlink="">
      <xdr:nvSpPr>
        <xdr:cNvPr id="835" name="Oval 834">
          <a:extLst>
            <a:ext uri="{FF2B5EF4-FFF2-40B4-BE49-F238E27FC236}">
              <a16:creationId xmlns:a16="http://schemas.microsoft.com/office/drawing/2014/main" id="{78078E20-18E5-4368-92C8-C3357134013B}"/>
            </a:ext>
          </a:extLst>
        </xdr:cNvPr>
        <xdr:cNvSpPr/>
      </xdr:nvSpPr>
      <xdr:spPr>
        <a:xfrm>
          <a:off x="22891585" y="22677460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244</xdr:row>
      <xdr:rowOff>82043</xdr:rowOff>
    </xdr:from>
    <xdr:to>
      <xdr:col>31</xdr:col>
      <xdr:colOff>68635</xdr:colOff>
      <xdr:row>245</xdr:row>
      <xdr:rowOff>59817</xdr:rowOff>
    </xdr:to>
    <xdr:sp macro="" textlink="">
      <xdr:nvSpPr>
        <xdr:cNvPr id="836" name="Oval 835">
          <a:extLst>
            <a:ext uri="{FF2B5EF4-FFF2-40B4-BE49-F238E27FC236}">
              <a16:creationId xmlns:a16="http://schemas.microsoft.com/office/drawing/2014/main" id="{77D3BC3E-7287-4A73-9C03-371DAD718D12}"/>
            </a:ext>
          </a:extLst>
        </xdr:cNvPr>
        <xdr:cNvSpPr/>
      </xdr:nvSpPr>
      <xdr:spPr>
        <a:xfrm>
          <a:off x="22891585" y="22677460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242</xdr:row>
      <xdr:rowOff>48117</xdr:rowOff>
    </xdr:from>
    <xdr:to>
      <xdr:col>36</xdr:col>
      <xdr:colOff>100793</xdr:colOff>
      <xdr:row>243</xdr:row>
      <xdr:rowOff>120953</xdr:rowOff>
    </xdr:to>
    <xdr:sp macro="" textlink="">
      <xdr:nvSpPr>
        <xdr:cNvPr id="837" name="Oval 836">
          <a:extLst>
            <a:ext uri="{FF2B5EF4-FFF2-40B4-BE49-F238E27FC236}">
              <a16:creationId xmlns:a16="http://schemas.microsoft.com/office/drawing/2014/main" id="{1EADB29D-82E9-41BF-A7C2-FCB52146EEE4}"/>
            </a:ext>
          </a:extLst>
        </xdr:cNvPr>
        <xdr:cNvSpPr/>
      </xdr:nvSpPr>
      <xdr:spPr>
        <a:xfrm>
          <a:off x="25599402" y="22273117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248</xdr:row>
      <xdr:rowOff>90713</xdr:rowOff>
    </xdr:from>
    <xdr:to>
      <xdr:col>36</xdr:col>
      <xdr:colOff>12880</xdr:colOff>
      <xdr:row>249</xdr:row>
      <xdr:rowOff>101372</xdr:rowOff>
    </xdr:to>
    <xdr:sp macro="" textlink="">
      <xdr:nvSpPr>
        <xdr:cNvPr id="838" name="Isosceles Triangle 837">
          <a:extLst>
            <a:ext uri="{FF2B5EF4-FFF2-40B4-BE49-F238E27FC236}">
              <a16:creationId xmlns:a16="http://schemas.microsoft.com/office/drawing/2014/main" id="{25EA26E7-1E57-4D87-BA37-14052F14AEFB}"/>
            </a:ext>
          </a:extLst>
        </xdr:cNvPr>
        <xdr:cNvSpPr/>
      </xdr:nvSpPr>
      <xdr:spPr>
        <a:xfrm rot="16200000">
          <a:off x="25581280" y="23447273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246</xdr:row>
      <xdr:rowOff>112082</xdr:rowOff>
    </xdr:from>
    <xdr:to>
      <xdr:col>36</xdr:col>
      <xdr:colOff>14091</xdr:colOff>
      <xdr:row>247</xdr:row>
      <xdr:rowOff>122741</xdr:rowOff>
    </xdr:to>
    <xdr:sp macro="" textlink="">
      <xdr:nvSpPr>
        <xdr:cNvPr id="839" name="Isosceles Triangle 838">
          <a:extLst>
            <a:ext uri="{FF2B5EF4-FFF2-40B4-BE49-F238E27FC236}">
              <a16:creationId xmlns:a16="http://schemas.microsoft.com/office/drawing/2014/main" id="{152C5E50-79B7-43E8-8ED9-01B9980CB734}"/>
            </a:ext>
          </a:extLst>
        </xdr:cNvPr>
        <xdr:cNvSpPr/>
      </xdr:nvSpPr>
      <xdr:spPr>
        <a:xfrm rot="16200000">
          <a:off x="25582491" y="23098225"/>
          <a:ext cx="195868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239</xdr:row>
      <xdr:rowOff>83054</xdr:rowOff>
    </xdr:from>
    <xdr:to>
      <xdr:col>36</xdr:col>
      <xdr:colOff>15299</xdr:colOff>
      <xdr:row>240</xdr:row>
      <xdr:rowOff>93713</xdr:rowOff>
    </xdr:to>
    <xdr:sp macro="" textlink="">
      <xdr:nvSpPr>
        <xdr:cNvPr id="840" name="Isosceles Triangle 839">
          <a:extLst>
            <a:ext uri="{FF2B5EF4-FFF2-40B4-BE49-F238E27FC236}">
              <a16:creationId xmlns:a16="http://schemas.microsoft.com/office/drawing/2014/main" id="{BF9AD42D-B272-46F3-8E32-E7C6BBA48DD2}"/>
            </a:ext>
          </a:extLst>
        </xdr:cNvPr>
        <xdr:cNvSpPr/>
      </xdr:nvSpPr>
      <xdr:spPr>
        <a:xfrm rot="16200000">
          <a:off x="25583699" y="21772739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323206</xdr:colOff>
      <xdr:row>232</xdr:row>
      <xdr:rowOff>139338</xdr:rowOff>
    </xdr:from>
    <xdr:to>
      <xdr:col>36</xdr:col>
      <xdr:colOff>207486</xdr:colOff>
      <xdr:row>235</xdr:row>
      <xdr:rowOff>46919</xdr:rowOff>
    </xdr:to>
    <xdr:sp macro="" textlink="">
      <xdr:nvSpPr>
        <xdr:cNvPr id="841" name="Oval 840">
          <a:extLst>
            <a:ext uri="{FF2B5EF4-FFF2-40B4-BE49-F238E27FC236}">
              <a16:creationId xmlns:a16="http://schemas.microsoft.com/office/drawing/2014/main" id="{529D1C05-DE57-448F-B168-6BC79FA1FC91}"/>
            </a:ext>
          </a:extLst>
        </xdr:cNvPr>
        <xdr:cNvSpPr/>
      </xdr:nvSpPr>
      <xdr:spPr>
        <a:xfrm>
          <a:off x="25511539" y="20512255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327932</xdr:colOff>
      <xdr:row>241</xdr:row>
      <xdr:rowOff>129296</xdr:rowOff>
    </xdr:from>
    <xdr:to>
      <xdr:col>36</xdr:col>
      <xdr:colOff>212212</xdr:colOff>
      <xdr:row>244</xdr:row>
      <xdr:rowOff>36877</xdr:rowOff>
    </xdr:to>
    <xdr:sp macro="" textlink="">
      <xdr:nvSpPr>
        <xdr:cNvPr id="842" name="Oval 841">
          <a:extLst>
            <a:ext uri="{FF2B5EF4-FFF2-40B4-BE49-F238E27FC236}">
              <a16:creationId xmlns:a16="http://schemas.microsoft.com/office/drawing/2014/main" id="{2C9EB075-BD1A-4F78-AB1C-D9849B16F58C}"/>
            </a:ext>
          </a:extLst>
        </xdr:cNvPr>
        <xdr:cNvSpPr/>
      </xdr:nvSpPr>
      <xdr:spPr>
        <a:xfrm>
          <a:off x="25516265" y="22169088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4</xdr:col>
      <xdr:colOff>0</xdr:colOff>
      <xdr:row>224</xdr:row>
      <xdr:rowOff>27021</xdr:rowOff>
    </xdr:from>
    <xdr:to>
      <xdr:col>13</xdr:col>
      <xdr:colOff>467432</xdr:colOff>
      <xdr:row>224</xdr:row>
      <xdr:rowOff>32595</xdr:rowOff>
    </xdr:to>
    <xdr:cxnSp macro="">
      <xdr:nvCxnSpPr>
        <xdr:cNvPr id="843" name="Straight Connector 842">
          <a:extLst>
            <a:ext uri="{FF2B5EF4-FFF2-40B4-BE49-F238E27FC236}">
              <a16:creationId xmlns:a16="http://schemas.microsoft.com/office/drawing/2014/main" id="{64AD370D-D31E-4ED1-996F-A922ED718263}"/>
            </a:ext>
          </a:extLst>
        </xdr:cNvPr>
        <xdr:cNvCxnSpPr/>
      </xdr:nvCxnSpPr>
      <xdr:spPr>
        <a:xfrm>
          <a:off x="7646458" y="18918271"/>
          <a:ext cx="5520974" cy="55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542258</xdr:colOff>
      <xdr:row>284</xdr:row>
      <xdr:rowOff>83636</xdr:rowOff>
    </xdr:from>
    <xdr:to>
      <xdr:col>18</xdr:col>
      <xdr:colOff>481376</xdr:colOff>
      <xdr:row>302</xdr:row>
      <xdr:rowOff>165505</xdr:rowOff>
    </xdr:to>
    <xdr:cxnSp macro="">
      <xdr:nvCxnSpPr>
        <xdr:cNvPr id="844" name="Elbow Connector 39">
          <a:extLst>
            <a:ext uri="{FF2B5EF4-FFF2-40B4-BE49-F238E27FC236}">
              <a16:creationId xmlns:a16="http://schemas.microsoft.com/office/drawing/2014/main" id="{3FEE1144-5045-4F0F-9C37-5E821DF3BE61}"/>
            </a:ext>
          </a:extLst>
        </xdr:cNvPr>
        <xdr:cNvCxnSpPr>
          <a:cxnSpLocks/>
          <a:stCxn id="846" idx="4"/>
          <a:endCxn id="920" idx="2"/>
        </xdr:cNvCxnSpPr>
      </xdr:nvCxnSpPr>
      <xdr:spPr>
        <a:xfrm rot="16200000" flipH="1">
          <a:off x="12893070" y="19324074"/>
          <a:ext cx="3415619" cy="2717243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100014</xdr:colOff>
      <xdr:row>283</xdr:row>
      <xdr:rowOff>183576</xdr:rowOff>
    </xdr:from>
    <xdr:to>
      <xdr:col>19</xdr:col>
      <xdr:colOff>0</xdr:colOff>
      <xdr:row>284</xdr:row>
      <xdr:rowOff>13511</xdr:rowOff>
    </xdr:to>
    <xdr:cxnSp macro="">
      <xdr:nvCxnSpPr>
        <xdr:cNvPr id="845" name="Straight Connector 844">
          <a:extLst>
            <a:ext uri="{FF2B5EF4-FFF2-40B4-BE49-F238E27FC236}">
              <a16:creationId xmlns:a16="http://schemas.microsoft.com/office/drawing/2014/main" id="{739E18CA-DDFE-436D-89D0-142714AFE95E}"/>
            </a:ext>
          </a:extLst>
        </xdr:cNvPr>
        <xdr:cNvCxnSpPr/>
      </xdr:nvCxnSpPr>
      <xdr:spPr>
        <a:xfrm>
          <a:off x="13355639" y="18889618"/>
          <a:ext cx="2678111" cy="1514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471662</xdr:colOff>
      <xdr:row>283</xdr:row>
      <xdr:rowOff>99512</xdr:rowOff>
    </xdr:from>
    <xdr:to>
      <xdr:col>14</xdr:col>
      <xdr:colOff>58920</xdr:colOff>
      <xdr:row>284</xdr:row>
      <xdr:rowOff>83636</xdr:rowOff>
    </xdr:to>
    <xdr:sp macro="" textlink="">
      <xdr:nvSpPr>
        <xdr:cNvPr id="846" name="Oval 845">
          <a:extLst>
            <a:ext uri="{FF2B5EF4-FFF2-40B4-BE49-F238E27FC236}">
              <a16:creationId xmlns:a16="http://schemas.microsoft.com/office/drawing/2014/main" id="{1DB7348D-13AF-48F5-9EB8-A3B7391031E5}"/>
            </a:ext>
          </a:extLst>
        </xdr:cNvPr>
        <xdr:cNvSpPr/>
      </xdr:nvSpPr>
      <xdr:spPr>
        <a:xfrm>
          <a:off x="13171662" y="18805554"/>
          <a:ext cx="142883" cy="16933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503680</xdr:colOff>
      <xdr:row>265</xdr:row>
      <xdr:rowOff>162127</xdr:rowOff>
    </xdr:from>
    <xdr:to>
      <xdr:col>18</xdr:col>
      <xdr:colOff>540426</xdr:colOff>
      <xdr:row>283</xdr:row>
      <xdr:rowOff>98357</xdr:rowOff>
    </xdr:to>
    <xdr:cxnSp macro="">
      <xdr:nvCxnSpPr>
        <xdr:cNvPr id="847" name="Elbow Connector 34">
          <a:extLst>
            <a:ext uri="{FF2B5EF4-FFF2-40B4-BE49-F238E27FC236}">
              <a16:creationId xmlns:a16="http://schemas.microsoft.com/office/drawing/2014/main" id="{421A3C08-60C4-487E-8EA8-D418AE1C2F95}"/>
            </a:ext>
          </a:extLst>
        </xdr:cNvPr>
        <xdr:cNvCxnSpPr/>
      </xdr:nvCxnSpPr>
      <xdr:spPr>
        <a:xfrm flipV="1">
          <a:off x="13203680" y="15534419"/>
          <a:ext cx="2814871" cy="3269980"/>
        </a:xfrm>
        <a:prstGeom prst="bentConnector3">
          <a:avLst>
            <a:gd name="adj1" fmla="val 18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265</xdr:row>
      <xdr:rowOff>82043</xdr:rowOff>
    </xdr:from>
    <xdr:to>
      <xdr:col>19</xdr:col>
      <xdr:colOff>68635</xdr:colOff>
      <xdr:row>266</xdr:row>
      <xdr:rowOff>59817</xdr:rowOff>
    </xdr:to>
    <xdr:sp macro="" textlink="">
      <xdr:nvSpPr>
        <xdr:cNvPr id="848" name="Oval 847">
          <a:extLst>
            <a:ext uri="{FF2B5EF4-FFF2-40B4-BE49-F238E27FC236}">
              <a16:creationId xmlns:a16="http://schemas.microsoft.com/office/drawing/2014/main" id="{D6F9F1C0-8CB8-4613-B538-93623FCC8519}"/>
            </a:ext>
          </a:extLst>
        </xdr:cNvPr>
        <xdr:cNvSpPr/>
      </xdr:nvSpPr>
      <xdr:spPr>
        <a:xfrm>
          <a:off x="15959502" y="1545433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261</xdr:row>
      <xdr:rowOff>13510</xdr:rowOff>
    </xdr:from>
    <xdr:to>
      <xdr:col>24</xdr:col>
      <xdr:colOff>0</xdr:colOff>
      <xdr:row>265</xdr:row>
      <xdr:rowOff>121595</xdr:rowOff>
    </xdr:to>
    <xdr:cxnSp macro="">
      <xdr:nvCxnSpPr>
        <xdr:cNvPr id="849" name="Elbow Connector 59">
          <a:extLst>
            <a:ext uri="{FF2B5EF4-FFF2-40B4-BE49-F238E27FC236}">
              <a16:creationId xmlns:a16="http://schemas.microsoft.com/office/drawing/2014/main" id="{65C34406-1CA4-47CE-9132-DE32939A9DB2}"/>
            </a:ext>
          </a:extLst>
        </xdr:cNvPr>
        <xdr:cNvCxnSpPr>
          <a:cxnSpLocks/>
        </xdr:cNvCxnSpPr>
      </xdr:nvCxnSpPr>
      <xdr:spPr>
        <a:xfrm flipV="1">
          <a:off x="16033750" y="14644968"/>
          <a:ext cx="2778125" cy="848919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266</xdr:row>
      <xdr:rowOff>67823</xdr:rowOff>
    </xdr:from>
    <xdr:to>
      <xdr:col>24</xdr:col>
      <xdr:colOff>21585</xdr:colOff>
      <xdr:row>270</xdr:row>
      <xdr:rowOff>13511</xdr:rowOff>
    </xdr:to>
    <xdr:cxnSp macro="">
      <xdr:nvCxnSpPr>
        <xdr:cNvPr id="850" name="Elbow Connector 61">
          <a:extLst>
            <a:ext uri="{FF2B5EF4-FFF2-40B4-BE49-F238E27FC236}">
              <a16:creationId xmlns:a16="http://schemas.microsoft.com/office/drawing/2014/main" id="{673FD58F-AA3F-4D2B-B33D-6D4071E61794}"/>
            </a:ext>
          </a:extLst>
        </xdr:cNvPr>
        <xdr:cNvCxnSpPr/>
      </xdr:nvCxnSpPr>
      <xdr:spPr>
        <a:xfrm>
          <a:off x="16049256" y="15625323"/>
          <a:ext cx="2784204" cy="686521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265</xdr:row>
      <xdr:rowOff>82043</xdr:rowOff>
    </xdr:from>
    <xdr:to>
      <xdr:col>19</xdr:col>
      <xdr:colOff>68635</xdr:colOff>
      <xdr:row>266</xdr:row>
      <xdr:rowOff>59817</xdr:rowOff>
    </xdr:to>
    <xdr:sp macro="" textlink="">
      <xdr:nvSpPr>
        <xdr:cNvPr id="851" name="Oval 850">
          <a:extLst>
            <a:ext uri="{FF2B5EF4-FFF2-40B4-BE49-F238E27FC236}">
              <a16:creationId xmlns:a16="http://schemas.microsoft.com/office/drawing/2014/main" id="{B964853F-71C4-4E27-BD70-DE5DF71510C5}"/>
            </a:ext>
          </a:extLst>
        </xdr:cNvPr>
        <xdr:cNvSpPr/>
      </xdr:nvSpPr>
      <xdr:spPr>
        <a:xfrm>
          <a:off x="15959502" y="1545433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261</xdr:row>
      <xdr:rowOff>82043</xdr:rowOff>
    </xdr:from>
    <xdr:to>
      <xdr:col>24</xdr:col>
      <xdr:colOff>68635</xdr:colOff>
      <xdr:row>262</xdr:row>
      <xdr:rowOff>59817</xdr:rowOff>
    </xdr:to>
    <xdr:sp macro="" textlink="">
      <xdr:nvSpPr>
        <xdr:cNvPr id="852" name="Oval 851">
          <a:extLst>
            <a:ext uri="{FF2B5EF4-FFF2-40B4-BE49-F238E27FC236}">
              <a16:creationId xmlns:a16="http://schemas.microsoft.com/office/drawing/2014/main" id="{77C94F27-529C-4C67-A794-2D452789E2B1}"/>
            </a:ext>
          </a:extLst>
        </xdr:cNvPr>
        <xdr:cNvSpPr/>
      </xdr:nvSpPr>
      <xdr:spPr>
        <a:xfrm>
          <a:off x="18737627" y="14713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0</xdr:colOff>
      <xdr:row>259</xdr:row>
      <xdr:rowOff>13510</xdr:rowOff>
    </xdr:from>
    <xdr:to>
      <xdr:col>31</xdr:col>
      <xdr:colOff>27021</xdr:colOff>
      <xdr:row>261</xdr:row>
      <xdr:rowOff>121595</xdr:rowOff>
    </xdr:to>
    <xdr:cxnSp macro="">
      <xdr:nvCxnSpPr>
        <xdr:cNvPr id="853" name="Elbow Connector 59">
          <a:extLst>
            <a:ext uri="{FF2B5EF4-FFF2-40B4-BE49-F238E27FC236}">
              <a16:creationId xmlns:a16="http://schemas.microsoft.com/office/drawing/2014/main" id="{BBD723F4-F7A4-4BAD-87E1-826DD47A769B}"/>
            </a:ext>
          </a:extLst>
        </xdr:cNvPr>
        <xdr:cNvCxnSpPr>
          <a:cxnSpLocks/>
        </xdr:cNvCxnSpPr>
      </xdr:nvCxnSpPr>
      <xdr:spPr>
        <a:xfrm flipV="1">
          <a:off x="18811875" y="14274552"/>
          <a:ext cx="4180979" cy="478501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261</xdr:row>
      <xdr:rowOff>67823</xdr:rowOff>
    </xdr:from>
    <xdr:to>
      <xdr:col>36</xdr:col>
      <xdr:colOff>0</xdr:colOff>
      <xdr:row>262</xdr:row>
      <xdr:rowOff>171349</xdr:rowOff>
    </xdr:to>
    <xdr:cxnSp macro="">
      <xdr:nvCxnSpPr>
        <xdr:cNvPr id="854" name="Elbow Connector 61">
          <a:extLst>
            <a:ext uri="{FF2B5EF4-FFF2-40B4-BE49-F238E27FC236}">
              <a16:creationId xmlns:a16="http://schemas.microsoft.com/office/drawing/2014/main" id="{3D1D382C-2249-4A70-9A08-298D48F23486}"/>
            </a:ext>
          </a:extLst>
        </xdr:cNvPr>
        <xdr:cNvCxnSpPr/>
      </xdr:nvCxnSpPr>
      <xdr:spPr>
        <a:xfrm>
          <a:off x="18819637" y="14699281"/>
          <a:ext cx="6924321" cy="288735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261</xdr:row>
      <xdr:rowOff>82043</xdr:rowOff>
    </xdr:from>
    <xdr:to>
      <xdr:col>24</xdr:col>
      <xdr:colOff>68635</xdr:colOff>
      <xdr:row>262</xdr:row>
      <xdr:rowOff>59817</xdr:rowOff>
    </xdr:to>
    <xdr:sp macro="" textlink="">
      <xdr:nvSpPr>
        <xdr:cNvPr id="855" name="Oval 854">
          <a:extLst>
            <a:ext uri="{FF2B5EF4-FFF2-40B4-BE49-F238E27FC236}">
              <a16:creationId xmlns:a16="http://schemas.microsoft.com/office/drawing/2014/main" id="{892BF10B-DDEF-44C1-A6E2-3FC54B1DB8C0}"/>
            </a:ext>
          </a:extLst>
        </xdr:cNvPr>
        <xdr:cNvSpPr/>
      </xdr:nvSpPr>
      <xdr:spPr>
        <a:xfrm>
          <a:off x="18737627" y="14713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0</xdr:colOff>
      <xdr:row>259</xdr:row>
      <xdr:rowOff>13510</xdr:rowOff>
    </xdr:from>
    <xdr:to>
      <xdr:col>31</xdr:col>
      <xdr:colOff>27021</xdr:colOff>
      <xdr:row>261</xdr:row>
      <xdr:rowOff>121595</xdr:rowOff>
    </xdr:to>
    <xdr:cxnSp macro="">
      <xdr:nvCxnSpPr>
        <xdr:cNvPr id="856" name="Elbow Connector 59">
          <a:extLst>
            <a:ext uri="{FF2B5EF4-FFF2-40B4-BE49-F238E27FC236}">
              <a16:creationId xmlns:a16="http://schemas.microsoft.com/office/drawing/2014/main" id="{779E2643-1FC7-4043-9C8E-D165E4C8A81F}"/>
            </a:ext>
          </a:extLst>
        </xdr:cNvPr>
        <xdr:cNvCxnSpPr>
          <a:cxnSpLocks/>
        </xdr:cNvCxnSpPr>
      </xdr:nvCxnSpPr>
      <xdr:spPr>
        <a:xfrm flipV="1">
          <a:off x="18811875" y="14274552"/>
          <a:ext cx="4180979" cy="478501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261</xdr:row>
      <xdr:rowOff>82043</xdr:rowOff>
    </xdr:from>
    <xdr:to>
      <xdr:col>24</xdr:col>
      <xdr:colOff>68635</xdr:colOff>
      <xdr:row>262</xdr:row>
      <xdr:rowOff>59817</xdr:rowOff>
    </xdr:to>
    <xdr:sp macro="" textlink="">
      <xdr:nvSpPr>
        <xdr:cNvPr id="857" name="Oval 856">
          <a:extLst>
            <a:ext uri="{FF2B5EF4-FFF2-40B4-BE49-F238E27FC236}">
              <a16:creationId xmlns:a16="http://schemas.microsoft.com/office/drawing/2014/main" id="{3D01CD7B-5CF4-4968-8179-9FDC48841FCE}"/>
            </a:ext>
          </a:extLst>
        </xdr:cNvPr>
        <xdr:cNvSpPr/>
      </xdr:nvSpPr>
      <xdr:spPr>
        <a:xfrm>
          <a:off x="18737627" y="14713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261</xdr:row>
      <xdr:rowOff>82043</xdr:rowOff>
    </xdr:from>
    <xdr:to>
      <xdr:col>24</xdr:col>
      <xdr:colOff>68635</xdr:colOff>
      <xdr:row>262</xdr:row>
      <xdr:rowOff>59817</xdr:rowOff>
    </xdr:to>
    <xdr:sp macro="" textlink="">
      <xdr:nvSpPr>
        <xdr:cNvPr id="858" name="Oval 857">
          <a:extLst>
            <a:ext uri="{FF2B5EF4-FFF2-40B4-BE49-F238E27FC236}">
              <a16:creationId xmlns:a16="http://schemas.microsoft.com/office/drawing/2014/main" id="{54CF43D1-C19D-4BEC-9FD1-030519891FE6}"/>
            </a:ext>
          </a:extLst>
        </xdr:cNvPr>
        <xdr:cNvSpPr/>
      </xdr:nvSpPr>
      <xdr:spPr>
        <a:xfrm>
          <a:off x="18737627" y="14713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269</xdr:row>
      <xdr:rowOff>82043</xdr:rowOff>
    </xdr:from>
    <xdr:to>
      <xdr:col>24</xdr:col>
      <xdr:colOff>68635</xdr:colOff>
      <xdr:row>270</xdr:row>
      <xdr:rowOff>59817</xdr:rowOff>
    </xdr:to>
    <xdr:sp macro="" textlink="">
      <xdr:nvSpPr>
        <xdr:cNvPr id="859" name="Oval 858">
          <a:extLst>
            <a:ext uri="{FF2B5EF4-FFF2-40B4-BE49-F238E27FC236}">
              <a16:creationId xmlns:a16="http://schemas.microsoft.com/office/drawing/2014/main" id="{33986E07-F5D8-4C61-8BB7-B7FFDFD27A94}"/>
            </a:ext>
          </a:extLst>
        </xdr:cNvPr>
        <xdr:cNvSpPr/>
      </xdr:nvSpPr>
      <xdr:spPr>
        <a:xfrm>
          <a:off x="18737627" y="1619516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269</xdr:row>
      <xdr:rowOff>82043</xdr:rowOff>
    </xdr:from>
    <xdr:to>
      <xdr:col>24</xdr:col>
      <xdr:colOff>68635</xdr:colOff>
      <xdr:row>270</xdr:row>
      <xdr:rowOff>59817</xdr:rowOff>
    </xdr:to>
    <xdr:sp macro="" textlink="">
      <xdr:nvSpPr>
        <xdr:cNvPr id="860" name="Oval 859">
          <a:extLst>
            <a:ext uri="{FF2B5EF4-FFF2-40B4-BE49-F238E27FC236}">
              <a16:creationId xmlns:a16="http://schemas.microsoft.com/office/drawing/2014/main" id="{60CED16C-ECAE-43A8-95AD-AB235CC79A8D}"/>
            </a:ext>
          </a:extLst>
        </xdr:cNvPr>
        <xdr:cNvSpPr/>
      </xdr:nvSpPr>
      <xdr:spPr>
        <a:xfrm>
          <a:off x="18737627" y="1619516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269</xdr:row>
      <xdr:rowOff>82043</xdr:rowOff>
    </xdr:from>
    <xdr:to>
      <xdr:col>24</xdr:col>
      <xdr:colOff>68635</xdr:colOff>
      <xdr:row>270</xdr:row>
      <xdr:rowOff>59817</xdr:rowOff>
    </xdr:to>
    <xdr:sp macro="" textlink="">
      <xdr:nvSpPr>
        <xdr:cNvPr id="861" name="Oval 860">
          <a:extLst>
            <a:ext uri="{FF2B5EF4-FFF2-40B4-BE49-F238E27FC236}">
              <a16:creationId xmlns:a16="http://schemas.microsoft.com/office/drawing/2014/main" id="{562633FF-A0D0-4087-94F0-5D91867FAA2A}"/>
            </a:ext>
          </a:extLst>
        </xdr:cNvPr>
        <xdr:cNvSpPr/>
      </xdr:nvSpPr>
      <xdr:spPr>
        <a:xfrm>
          <a:off x="18737627" y="1619516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269</xdr:row>
      <xdr:rowOff>82043</xdr:rowOff>
    </xdr:from>
    <xdr:to>
      <xdr:col>24</xdr:col>
      <xdr:colOff>68635</xdr:colOff>
      <xdr:row>270</xdr:row>
      <xdr:rowOff>59817</xdr:rowOff>
    </xdr:to>
    <xdr:sp macro="" textlink="">
      <xdr:nvSpPr>
        <xdr:cNvPr id="862" name="Oval 861">
          <a:extLst>
            <a:ext uri="{FF2B5EF4-FFF2-40B4-BE49-F238E27FC236}">
              <a16:creationId xmlns:a16="http://schemas.microsoft.com/office/drawing/2014/main" id="{8B39A49F-4256-4A1E-A34B-4A2D5663DBD5}"/>
            </a:ext>
          </a:extLst>
        </xdr:cNvPr>
        <xdr:cNvSpPr/>
      </xdr:nvSpPr>
      <xdr:spPr>
        <a:xfrm>
          <a:off x="18737627" y="1619516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268</xdr:row>
      <xdr:rowOff>13512</xdr:rowOff>
    </xdr:from>
    <xdr:to>
      <xdr:col>30</xdr:col>
      <xdr:colOff>513404</xdr:colOff>
      <xdr:row>269</xdr:row>
      <xdr:rowOff>82044</xdr:rowOff>
    </xdr:to>
    <xdr:cxnSp macro="">
      <xdr:nvCxnSpPr>
        <xdr:cNvPr id="863" name="Elbow Connector 59">
          <a:extLst>
            <a:ext uri="{FF2B5EF4-FFF2-40B4-BE49-F238E27FC236}">
              <a16:creationId xmlns:a16="http://schemas.microsoft.com/office/drawing/2014/main" id="{B44BF72B-834E-443C-B1B3-FC90075D5F05}"/>
            </a:ext>
          </a:extLst>
        </xdr:cNvPr>
        <xdr:cNvCxnSpPr>
          <a:cxnSpLocks/>
          <a:stCxn id="862" idx="0"/>
        </xdr:cNvCxnSpPr>
      </xdr:nvCxnSpPr>
      <xdr:spPr>
        <a:xfrm rot="5400000" flipH="1" flipV="1">
          <a:off x="20739048" y="14010605"/>
          <a:ext cx="253740" cy="4115388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258</xdr:row>
      <xdr:rowOff>82043</xdr:rowOff>
    </xdr:from>
    <xdr:to>
      <xdr:col>31</xdr:col>
      <xdr:colOff>68635</xdr:colOff>
      <xdr:row>259</xdr:row>
      <xdr:rowOff>59817</xdr:rowOff>
    </xdr:to>
    <xdr:sp macro="" textlink="">
      <xdr:nvSpPr>
        <xdr:cNvPr id="864" name="Oval 863">
          <a:extLst>
            <a:ext uri="{FF2B5EF4-FFF2-40B4-BE49-F238E27FC236}">
              <a16:creationId xmlns:a16="http://schemas.microsoft.com/office/drawing/2014/main" id="{AB50D289-07F2-4E6D-93C5-12FFE798D54F}"/>
            </a:ext>
          </a:extLst>
        </xdr:cNvPr>
        <xdr:cNvSpPr/>
      </xdr:nvSpPr>
      <xdr:spPr>
        <a:xfrm>
          <a:off x="22891585" y="1415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256</xdr:row>
      <xdr:rowOff>168388</xdr:rowOff>
    </xdr:from>
    <xdr:to>
      <xdr:col>36</xdr:col>
      <xdr:colOff>27021</xdr:colOff>
      <xdr:row>259</xdr:row>
      <xdr:rowOff>90619</xdr:rowOff>
    </xdr:to>
    <xdr:cxnSp macro="">
      <xdr:nvCxnSpPr>
        <xdr:cNvPr id="865" name="Elbow Connector 59">
          <a:extLst>
            <a:ext uri="{FF2B5EF4-FFF2-40B4-BE49-F238E27FC236}">
              <a16:creationId xmlns:a16="http://schemas.microsoft.com/office/drawing/2014/main" id="{CD4A15AB-C302-4378-B9E2-86E144786AE7}"/>
            </a:ext>
          </a:extLst>
        </xdr:cNvPr>
        <xdr:cNvCxnSpPr>
          <a:cxnSpLocks/>
        </xdr:cNvCxnSpPr>
      </xdr:nvCxnSpPr>
      <xdr:spPr>
        <a:xfrm flipV="1">
          <a:off x="22965833" y="13873805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258</xdr:row>
      <xdr:rowOff>67823</xdr:rowOff>
    </xdr:from>
    <xdr:to>
      <xdr:col>35</xdr:col>
      <xdr:colOff>555915</xdr:colOff>
      <xdr:row>261</xdr:row>
      <xdr:rowOff>13511</xdr:rowOff>
    </xdr:to>
    <xdr:cxnSp macro="">
      <xdr:nvCxnSpPr>
        <xdr:cNvPr id="866" name="Elbow Connector 61">
          <a:extLst>
            <a:ext uri="{FF2B5EF4-FFF2-40B4-BE49-F238E27FC236}">
              <a16:creationId xmlns:a16="http://schemas.microsoft.com/office/drawing/2014/main" id="{A9AB276D-F31C-4295-A2E4-FF68C5962EB8}"/>
            </a:ext>
          </a:extLst>
        </xdr:cNvPr>
        <xdr:cNvCxnSpPr/>
      </xdr:nvCxnSpPr>
      <xdr:spPr>
        <a:xfrm>
          <a:off x="22960044" y="14143656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258</xdr:row>
      <xdr:rowOff>82043</xdr:rowOff>
    </xdr:from>
    <xdr:to>
      <xdr:col>31</xdr:col>
      <xdr:colOff>68635</xdr:colOff>
      <xdr:row>259</xdr:row>
      <xdr:rowOff>59817</xdr:rowOff>
    </xdr:to>
    <xdr:sp macro="" textlink="">
      <xdr:nvSpPr>
        <xdr:cNvPr id="867" name="Oval 866">
          <a:extLst>
            <a:ext uri="{FF2B5EF4-FFF2-40B4-BE49-F238E27FC236}">
              <a16:creationId xmlns:a16="http://schemas.microsoft.com/office/drawing/2014/main" id="{03D41B23-A94B-4B91-9E2E-201927BEEEB7}"/>
            </a:ext>
          </a:extLst>
        </xdr:cNvPr>
        <xdr:cNvSpPr/>
      </xdr:nvSpPr>
      <xdr:spPr>
        <a:xfrm>
          <a:off x="22891585" y="1415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258</xdr:row>
      <xdr:rowOff>82043</xdr:rowOff>
    </xdr:from>
    <xdr:to>
      <xdr:col>31</xdr:col>
      <xdr:colOff>68635</xdr:colOff>
      <xdr:row>259</xdr:row>
      <xdr:rowOff>59817</xdr:rowOff>
    </xdr:to>
    <xdr:sp macro="" textlink="">
      <xdr:nvSpPr>
        <xdr:cNvPr id="868" name="Oval 867">
          <a:extLst>
            <a:ext uri="{FF2B5EF4-FFF2-40B4-BE49-F238E27FC236}">
              <a16:creationId xmlns:a16="http://schemas.microsoft.com/office/drawing/2014/main" id="{D31407A1-6F6E-467F-A83F-9A433BA1A88C}"/>
            </a:ext>
          </a:extLst>
        </xdr:cNvPr>
        <xdr:cNvSpPr/>
      </xdr:nvSpPr>
      <xdr:spPr>
        <a:xfrm>
          <a:off x="22891585" y="1415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258</xdr:row>
      <xdr:rowOff>82043</xdr:rowOff>
    </xdr:from>
    <xdr:to>
      <xdr:col>31</xdr:col>
      <xdr:colOff>68635</xdr:colOff>
      <xdr:row>259</xdr:row>
      <xdr:rowOff>59817</xdr:rowOff>
    </xdr:to>
    <xdr:sp macro="" textlink="">
      <xdr:nvSpPr>
        <xdr:cNvPr id="869" name="Oval 868">
          <a:extLst>
            <a:ext uri="{FF2B5EF4-FFF2-40B4-BE49-F238E27FC236}">
              <a16:creationId xmlns:a16="http://schemas.microsoft.com/office/drawing/2014/main" id="{86852937-975E-42B4-8C43-9418BBBD8A31}"/>
            </a:ext>
          </a:extLst>
        </xdr:cNvPr>
        <xdr:cNvSpPr/>
      </xdr:nvSpPr>
      <xdr:spPr>
        <a:xfrm>
          <a:off x="22891585" y="1415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307697</xdr:colOff>
      <xdr:row>255</xdr:row>
      <xdr:rowOff>121954</xdr:rowOff>
    </xdr:from>
    <xdr:to>
      <xdr:col>36</xdr:col>
      <xdr:colOff>191977</xdr:colOff>
      <xdr:row>258</xdr:row>
      <xdr:rowOff>29535</xdr:rowOff>
    </xdr:to>
    <xdr:sp macro="" textlink="">
      <xdr:nvSpPr>
        <xdr:cNvPr id="870" name="Oval 869">
          <a:extLst>
            <a:ext uri="{FF2B5EF4-FFF2-40B4-BE49-F238E27FC236}">
              <a16:creationId xmlns:a16="http://schemas.microsoft.com/office/drawing/2014/main" id="{4E4D66A1-1994-4430-9E78-332C57035275}"/>
            </a:ext>
          </a:extLst>
        </xdr:cNvPr>
        <xdr:cNvSpPr/>
      </xdr:nvSpPr>
      <xdr:spPr>
        <a:xfrm>
          <a:off x="25496030" y="13642162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414468</xdr:colOff>
      <xdr:row>260</xdr:row>
      <xdr:rowOff>112082</xdr:rowOff>
    </xdr:from>
    <xdr:to>
      <xdr:col>36</xdr:col>
      <xdr:colOff>14091</xdr:colOff>
      <xdr:row>261</xdr:row>
      <xdr:rowOff>122741</xdr:rowOff>
    </xdr:to>
    <xdr:sp macro="" textlink="">
      <xdr:nvSpPr>
        <xdr:cNvPr id="871" name="Isosceles Triangle 870">
          <a:extLst>
            <a:ext uri="{FF2B5EF4-FFF2-40B4-BE49-F238E27FC236}">
              <a16:creationId xmlns:a16="http://schemas.microsoft.com/office/drawing/2014/main" id="{165C34DE-1497-4219-A093-DF83370D0100}"/>
            </a:ext>
          </a:extLst>
        </xdr:cNvPr>
        <xdr:cNvSpPr/>
      </xdr:nvSpPr>
      <xdr:spPr>
        <a:xfrm rot="16200000">
          <a:off x="25582491" y="14578642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270</xdr:row>
      <xdr:rowOff>57743</xdr:rowOff>
    </xdr:from>
    <xdr:to>
      <xdr:col>36</xdr:col>
      <xdr:colOff>10080</xdr:colOff>
      <xdr:row>271</xdr:row>
      <xdr:rowOff>161270</xdr:rowOff>
    </xdr:to>
    <xdr:cxnSp macro="">
      <xdr:nvCxnSpPr>
        <xdr:cNvPr id="872" name="Elbow Connector 61">
          <a:extLst>
            <a:ext uri="{FF2B5EF4-FFF2-40B4-BE49-F238E27FC236}">
              <a16:creationId xmlns:a16="http://schemas.microsoft.com/office/drawing/2014/main" id="{B733BCC0-C42A-44A4-A238-EDF5AECC38BB}"/>
            </a:ext>
          </a:extLst>
        </xdr:cNvPr>
        <xdr:cNvCxnSpPr/>
      </xdr:nvCxnSpPr>
      <xdr:spPr>
        <a:xfrm>
          <a:off x="18829717" y="16356076"/>
          <a:ext cx="6924321" cy="288736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267</xdr:row>
      <xdr:rowOff>82043</xdr:rowOff>
    </xdr:from>
    <xdr:to>
      <xdr:col>31</xdr:col>
      <xdr:colOff>68635</xdr:colOff>
      <xdr:row>268</xdr:row>
      <xdr:rowOff>59817</xdr:rowOff>
    </xdr:to>
    <xdr:sp macro="" textlink="">
      <xdr:nvSpPr>
        <xdr:cNvPr id="873" name="Oval 872">
          <a:extLst>
            <a:ext uri="{FF2B5EF4-FFF2-40B4-BE49-F238E27FC236}">
              <a16:creationId xmlns:a16="http://schemas.microsoft.com/office/drawing/2014/main" id="{4947CC8E-710F-4A5F-88AB-706C2F4692C7}"/>
            </a:ext>
          </a:extLst>
        </xdr:cNvPr>
        <xdr:cNvSpPr/>
      </xdr:nvSpPr>
      <xdr:spPr>
        <a:xfrm>
          <a:off x="22891585" y="1582475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265</xdr:row>
      <xdr:rowOff>168388</xdr:rowOff>
    </xdr:from>
    <xdr:to>
      <xdr:col>36</xdr:col>
      <xdr:colOff>27021</xdr:colOff>
      <xdr:row>268</xdr:row>
      <xdr:rowOff>90619</xdr:rowOff>
    </xdr:to>
    <xdr:cxnSp macro="">
      <xdr:nvCxnSpPr>
        <xdr:cNvPr id="874" name="Elbow Connector 59">
          <a:extLst>
            <a:ext uri="{FF2B5EF4-FFF2-40B4-BE49-F238E27FC236}">
              <a16:creationId xmlns:a16="http://schemas.microsoft.com/office/drawing/2014/main" id="{D76402DB-FEC2-4CFC-80D0-656FEF7E1C60}"/>
            </a:ext>
          </a:extLst>
        </xdr:cNvPr>
        <xdr:cNvCxnSpPr>
          <a:cxnSpLocks/>
        </xdr:cNvCxnSpPr>
      </xdr:nvCxnSpPr>
      <xdr:spPr>
        <a:xfrm flipV="1">
          <a:off x="22965833" y="15540680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267</xdr:row>
      <xdr:rowOff>67823</xdr:rowOff>
    </xdr:from>
    <xdr:to>
      <xdr:col>35</xdr:col>
      <xdr:colOff>555915</xdr:colOff>
      <xdr:row>270</xdr:row>
      <xdr:rowOff>13511</xdr:rowOff>
    </xdr:to>
    <xdr:cxnSp macro="">
      <xdr:nvCxnSpPr>
        <xdr:cNvPr id="875" name="Elbow Connector 61">
          <a:extLst>
            <a:ext uri="{FF2B5EF4-FFF2-40B4-BE49-F238E27FC236}">
              <a16:creationId xmlns:a16="http://schemas.microsoft.com/office/drawing/2014/main" id="{09E44AF9-55AD-465A-BB52-143E57DDE8D3}"/>
            </a:ext>
          </a:extLst>
        </xdr:cNvPr>
        <xdr:cNvCxnSpPr/>
      </xdr:nvCxnSpPr>
      <xdr:spPr>
        <a:xfrm>
          <a:off x="22960044" y="15810531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267</xdr:row>
      <xdr:rowOff>82043</xdr:rowOff>
    </xdr:from>
    <xdr:to>
      <xdr:col>31</xdr:col>
      <xdr:colOff>68635</xdr:colOff>
      <xdr:row>268</xdr:row>
      <xdr:rowOff>59817</xdr:rowOff>
    </xdr:to>
    <xdr:sp macro="" textlink="">
      <xdr:nvSpPr>
        <xdr:cNvPr id="876" name="Oval 875">
          <a:extLst>
            <a:ext uri="{FF2B5EF4-FFF2-40B4-BE49-F238E27FC236}">
              <a16:creationId xmlns:a16="http://schemas.microsoft.com/office/drawing/2014/main" id="{F1BDDEEA-0303-46E6-9671-F124299EA812}"/>
            </a:ext>
          </a:extLst>
        </xdr:cNvPr>
        <xdr:cNvSpPr/>
      </xdr:nvSpPr>
      <xdr:spPr>
        <a:xfrm>
          <a:off x="22891585" y="1582475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267</xdr:row>
      <xdr:rowOff>82043</xdr:rowOff>
    </xdr:from>
    <xdr:to>
      <xdr:col>31</xdr:col>
      <xdr:colOff>68635</xdr:colOff>
      <xdr:row>268</xdr:row>
      <xdr:rowOff>59817</xdr:rowOff>
    </xdr:to>
    <xdr:sp macro="" textlink="">
      <xdr:nvSpPr>
        <xdr:cNvPr id="877" name="Oval 876">
          <a:extLst>
            <a:ext uri="{FF2B5EF4-FFF2-40B4-BE49-F238E27FC236}">
              <a16:creationId xmlns:a16="http://schemas.microsoft.com/office/drawing/2014/main" id="{E79FA6C4-2F52-43C7-8D66-C9009A1ACAC8}"/>
            </a:ext>
          </a:extLst>
        </xdr:cNvPr>
        <xdr:cNvSpPr/>
      </xdr:nvSpPr>
      <xdr:spPr>
        <a:xfrm>
          <a:off x="22891585" y="1582475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267</xdr:row>
      <xdr:rowOff>82043</xdr:rowOff>
    </xdr:from>
    <xdr:to>
      <xdr:col>31</xdr:col>
      <xdr:colOff>68635</xdr:colOff>
      <xdr:row>268</xdr:row>
      <xdr:rowOff>59817</xdr:rowOff>
    </xdr:to>
    <xdr:sp macro="" textlink="">
      <xdr:nvSpPr>
        <xdr:cNvPr id="878" name="Oval 877">
          <a:extLst>
            <a:ext uri="{FF2B5EF4-FFF2-40B4-BE49-F238E27FC236}">
              <a16:creationId xmlns:a16="http://schemas.microsoft.com/office/drawing/2014/main" id="{6FCE87FC-85EE-4CC9-A058-BFAEDE7A7DCC}"/>
            </a:ext>
          </a:extLst>
        </xdr:cNvPr>
        <xdr:cNvSpPr/>
      </xdr:nvSpPr>
      <xdr:spPr>
        <a:xfrm>
          <a:off x="22891585" y="1582475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265</xdr:row>
      <xdr:rowOff>48117</xdr:rowOff>
    </xdr:from>
    <xdr:to>
      <xdr:col>36</xdr:col>
      <xdr:colOff>100793</xdr:colOff>
      <xdr:row>266</xdr:row>
      <xdr:rowOff>120953</xdr:rowOff>
    </xdr:to>
    <xdr:sp macro="" textlink="">
      <xdr:nvSpPr>
        <xdr:cNvPr id="879" name="Oval 878">
          <a:extLst>
            <a:ext uri="{FF2B5EF4-FFF2-40B4-BE49-F238E27FC236}">
              <a16:creationId xmlns:a16="http://schemas.microsoft.com/office/drawing/2014/main" id="{D161E2FC-FA2C-477F-877E-2E5FFB103E29}"/>
            </a:ext>
          </a:extLst>
        </xdr:cNvPr>
        <xdr:cNvSpPr/>
      </xdr:nvSpPr>
      <xdr:spPr>
        <a:xfrm>
          <a:off x="25599402" y="15420409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271</xdr:row>
      <xdr:rowOff>90713</xdr:rowOff>
    </xdr:from>
    <xdr:to>
      <xdr:col>36</xdr:col>
      <xdr:colOff>12880</xdr:colOff>
      <xdr:row>272</xdr:row>
      <xdr:rowOff>101372</xdr:rowOff>
    </xdr:to>
    <xdr:sp macro="" textlink="">
      <xdr:nvSpPr>
        <xdr:cNvPr id="880" name="Isosceles Triangle 879">
          <a:extLst>
            <a:ext uri="{FF2B5EF4-FFF2-40B4-BE49-F238E27FC236}">
              <a16:creationId xmlns:a16="http://schemas.microsoft.com/office/drawing/2014/main" id="{0B4BBD26-2BE1-45BC-A721-53E6702CFA74}"/>
            </a:ext>
          </a:extLst>
        </xdr:cNvPr>
        <xdr:cNvSpPr/>
      </xdr:nvSpPr>
      <xdr:spPr>
        <a:xfrm rot="16200000">
          <a:off x="25581280" y="16594565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269</xdr:row>
      <xdr:rowOff>112082</xdr:rowOff>
    </xdr:from>
    <xdr:to>
      <xdr:col>36</xdr:col>
      <xdr:colOff>14091</xdr:colOff>
      <xdr:row>270</xdr:row>
      <xdr:rowOff>122741</xdr:rowOff>
    </xdr:to>
    <xdr:sp macro="" textlink="">
      <xdr:nvSpPr>
        <xdr:cNvPr id="881" name="Isosceles Triangle 880">
          <a:extLst>
            <a:ext uri="{FF2B5EF4-FFF2-40B4-BE49-F238E27FC236}">
              <a16:creationId xmlns:a16="http://schemas.microsoft.com/office/drawing/2014/main" id="{F63EB2C2-CD28-4915-A521-7B6F4DFA5069}"/>
            </a:ext>
          </a:extLst>
        </xdr:cNvPr>
        <xdr:cNvSpPr/>
      </xdr:nvSpPr>
      <xdr:spPr>
        <a:xfrm rot="16200000">
          <a:off x="25582491" y="16245517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262</xdr:row>
      <xdr:rowOff>83054</xdr:rowOff>
    </xdr:from>
    <xdr:to>
      <xdr:col>36</xdr:col>
      <xdr:colOff>15299</xdr:colOff>
      <xdr:row>263</xdr:row>
      <xdr:rowOff>93713</xdr:rowOff>
    </xdr:to>
    <xdr:sp macro="" textlink="">
      <xdr:nvSpPr>
        <xdr:cNvPr id="882" name="Isosceles Triangle 881">
          <a:extLst>
            <a:ext uri="{FF2B5EF4-FFF2-40B4-BE49-F238E27FC236}">
              <a16:creationId xmlns:a16="http://schemas.microsoft.com/office/drawing/2014/main" id="{7803620B-AEF5-4335-847A-C65C4BCD8F89}"/>
            </a:ext>
          </a:extLst>
        </xdr:cNvPr>
        <xdr:cNvSpPr/>
      </xdr:nvSpPr>
      <xdr:spPr>
        <a:xfrm rot="16200000">
          <a:off x="25583699" y="14920031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481377</xdr:colOff>
      <xdr:row>283</xdr:row>
      <xdr:rowOff>82043</xdr:rowOff>
    </xdr:from>
    <xdr:to>
      <xdr:col>19</xdr:col>
      <xdr:colOff>68635</xdr:colOff>
      <xdr:row>284</xdr:row>
      <xdr:rowOff>59817</xdr:rowOff>
    </xdr:to>
    <xdr:sp macro="" textlink="">
      <xdr:nvSpPr>
        <xdr:cNvPr id="883" name="Oval 882">
          <a:extLst>
            <a:ext uri="{FF2B5EF4-FFF2-40B4-BE49-F238E27FC236}">
              <a16:creationId xmlns:a16="http://schemas.microsoft.com/office/drawing/2014/main" id="{C8B9C404-B5B6-4501-9E5D-6910C23E27CC}"/>
            </a:ext>
          </a:extLst>
        </xdr:cNvPr>
        <xdr:cNvSpPr/>
      </xdr:nvSpPr>
      <xdr:spPr>
        <a:xfrm>
          <a:off x="15959502" y="187880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279</xdr:row>
      <xdr:rowOff>13510</xdr:rowOff>
    </xdr:from>
    <xdr:to>
      <xdr:col>24</xdr:col>
      <xdr:colOff>0</xdr:colOff>
      <xdr:row>283</xdr:row>
      <xdr:rowOff>121595</xdr:rowOff>
    </xdr:to>
    <xdr:cxnSp macro="">
      <xdr:nvCxnSpPr>
        <xdr:cNvPr id="884" name="Elbow Connector 59">
          <a:extLst>
            <a:ext uri="{FF2B5EF4-FFF2-40B4-BE49-F238E27FC236}">
              <a16:creationId xmlns:a16="http://schemas.microsoft.com/office/drawing/2014/main" id="{526E19F8-411C-4314-A9C4-2B4102E4B18E}"/>
            </a:ext>
          </a:extLst>
        </xdr:cNvPr>
        <xdr:cNvCxnSpPr>
          <a:cxnSpLocks/>
        </xdr:cNvCxnSpPr>
      </xdr:nvCxnSpPr>
      <xdr:spPr>
        <a:xfrm flipV="1">
          <a:off x="16033750" y="17978718"/>
          <a:ext cx="2778125" cy="848919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284</xdr:row>
      <xdr:rowOff>67823</xdr:rowOff>
    </xdr:from>
    <xdr:to>
      <xdr:col>24</xdr:col>
      <xdr:colOff>21585</xdr:colOff>
      <xdr:row>288</xdr:row>
      <xdr:rowOff>13511</xdr:rowOff>
    </xdr:to>
    <xdr:cxnSp macro="">
      <xdr:nvCxnSpPr>
        <xdr:cNvPr id="885" name="Elbow Connector 61">
          <a:extLst>
            <a:ext uri="{FF2B5EF4-FFF2-40B4-BE49-F238E27FC236}">
              <a16:creationId xmlns:a16="http://schemas.microsoft.com/office/drawing/2014/main" id="{0DD4E95E-BF30-4CEB-BBB3-E28C57D2D28D}"/>
            </a:ext>
          </a:extLst>
        </xdr:cNvPr>
        <xdr:cNvCxnSpPr/>
      </xdr:nvCxnSpPr>
      <xdr:spPr>
        <a:xfrm>
          <a:off x="16049256" y="18959073"/>
          <a:ext cx="2784204" cy="686521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283</xdr:row>
      <xdr:rowOff>82043</xdr:rowOff>
    </xdr:from>
    <xdr:to>
      <xdr:col>19</xdr:col>
      <xdr:colOff>68635</xdr:colOff>
      <xdr:row>284</xdr:row>
      <xdr:rowOff>59817</xdr:rowOff>
    </xdr:to>
    <xdr:sp macro="" textlink="">
      <xdr:nvSpPr>
        <xdr:cNvPr id="886" name="Oval 885">
          <a:extLst>
            <a:ext uri="{FF2B5EF4-FFF2-40B4-BE49-F238E27FC236}">
              <a16:creationId xmlns:a16="http://schemas.microsoft.com/office/drawing/2014/main" id="{5BB9D4CC-EBE4-45FF-AECB-7BC6094A80C7}"/>
            </a:ext>
          </a:extLst>
        </xdr:cNvPr>
        <xdr:cNvSpPr/>
      </xdr:nvSpPr>
      <xdr:spPr>
        <a:xfrm>
          <a:off x="15959502" y="187880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501536</xdr:colOff>
      <xdr:row>278</xdr:row>
      <xdr:rowOff>112280</xdr:rowOff>
    </xdr:from>
    <xdr:to>
      <xdr:col>24</xdr:col>
      <xdr:colOff>88794</xdr:colOff>
      <xdr:row>279</xdr:row>
      <xdr:rowOff>90055</xdr:rowOff>
    </xdr:to>
    <xdr:sp macro="" textlink="">
      <xdr:nvSpPr>
        <xdr:cNvPr id="887" name="Oval 886">
          <a:extLst>
            <a:ext uri="{FF2B5EF4-FFF2-40B4-BE49-F238E27FC236}">
              <a16:creationId xmlns:a16="http://schemas.microsoft.com/office/drawing/2014/main" id="{A4114D3C-61FD-49B3-9896-0DE5BBEB83C5}"/>
            </a:ext>
          </a:extLst>
        </xdr:cNvPr>
        <xdr:cNvSpPr/>
      </xdr:nvSpPr>
      <xdr:spPr>
        <a:xfrm>
          <a:off x="18757786" y="17892280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534205</xdr:colOff>
      <xdr:row>276</xdr:row>
      <xdr:rowOff>161644</xdr:rowOff>
    </xdr:from>
    <xdr:to>
      <xdr:col>30</xdr:col>
      <xdr:colOff>481377</xdr:colOff>
      <xdr:row>278</xdr:row>
      <xdr:rowOff>120952</xdr:rowOff>
    </xdr:to>
    <xdr:cxnSp macro="">
      <xdr:nvCxnSpPr>
        <xdr:cNvPr id="888" name="Elbow Connector 59">
          <a:extLst>
            <a:ext uri="{FF2B5EF4-FFF2-40B4-BE49-F238E27FC236}">
              <a16:creationId xmlns:a16="http://schemas.microsoft.com/office/drawing/2014/main" id="{05B99352-180C-49F8-852A-06A82474E4CB}"/>
            </a:ext>
          </a:extLst>
        </xdr:cNvPr>
        <xdr:cNvCxnSpPr>
          <a:cxnSpLocks/>
          <a:endCxn id="900" idx="2"/>
        </xdr:cNvCxnSpPr>
      </xdr:nvCxnSpPr>
      <xdr:spPr>
        <a:xfrm flipV="1">
          <a:off x="18790455" y="17571227"/>
          <a:ext cx="4101130" cy="329725"/>
        </a:xfrm>
        <a:prstGeom prst="bentConnector3">
          <a:avLst>
            <a:gd name="adj1" fmla="val 495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279</xdr:row>
      <xdr:rowOff>67823</xdr:rowOff>
    </xdr:from>
    <xdr:to>
      <xdr:col>36</xdr:col>
      <xdr:colOff>0</xdr:colOff>
      <xdr:row>280</xdr:row>
      <xdr:rowOff>171349</xdr:rowOff>
    </xdr:to>
    <xdr:cxnSp macro="">
      <xdr:nvCxnSpPr>
        <xdr:cNvPr id="889" name="Elbow Connector 61">
          <a:extLst>
            <a:ext uri="{FF2B5EF4-FFF2-40B4-BE49-F238E27FC236}">
              <a16:creationId xmlns:a16="http://schemas.microsoft.com/office/drawing/2014/main" id="{18B08E62-F176-4B2A-B1BF-AED890FC2C37}"/>
            </a:ext>
          </a:extLst>
        </xdr:cNvPr>
        <xdr:cNvCxnSpPr/>
      </xdr:nvCxnSpPr>
      <xdr:spPr>
        <a:xfrm>
          <a:off x="18819637" y="18033031"/>
          <a:ext cx="6924321" cy="288735"/>
        </a:xfrm>
        <a:prstGeom prst="bentConnector3">
          <a:avLst>
            <a:gd name="adj1" fmla="val -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287</xdr:row>
      <xdr:rowOff>82043</xdr:rowOff>
    </xdr:from>
    <xdr:to>
      <xdr:col>24</xdr:col>
      <xdr:colOff>68635</xdr:colOff>
      <xdr:row>288</xdr:row>
      <xdr:rowOff>59817</xdr:rowOff>
    </xdr:to>
    <xdr:sp macro="" textlink="">
      <xdr:nvSpPr>
        <xdr:cNvPr id="890" name="Oval 889">
          <a:extLst>
            <a:ext uri="{FF2B5EF4-FFF2-40B4-BE49-F238E27FC236}">
              <a16:creationId xmlns:a16="http://schemas.microsoft.com/office/drawing/2014/main" id="{931607F0-E9B8-4FEE-8605-7ADEA04D2964}"/>
            </a:ext>
          </a:extLst>
        </xdr:cNvPr>
        <xdr:cNvSpPr/>
      </xdr:nvSpPr>
      <xdr:spPr>
        <a:xfrm>
          <a:off x="18737627" y="1952891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287</xdr:row>
      <xdr:rowOff>82043</xdr:rowOff>
    </xdr:from>
    <xdr:to>
      <xdr:col>24</xdr:col>
      <xdr:colOff>68635</xdr:colOff>
      <xdr:row>288</xdr:row>
      <xdr:rowOff>59817</xdr:rowOff>
    </xdr:to>
    <xdr:sp macro="" textlink="">
      <xdr:nvSpPr>
        <xdr:cNvPr id="891" name="Oval 890">
          <a:extLst>
            <a:ext uri="{FF2B5EF4-FFF2-40B4-BE49-F238E27FC236}">
              <a16:creationId xmlns:a16="http://schemas.microsoft.com/office/drawing/2014/main" id="{2425E4C5-70D9-4D95-81A2-59445CF6A1C4}"/>
            </a:ext>
          </a:extLst>
        </xdr:cNvPr>
        <xdr:cNvSpPr/>
      </xdr:nvSpPr>
      <xdr:spPr>
        <a:xfrm>
          <a:off x="18737627" y="1952891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287</xdr:row>
      <xdr:rowOff>82043</xdr:rowOff>
    </xdr:from>
    <xdr:to>
      <xdr:col>24</xdr:col>
      <xdr:colOff>68635</xdr:colOff>
      <xdr:row>288</xdr:row>
      <xdr:rowOff>59817</xdr:rowOff>
    </xdr:to>
    <xdr:sp macro="" textlink="">
      <xdr:nvSpPr>
        <xdr:cNvPr id="892" name="Oval 891">
          <a:extLst>
            <a:ext uri="{FF2B5EF4-FFF2-40B4-BE49-F238E27FC236}">
              <a16:creationId xmlns:a16="http://schemas.microsoft.com/office/drawing/2014/main" id="{236E042C-1F9C-43F6-8130-673A115E5699}"/>
            </a:ext>
          </a:extLst>
        </xdr:cNvPr>
        <xdr:cNvSpPr/>
      </xdr:nvSpPr>
      <xdr:spPr>
        <a:xfrm>
          <a:off x="18737627" y="1952891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287</xdr:row>
      <xdr:rowOff>82043</xdr:rowOff>
    </xdr:from>
    <xdr:to>
      <xdr:col>24</xdr:col>
      <xdr:colOff>68635</xdr:colOff>
      <xdr:row>288</xdr:row>
      <xdr:rowOff>59817</xdr:rowOff>
    </xdr:to>
    <xdr:sp macro="" textlink="">
      <xdr:nvSpPr>
        <xdr:cNvPr id="893" name="Oval 892">
          <a:extLst>
            <a:ext uri="{FF2B5EF4-FFF2-40B4-BE49-F238E27FC236}">
              <a16:creationId xmlns:a16="http://schemas.microsoft.com/office/drawing/2014/main" id="{30F6E88B-EE26-4785-A93C-C90F33D33DFB}"/>
            </a:ext>
          </a:extLst>
        </xdr:cNvPr>
        <xdr:cNvSpPr/>
      </xdr:nvSpPr>
      <xdr:spPr>
        <a:xfrm>
          <a:off x="18737627" y="1952891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286</xdr:row>
      <xdr:rowOff>13512</xdr:rowOff>
    </xdr:from>
    <xdr:to>
      <xdr:col>30</xdr:col>
      <xdr:colOff>513404</xdr:colOff>
      <xdr:row>287</xdr:row>
      <xdr:rowOff>82044</xdr:rowOff>
    </xdr:to>
    <xdr:cxnSp macro="">
      <xdr:nvCxnSpPr>
        <xdr:cNvPr id="894" name="Elbow Connector 59">
          <a:extLst>
            <a:ext uri="{FF2B5EF4-FFF2-40B4-BE49-F238E27FC236}">
              <a16:creationId xmlns:a16="http://schemas.microsoft.com/office/drawing/2014/main" id="{7CDC79F3-1216-4600-82F9-9C634155B7B1}"/>
            </a:ext>
          </a:extLst>
        </xdr:cNvPr>
        <xdr:cNvCxnSpPr>
          <a:cxnSpLocks/>
          <a:stCxn id="893" idx="0"/>
        </xdr:cNvCxnSpPr>
      </xdr:nvCxnSpPr>
      <xdr:spPr>
        <a:xfrm rot="5400000" flipH="1" flipV="1">
          <a:off x="20739048" y="17344355"/>
          <a:ext cx="253740" cy="4115388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276</xdr:row>
      <xdr:rowOff>82043</xdr:rowOff>
    </xdr:from>
    <xdr:to>
      <xdr:col>31</xdr:col>
      <xdr:colOff>68635</xdr:colOff>
      <xdr:row>277</xdr:row>
      <xdr:rowOff>59817</xdr:rowOff>
    </xdr:to>
    <xdr:sp macro="" textlink="">
      <xdr:nvSpPr>
        <xdr:cNvPr id="895" name="Oval 894">
          <a:extLst>
            <a:ext uri="{FF2B5EF4-FFF2-40B4-BE49-F238E27FC236}">
              <a16:creationId xmlns:a16="http://schemas.microsoft.com/office/drawing/2014/main" id="{0C97728D-1E81-4CAD-BB8E-0D2B0EC7A124}"/>
            </a:ext>
          </a:extLst>
        </xdr:cNvPr>
        <xdr:cNvSpPr/>
      </xdr:nvSpPr>
      <xdr:spPr>
        <a:xfrm>
          <a:off x="22891585" y="1749162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274</xdr:row>
      <xdr:rowOff>168388</xdr:rowOff>
    </xdr:from>
    <xdr:to>
      <xdr:col>36</xdr:col>
      <xdr:colOff>27021</xdr:colOff>
      <xdr:row>277</xdr:row>
      <xdr:rowOff>90619</xdr:rowOff>
    </xdr:to>
    <xdr:cxnSp macro="">
      <xdr:nvCxnSpPr>
        <xdr:cNvPr id="896" name="Elbow Connector 59">
          <a:extLst>
            <a:ext uri="{FF2B5EF4-FFF2-40B4-BE49-F238E27FC236}">
              <a16:creationId xmlns:a16="http://schemas.microsoft.com/office/drawing/2014/main" id="{E8D49E62-F137-4F0F-AA4C-1D7ABB246F85}"/>
            </a:ext>
          </a:extLst>
        </xdr:cNvPr>
        <xdr:cNvCxnSpPr>
          <a:cxnSpLocks/>
        </xdr:cNvCxnSpPr>
      </xdr:nvCxnSpPr>
      <xdr:spPr>
        <a:xfrm flipV="1">
          <a:off x="22965833" y="17207555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276</xdr:row>
      <xdr:rowOff>67823</xdr:rowOff>
    </xdr:from>
    <xdr:to>
      <xdr:col>36</xdr:col>
      <xdr:colOff>290</xdr:colOff>
      <xdr:row>279</xdr:row>
      <xdr:rowOff>13511</xdr:rowOff>
    </xdr:to>
    <xdr:cxnSp macro="">
      <xdr:nvCxnSpPr>
        <xdr:cNvPr id="897" name="Elbow Connector 61">
          <a:extLst>
            <a:ext uri="{FF2B5EF4-FFF2-40B4-BE49-F238E27FC236}">
              <a16:creationId xmlns:a16="http://schemas.microsoft.com/office/drawing/2014/main" id="{2D83D906-D054-4E6D-87C6-148BAEDD30D9}"/>
            </a:ext>
          </a:extLst>
        </xdr:cNvPr>
        <xdr:cNvCxnSpPr/>
      </xdr:nvCxnSpPr>
      <xdr:spPr>
        <a:xfrm>
          <a:off x="22960044" y="17477406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276</xdr:row>
      <xdr:rowOff>82043</xdr:rowOff>
    </xdr:from>
    <xdr:to>
      <xdr:col>31</xdr:col>
      <xdr:colOff>68635</xdr:colOff>
      <xdr:row>277</xdr:row>
      <xdr:rowOff>59817</xdr:rowOff>
    </xdr:to>
    <xdr:sp macro="" textlink="">
      <xdr:nvSpPr>
        <xdr:cNvPr id="898" name="Oval 897">
          <a:extLst>
            <a:ext uri="{FF2B5EF4-FFF2-40B4-BE49-F238E27FC236}">
              <a16:creationId xmlns:a16="http://schemas.microsoft.com/office/drawing/2014/main" id="{181C2A4A-F9BC-4341-80EF-791549F9B7C6}"/>
            </a:ext>
          </a:extLst>
        </xdr:cNvPr>
        <xdr:cNvSpPr/>
      </xdr:nvSpPr>
      <xdr:spPr>
        <a:xfrm>
          <a:off x="22891585" y="1749162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276</xdr:row>
      <xdr:rowOff>82043</xdr:rowOff>
    </xdr:from>
    <xdr:to>
      <xdr:col>31</xdr:col>
      <xdr:colOff>68635</xdr:colOff>
      <xdr:row>277</xdr:row>
      <xdr:rowOff>59817</xdr:rowOff>
    </xdr:to>
    <xdr:sp macro="" textlink="">
      <xdr:nvSpPr>
        <xdr:cNvPr id="899" name="Oval 898">
          <a:extLst>
            <a:ext uri="{FF2B5EF4-FFF2-40B4-BE49-F238E27FC236}">
              <a16:creationId xmlns:a16="http://schemas.microsoft.com/office/drawing/2014/main" id="{78A42625-1EBC-43AB-B974-5C13C5955F33}"/>
            </a:ext>
          </a:extLst>
        </xdr:cNvPr>
        <xdr:cNvSpPr/>
      </xdr:nvSpPr>
      <xdr:spPr>
        <a:xfrm>
          <a:off x="22891585" y="1749162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276</xdr:row>
      <xdr:rowOff>82043</xdr:rowOff>
    </xdr:from>
    <xdr:to>
      <xdr:col>31</xdr:col>
      <xdr:colOff>68635</xdr:colOff>
      <xdr:row>277</xdr:row>
      <xdr:rowOff>59817</xdr:rowOff>
    </xdr:to>
    <xdr:sp macro="" textlink="">
      <xdr:nvSpPr>
        <xdr:cNvPr id="900" name="Oval 899">
          <a:extLst>
            <a:ext uri="{FF2B5EF4-FFF2-40B4-BE49-F238E27FC236}">
              <a16:creationId xmlns:a16="http://schemas.microsoft.com/office/drawing/2014/main" id="{55BC6BE1-92DC-4897-8B67-9C0A9A01B3DF}"/>
            </a:ext>
          </a:extLst>
        </xdr:cNvPr>
        <xdr:cNvSpPr/>
      </xdr:nvSpPr>
      <xdr:spPr>
        <a:xfrm>
          <a:off x="22891585" y="1749162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274</xdr:row>
      <xdr:rowOff>48117</xdr:rowOff>
    </xdr:from>
    <xdr:to>
      <xdr:col>36</xdr:col>
      <xdr:colOff>100793</xdr:colOff>
      <xdr:row>275</xdr:row>
      <xdr:rowOff>120953</xdr:rowOff>
    </xdr:to>
    <xdr:sp macro="" textlink="">
      <xdr:nvSpPr>
        <xdr:cNvPr id="901" name="Oval 900">
          <a:extLst>
            <a:ext uri="{FF2B5EF4-FFF2-40B4-BE49-F238E27FC236}">
              <a16:creationId xmlns:a16="http://schemas.microsoft.com/office/drawing/2014/main" id="{0CCC69A6-F839-46AF-8B4D-8843D41F8C4B}"/>
            </a:ext>
          </a:extLst>
        </xdr:cNvPr>
        <xdr:cNvSpPr/>
      </xdr:nvSpPr>
      <xdr:spPr>
        <a:xfrm>
          <a:off x="25599402" y="17087284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278</xdr:row>
      <xdr:rowOff>112082</xdr:rowOff>
    </xdr:from>
    <xdr:to>
      <xdr:col>36</xdr:col>
      <xdr:colOff>14091</xdr:colOff>
      <xdr:row>279</xdr:row>
      <xdr:rowOff>122741</xdr:rowOff>
    </xdr:to>
    <xdr:sp macro="" textlink="">
      <xdr:nvSpPr>
        <xdr:cNvPr id="902" name="Isosceles Triangle 901">
          <a:extLst>
            <a:ext uri="{FF2B5EF4-FFF2-40B4-BE49-F238E27FC236}">
              <a16:creationId xmlns:a16="http://schemas.microsoft.com/office/drawing/2014/main" id="{89AF607B-A963-4039-91AF-3018DADDBEFF}"/>
            </a:ext>
          </a:extLst>
        </xdr:cNvPr>
        <xdr:cNvSpPr/>
      </xdr:nvSpPr>
      <xdr:spPr>
        <a:xfrm rot="16200000">
          <a:off x="25582491" y="17912392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288</xdr:row>
      <xdr:rowOff>57743</xdr:rowOff>
    </xdr:from>
    <xdr:to>
      <xdr:col>36</xdr:col>
      <xdr:colOff>10080</xdr:colOff>
      <xdr:row>289</xdr:row>
      <xdr:rowOff>161270</xdr:rowOff>
    </xdr:to>
    <xdr:cxnSp macro="">
      <xdr:nvCxnSpPr>
        <xdr:cNvPr id="903" name="Elbow Connector 61">
          <a:extLst>
            <a:ext uri="{FF2B5EF4-FFF2-40B4-BE49-F238E27FC236}">
              <a16:creationId xmlns:a16="http://schemas.microsoft.com/office/drawing/2014/main" id="{0A421DBB-1447-4504-ACC0-1CBE97E2A250}"/>
            </a:ext>
          </a:extLst>
        </xdr:cNvPr>
        <xdr:cNvCxnSpPr/>
      </xdr:nvCxnSpPr>
      <xdr:spPr>
        <a:xfrm>
          <a:off x="18829717" y="19689826"/>
          <a:ext cx="6924321" cy="288736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285</xdr:row>
      <xdr:rowOff>82043</xdr:rowOff>
    </xdr:from>
    <xdr:to>
      <xdr:col>31</xdr:col>
      <xdr:colOff>68635</xdr:colOff>
      <xdr:row>286</xdr:row>
      <xdr:rowOff>59817</xdr:rowOff>
    </xdr:to>
    <xdr:sp macro="" textlink="">
      <xdr:nvSpPr>
        <xdr:cNvPr id="904" name="Oval 903">
          <a:extLst>
            <a:ext uri="{FF2B5EF4-FFF2-40B4-BE49-F238E27FC236}">
              <a16:creationId xmlns:a16="http://schemas.microsoft.com/office/drawing/2014/main" id="{DBF42162-068D-464D-949B-C625FB43DC66}"/>
            </a:ext>
          </a:extLst>
        </xdr:cNvPr>
        <xdr:cNvSpPr/>
      </xdr:nvSpPr>
      <xdr:spPr>
        <a:xfrm>
          <a:off x="22891585" y="19158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283</xdr:row>
      <xdr:rowOff>168388</xdr:rowOff>
    </xdr:from>
    <xdr:to>
      <xdr:col>36</xdr:col>
      <xdr:colOff>27021</xdr:colOff>
      <xdr:row>286</xdr:row>
      <xdr:rowOff>90619</xdr:rowOff>
    </xdr:to>
    <xdr:cxnSp macro="">
      <xdr:nvCxnSpPr>
        <xdr:cNvPr id="905" name="Elbow Connector 59">
          <a:extLst>
            <a:ext uri="{FF2B5EF4-FFF2-40B4-BE49-F238E27FC236}">
              <a16:creationId xmlns:a16="http://schemas.microsoft.com/office/drawing/2014/main" id="{7BC922D6-8374-4898-A766-83442E490F23}"/>
            </a:ext>
          </a:extLst>
        </xdr:cNvPr>
        <xdr:cNvCxnSpPr>
          <a:cxnSpLocks/>
        </xdr:cNvCxnSpPr>
      </xdr:nvCxnSpPr>
      <xdr:spPr>
        <a:xfrm flipV="1">
          <a:off x="22965833" y="18874430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285</xdr:row>
      <xdr:rowOff>67823</xdr:rowOff>
    </xdr:from>
    <xdr:to>
      <xdr:col>35</xdr:col>
      <xdr:colOff>555915</xdr:colOff>
      <xdr:row>288</xdr:row>
      <xdr:rowOff>13511</xdr:rowOff>
    </xdr:to>
    <xdr:cxnSp macro="">
      <xdr:nvCxnSpPr>
        <xdr:cNvPr id="906" name="Elbow Connector 61">
          <a:extLst>
            <a:ext uri="{FF2B5EF4-FFF2-40B4-BE49-F238E27FC236}">
              <a16:creationId xmlns:a16="http://schemas.microsoft.com/office/drawing/2014/main" id="{598CB818-CCD2-4A66-AF67-33A34876CA70}"/>
            </a:ext>
          </a:extLst>
        </xdr:cNvPr>
        <xdr:cNvCxnSpPr/>
      </xdr:nvCxnSpPr>
      <xdr:spPr>
        <a:xfrm>
          <a:off x="22960044" y="19144281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285</xdr:row>
      <xdr:rowOff>82043</xdr:rowOff>
    </xdr:from>
    <xdr:to>
      <xdr:col>31</xdr:col>
      <xdr:colOff>68635</xdr:colOff>
      <xdr:row>286</xdr:row>
      <xdr:rowOff>59817</xdr:rowOff>
    </xdr:to>
    <xdr:sp macro="" textlink="">
      <xdr:nvSpPr>
        <xdr:cNvPr id="907" name="Oval 906">
          <a:extLst>
            <a:ext uri="{FF2B5EF4-FFF2-40B4-BE49-F238E27FC236}">
              <a16:creationId xmlns:a16="http://schemas.microsoft.com/office/drawing/2014/main" id="{A5B770A3-D4CC-4740-B617-0860F8349BE2}"/>
            </a:ext>
          </a:extLst>
        </xdr:cNvPr>
        <xdr:cNvSpPr/>
      </xdr:nvSpPr>
      <xdr:spPr>
        <a:xfrm>
          <a:off x="22891585" y="19158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285</xdr:row>
      <xdr:rowOff>82043</xdr:rowOff>
    </xdr:from>
    <xdr:to>
      <xdr:col>31</xdr:col>
      <xdr:colOff>68635</xdr:colOff>
      <xdr:row>286</xdr:row>
      <xdr:rowOff>59817</xdr:rowOff>
    </xdr:to>
    <xdr:sp macro="" textlink="">
      <xdr:nvSpPr>
        <xdr:cNvPr id="908" name="Oval 907">
          <a:extLst>
            <a:ext uri="{FF2B5EF4-FFF2-40B4-BE49-F238E27FC236}">
              <a16:creationId xmlns:a16="http://schemas.microsoft.com/office/drawing/2014/main" id="{E064D06C-569D-4C5A-84DF-F0110390172D}"/>
            </a:ext>
          </a:extLst>
        </xdr:cNvPr>
        <xdr:cNvSpPr/>
      </xdr:nvSpPr>
      <xdr:spPr>
        <a:xfrm>
          <a:off x="22891585" y="19158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285</xdr:row>
      <xdr:rowOff>82043</xdr:rowOff>
    </xdr:from>
    <xdr:to>
      <xdr:col>31</xdr:col>
      <xdr:colOff>68635</xdr:colOff>
      <xdr:row>286</xdr:row>
      <xdr:rowOff>59817</xdr:rowOff>
    </xdr:to>
    <xdr:sp macro="" textlink="">
      <xdr:nvSpPr>
        <xdr:cNvPr id="909" name="Oval 908">
          <a:extLst>
            <a:ext uri="{FF2B5EF4-FFF2-40B4-BE49-F238E27FC236}">
              <a16:creationId xmlns:a16="http://schemas.microsoft.com/office/drawing/2014/main" id="{1B7FAFA3-C719-4703-8A6C-36B647650248}"/>
            </a:ext>
          </a:extLst>
        </xdr:cNvPr>
        <xdr:cNvSpPr/>
      </xdr:nvSpPr>
      <xdr:spPr>
        <a:xfrm>
          <a:off x="22891585" y="19158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283</xdr:row>
      <xdr:rowOff>48117</xdr:rowOff>
    </xdr:from>
    <xdr:to>
      <xdr:col>36</xdr:col>
      <xdr:colOff>100793</xdr:colOff>
      <xdr:row>284</xdr:row>
      <xdr:rowOff>120953</xdr:rowOff>
    </xdr:to>
    <xdr:sp macro="" textlink="">
      <xdr:nvSpPr>
        <xdr:cNvPr id="910" name="Oval 909">
          <a:extLst>
            <a:ext uri="{FF2B5EF4-FFF2-40B4-BE49-F238E27FC236}">
              <a16:creationId xmlns:a16="http://schemas.microsoft.com/office/drawing/2014/main" id="{3ACFBB18-68C2-45A4-99E2-19F23E57A07F}"/>
            </a:ext>
          </a:extLst>
        </xdr:cNvPr>
        <xdr:cNvSpPr/>
      </xdr:nvSpPr>
      <xdr:spPr>
        <a:xfrm>
          <a:off x="25599402" y="18754159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289</xdr:row>
      <xdr:rowOff>90713</xdr:rowOff>
    </xdr:from>
    <xdr:to>
      <xdr:col>36</xdr:col>
      <xdr:colOff>12880</xdr:colOff>
      <xdr:row>290</xdr:row>
      <xdr:rowOff>101372</xdr:rowOff>
    </xdr:to>
    <xdr:sp macro="" textlink="">
      <xdr:nvSpPr>
        <xdr:cNvPr id="911" name="Isosceles Triangle 910">
          <a:extLst>
            <a:ext uri="{FF2B5EF4-FFF2-40B4-BE49-F238E27FC236}">
              <a16:creationId xmlns:a16="http://schemas.microsoft.com/office/drawing/2014/main" id="{F593E728-3369-4D4C-AB19-DA991EC84775}"/>
            </a:ext>
          </a:extLst>
        </xdr:cNvPr>
        <xdr:cNvSpPr/>
      </xdr:nvSpPr>
      <xdr:spPr>
        <a:xfrm rot="16200000">
          <a:off x="25581280" y="19928315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287</xdr:row>
      <xdr:rowOff>112082</xdr:rowOff>
    </xdr:from>
    <xdr:to>
      <xdr:col>36</xdr:col>
      <xdr:colOff>14091</xdr:colOff>
      <xdr:row>288</xdr:row>
      <xdr:rowOff>122741</xdr:rowOff>
    </xdr:to>
    <xdr:sp macro="" textlink="">
      <xdr:nvSpPr>
        <xdr:cNvPr id="912" name="Isosceles Triangle 911">
          <a:extLst>
            <a:ext uri="{FF2B5EF4-FFF2-40B4-BE49-F238E27FC236}">
              <a16:creationId xmlns:a16="http://schemas.microsoft.com/office/drawing/2014/main" id="{11EDB7CF-7D5C-469C-B299-D0681ECABD22}"/>
            </a:ext>
          </a:extLst>
        </xdr:cNvPr>
        <xdr:cNvSpPr/>
      </xdr:nvSpPr>
      <xdr:spPr>
        <a:xfrm rot="16200000">
          <a:off x="25582491" y="19579267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280</xdr:row>
      <xdr:rowOff>83054</xdr:rowOff>
    </xdr:from>
    <xdr:to>
      <xdr:col>36</xdr:col>
      <xdr:colOff>15299</xdr:colOff>
      <xdr:row>281</xdr:row>
      <xdr:rowOff>93713</xdr:rowOff>
    </xdr:to>
    <xdr:sp macro="" textlink="">
      <xdr:nvSpPr>
        <xdr:cNvPr id="913" name="Isosceles Triangle 912">
          <a:extLst>
            <a:ext uri="{FF2B5EF4-FFF2-40B4-BE49-F238E27FC236}">
              <a16:creationId xmlns:a16="http://schemas.microsoft.com/office/drawing/2014/main" id="{AEA164EA-B5D8-42D4-A473-FDB7B947AA1C}"/>
            </a:ext>
          </a:extLst>
        </xdr:cNvPr>
        <xdr:cNvSpPr/>
      </xdr:nvSpPr>
      <xdr:spPr>
        <a:xfrm rot="16200000">
          <a:off x="25583699" y="18253781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333247</xdr:colOff>
      <xdr:row>264</xdr:row>
      <xdr:rowOff>134612</xdr:rowOff>
    </xdr:from>
    <xdr:to>
      <xdr:col>36</xdr:col>
      <xdr:colOff>217527</xdr:colOff>
      <xdr:row>267</xdr:row>
      <xdr:rowOff>42193</xdr:rowOff>
    </xdr:to>
    <xdr:sp macro="" textlink="">
      <xdr:nvSpPr>
        <xdr:cNvPr id="914" name="Oval 913">
          <a:extLst>
            <a:ext uri="{FF2B5EF4-FFF2-40B4-BE49-F238E27FC236}">
              <a16:creationId xmlns:a16="http://schemas.microsoft.com/office/drawing/2014/main" id="{4F59E6CA-ED01-4B86-8907-9164FD84F741}"/>
            </a:ext>
          </a:extLst>
        </xdr:cNvPr>
        <xdr:cNvSpPr/>
      </xdr:nvSpPr>
      <xdr:spPr>
        <a:xfrm>
          <a:off x="25521580" y="15321695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323206</xdr:colOff>
      <xdr:row>273</xdr:row>
      <xdr:rowOff>139338</xdr:rowOff>
    </xdr:from>
    <xdr:to>
      <xdr:col>36</xdr:col>
      <xdr:colOff>207486</xdr:colOff>
      <xdr:row>276</xdr:row>
      <xdr:rowOff>46919</xdr:rowOff>
    </xdr:to>
    <xdr:sp macro="" textlink="">
      <xdr:nvSpPr>
        <xdr:cNvPr id="915" name="Oval 914">
          <a:extLst>
            <a:ext uri="{FF2B5EF4-FFF2-40B4-BE49-F238E27FC236}">
              <a16:creationId xmlns:a16="http://schemas.microsoft.com/office/drawing/2014/main" id="{B70A0D81-A717-4DD2-BAE1-C4716E17639E}"/>
            </a:ext>
          </a:extLst>
        </xdr:cNvPr>
        <xdr:cNvSpPr/>
      </xdr:nvSpPr>
      <xdr:spPr>
        <a:xfrm>
          <a:off x="25511539" y="16993296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327932</xdr:colOff>
      <xdr:row>282</xdr:row>
      <xdr:rowOff>129296</xdr:rowOff>
    </xdr:from>
    <xdr:to>
      <xdr:col>36</xdr:col>
      <xdr:colOff>212212</xdr:colOff>
      <xdr:row>285</xdr:row>
      <xdr:rowOff>36877</xdr:rowOff>
    </xdr:to>
    <xdr:sp macro="" textlink="">
      <xdr:nvSpPr>
        <xdr:cNvPr id="916" name="Oval 915">
          <a:extLst>
            <a:ext uri="{FF2B5EF4-FFF2-40B4-BE49-F238E27FC236}">
              <a16:creationId xmlns:a16="http://schemas.microsoft.com/office/drawing/2014/main" id="{9157EA51-6CA8-48CC-BE1D-5D9BA4D139EB}"/>
            </a:ext>
          </a:extLst>
        </xdr:cNvPr>
        <xdr:cNvSpPr/>
      </xdr:nvSpPr>
      <xdr:spPr>
        <a:xfrm>
          <a:off x="25516265" y="18650129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18</xdr:col>
      <xdr:colOff>481377</xdr:colOff>
      <xdr:row>302</xdr:row>
      <xdr:rowOff>82043</xdr:rowOff>
    </xdr:from>
    <xdr:to>
      <xdr:col>19</xdr:col>
      <xdr:colOff>68635</xdr:colOff>
      <xdr:row>303</xdr:row>
      <xdr:rowOff>59817</xdr:rowOff>
    </xdr:to>
    <xdr:sp macro="" textlink="">
      <xdr:nvSpPr>
        <xdr:cNvPr id="917" name="Oval 916">
          <a:extLst>
            <a:ext uri="{FF2B5EF4-FFF2-40B4-BE49-F238E27FC236}">
              <a16:creationId xmlns:a16="http://schemas.microsoft.com/office/drawing/2014/main" id="{50DEEDF2-45C4-45A6-A436-DD8D95CB9E85}"/>
            </a:ext>
          </a:extLst>
        </xdr:cNvPr>
        <xdr:cNvSpPr/>
      </xdr:nvSpPr>
      <xdr:spPr>
        <a:xfrm>
          <a:off x="15959502" y="22307043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298</xdr:row>
      <xdr:rowOff>13510</xdr:rowOff>
    </xdr:from>
    <xdr:to>
      <xdr:col>24</xdr:col>
      <xdr:colOff>0</xdr:colOff>
      <xdr:row>302</xdr:row>
      <xdr:rowOff>121595</xdr:rowOff>
    </xdr:to>
    <xdr:cxnSp macro="">
      <xdr:nvCxnSpPr>
        <xdr:cNvPr id="918" name="Elbow Connector 59">
          <a:extLst>
            <a:ext uri="{FF2B5EF4-FFF2-40B4-BE49-F238E27FC236}">
              <a16:creationId xmlns:a16="http://schemas.microsoft.com/office/drawing/2014/main" id="{E89153F8-3CFE-4FBF-A446-CACCBB88074D}"/>
            </a:ext>
          </a:extLst>
        </xdr:cNvPr>
        <xdr:cNvCxnSpPr>
          <a:cxnSpLocks/>
        </xdr:cNvCxnSpPr>
      </xdr:nvCxnSpPr>
      <xdr:spPr>
        <a:xfrm flipV="1">
          <a:off x="16033750" y="21497677"/>
          <a:ext cx="2778125" cy="848918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303</xdr:row>
      <xdr:rowOff>67823</xdr:rowOff>
    </xdr:from>
    <xdr:to>
      <xdr:col>24</xdr:col>
      <xdr:colOff>21585</xdr:colOff>
      <xdr:row>307</xdr:row>
      <xdr:rowOff>13511</xdr:rowOff>
    </xdr:to>
    <xdr:cxnSp macro="">
      <xdr:nvCxnSpPr>
        <xdr:cNvPr id="919" name="Elbow Connector 61">
          <a:extLst>
            <a:ext uri="{FF2B5EF4-FFF2-40B4-BE49-F238E27FC236}">
              <a16:creationId xmlns:a16="http://schemas.microsoft.com/office/drawing/2014/main" id="{02AE85CA-F9FA-4E53-9FAA-4043B28B7595}"/>
            </a:ext>
          </a:extLst>
        </xdr:cNvPr>
        <xdr:cNvCxnSpPr/>
      </xdr:nvCxnSpPr>
      <xdr:spPr>
        <a:xfrm>
          <a:off x="16049256" y="22478031"/>
          <a:ext cx="2784204" cy="686522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302</xdr:row>
      <xdr:rowOff>82043</xdr:rowOff>
    </xdr:from>
    <xdr:to>
      <xdr:col>19</xdr:col>
      <xdr:colOff>68635</xdr:colOff>
      <xdr:row>303</xdr:row>
      <xdr:rowOff>59817</xdr:rowOff>
    </xdr:to>
    <xdr:sp macro="" textlink="">
      <xdr:nvSpPr>
        <xdr:cNvPr id="920" name="Oval 919">
          <a:extLst>
            <a:ext uri="{FF2B5EF4-FFF2-40B4-BE49-F238E27FC236}">
              <a16:creationId xmlns:a16="http://schemas.microsoft.com/office/drawing/2014/main" id="{2EFCB11F-26A7-4E82-B6E3-7B9402785B00}"/>
            </a:ext>
          </a:extLst>
        </xdr:cNvPr>
        <xdr:cNvSpPr/>
      </xdr:nvSpPr>
      <xdr:spPr>
        <a:xfrm>
          <a:off x="15959502" y="22307043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501536</xdr:colOff>
      <xdr:row>297</xdr:row>
      <xdr:rowOff>112280</xdr:rowOff>
    </xdr:from>
    <xdr:to>
      <xdr:col>24</xdr:col>
      <xdr:colOff>88794</xdr:colOff>
      <xdr:row>298</xdr:row>
      <xdr:rowOff>90055</xdr:rowOff>
    </xdr:to>
    <xdr:sp macro="" textlink="">
      <xdr:nvSpPr>
        <xdr:cNvPr id="921" name="Oval 920">
          <a:extLst>
            <a:ext uri="{FF2B5EF4-FFF2-40B4-BE49-F238E27FC236}">
              <a16:creationId xmlns:a16="http://schemas.microsoft.com/office/drawing/2014/main" id="{5E2D0D2F-976D-4E62-8331-411475B2F24D}"/>
            </a:ext>
          </a:extLst>
        </xdr:cNvPr>
        <xdr:cNvSpPr/>
      </xdr:nvSpPr>
      <xdr:spPr>
        <a:xfrm>
          <a:off x="18757786" y="21411238"/>
          <a:ext cx="142883" cy="16298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534205</xdr:colOff>
      <xdr:row>295</xdr:row>
      <xdr:rowOff>161644</xdr:rowOff>
    </xdr:from>
    <xdr:to>
      <xdr:col>30</xdr:col>
      <xdr:colOff>481377</xdr:colOff>
      <xdr:row>297</xdr:row>
      <xdr:rowOff>120952</xdr:rowOff>
    </xdr:to>
    <xdr:cxnSp macro="">
      <xdr:nvCxnSpPr>
        <xdr:cNvPr id="922" name="Elbow Connector 59">
          <a:extLst>
            <a:ext uri="{FF2B5EF4-FFF2-40B4-BE49-F238E27FC236}">
              <a16:creationId xmlns:a16="http://schemas.microsoft.com/office/drawing/2014/main" id="{5AEEA39D-FE43-428E-B57F-1733A6EDF89D}"/>
            </a:ext>
          </a:extLst>
        </xdr:cNvPr>
        <xdr:cNvCxnSpPr>
          <a:cxnSpLocks/>
          <a:endCxn id="934" idx="2"/>
        </xdr:cNvCxnSpPr>
      </xdr:nvCxnSpPr>
      <xdr:spPr>
        <a:xfrm flipV="1">
          <a:off x="18790455" y="21090186"/>
          <a:ext cx="4101130" cy="329724"/>
        </a:xfrm>
        <a:prstGeom prst="bentConnector3">
          <a:avLst>
            <a:gd name="adj1" fmla="val 495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298</xdr:row>
      <xdr:rowOff>67823</xdr:rowOff>
    </xdr:from>
    <xdr:to>
      <xdr:col>36</xdr:col>
      <xdr:colOff>0</xdr:colOff>
      <xdr:row>299</xdr:row>
      <xdr:rowOff>171349</xdr:rowOff>
    </xdr:to>
    <xdr:cxnSp macro="">
      <xdr:nvCxnSpPr>
        <xdr:cNvPr id="923" name="Elbow Connector 61">
          <a:extLst>
            <a:ext uri="{FF2B5EF4-FFF2-40B4-BE49-F238E27FC236}">
              <a16:creationId xmlns:a16="http://schemas.microsoft.com/office/drawing/2014/main" id="{B633ED21-DF9A-4146-8119-BD7D298508F7}"/>
            </a:ext>
          </a:extLst>
        </xdr:cNvPr>
        <xdr:cNvCxnSpPr/>
      </xdr:nvCxnSpPr>
      <xdr:spPr>
        <a:xfrm>
          <a:off x="18819637" y="21551990"/>
          <a:ext cx="6924321" cy="288734"/>
        </a:xfrm>
        <a:prstGeom prst="bentConnector3">
          <a:avLst>
            <a:gd name="adj1" fmla="val -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306</xdr:row>
      <xdr:rowOff>82043</xdr:rowOff>
    </xdr:from>
    <xdr:to>
      <xdr:col>24</xdr:col>
      <xdr:colOff>68635</xdr:colOff>
      <xdr:row>307</xdr:row>
      <xdr:rowOff>59817</xdr:rowOff>
    </xdr:to>
    <xdr:sp macro="" textlink="">
      <xdr:nvSpPr>
        <xdr:cNvPr id="924" name="Oval 923">
          <a:extLst>
            <a:ext uri="{FF2B5EF4-FFF2-40B4-BE49-F238E27FC236}">
              <a16:creationId xmlns:a16="http://schemas.microsoft.com/office/drawing/2014/main" id="{26C97E56-E9AC-4A3D-8FF1-64F4B83F900F}"/>
            </a:ext>
          </a:extLst>
        </xdr:cNvPr>
        <xdr:cNvSpPr/>
      </xdr:nvSpPr>
      <xdr:spPr>
        <a:xfrm>
          <a:off x="18737627" y="2304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306</xdr:row>
      <xdr:rowOff>82043</xdr:rowOff>
    </xdr:from>
    <xdr:to>
      <xdr:col>24</xdr:col>
      <xdr:colOff>68635</xdr:colOff>
      <xdr:row>307</xdr:row>
      <xdr:rowOff>59817</xdr:rowOff>
    </xdr:to>
    <xdr:sp macro="" textlink="">
      <xdr:nvSpPr>
        <xdr:cNvPr id="925" name="Oval 924">
          <a:extLst>
            <a:ext uri="{FF2B5EF4-FFF2-40B4-BE49-F238E27FC236}">
              <a16:creationId xmlns:a16="http://schemas.microsoft.com/office/drawing/2014/main" id="{6B00501A-3CB3-4595-98AE-1796B7B0699A}"/>
            </a:ext>
          </a:extLst>
        </xdr:cNvPr>
        <xdr:cNvSpPr/>
      </xdr:nvSpPr>
      <xdr:spPr>
        <a:xfrm>
          <a:off x="18737627" y="2304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306</xdr:row>
      <xdr:rowOff>82043</xdr:rowOff>
    </xdr:from>
    <xdr:to>
      <xdr:col>24</xdr:col>
      <xdr:colOff>68635</xdr:colOff>
      <xdr:row>307</xdr:row>
      <xdr:rowOff>59817</xdr:rowOff>
    </xdr:to>
    <xdr:sp macro="" textlink="">
      <xdr:nvSpPr>
        <xdr:cNvPr id="926" name="Oval 925">
          <a:extLst>
            <a:ext uri="{FF2B5EF4-FFF2-40B4-BE49-F238E27FC236}">
              <a16:creationId xmlns:a16="http://schemas.microsoft.com/office/drawing/2014/main" id="{7BAA0DA7-3271-45F5-BF96-45228BF5CAC4}"/>
            </a:ext>
          </a:extLst>
        </xdr:cNvPr>
        <xdr:cNvSpPr/>
      </xdr:nvSpPr>
      <xdr:spPr>
        <a:xfrm>
          <a:off x="18737627" y="2304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306</xdr:row>
      <xdr:rowOff>82043</xdr:rowOff>
    </xdr:from>
    <xdr:to>
      <xdr:col>24</xdr:col>
      <xdr:colOff>68635</xdr:colOff>
      <xdr:row>307</xdr:row>
      <xdr:rowOff>59817</xdr:rowOff>
    </xdr:to>
    <xdr:sp macro="" textlink="">
      <xdr:nvSpPr>
        <xdr:cNvPr id="927" name="Oval 926">
          <a:extLst>
            <a:ext uri="{FF2B5EF4-FFF2-40B4-BE49-F238E27FC236}">
              <a16:creationId xmlns:a16="http://schemas.microsoft.com/office/drawing/2014/main" id="{46F037C8-6337-4907-A6B1-4FE2D21EE0A6}"/>
            </a:ext>
          </a:extLst>
        </xdr:cNvPr>
        <xdr:cNvSpPr/>
      </xdr:nvSpPr>
      <xdr:spPr>
        <a:xfrm>
          <a:off x="18737627" y="2304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305</xdr:row>
      <xdr:rowOff>13512</xdr:rowOff>
    </xdr:from>
    <xdr:to>
      <xdr:col>30</xdr:col>
      <xdr:colOff>513404</xdr:colOff>
      <xdr:row>306</xdr:row>
      <xdr:rowOff>82044</xdr:rowOff>
    </xdr:to>
    <xdr:cxnSp macro="">
      <xdr:nvCxnSpPr>
        <xdr:cNvPr id="928" name="Elbow Connector 59">
          <a:extLst>
            <a:ext uri="{FF2B5EF4-FFF2-40B4-BE49-F238E27FC236}">
              <a16:creationId xmlns:a16="http://schemas.microsoft.com/office/drawing/2014/main" id="{F27BAF21-5B3A-4DEF-B398-F14FC3ED119D}"/>
            </a:ext>
          </a:extLst>
        </xdr:cNvPr>
        <xdr:cNvCxnSpPr>
          <a:cxnSpLocks/>
          <a:stCxn id="927" idx="0"/>
        </xdr:cNvCxnSpPr>
      </xdr:nvCxnSpPr>
      <xdr:spPr>
        <a:xfrm rot="5400000" flipH="1" flipV="1">
          <a:off x="20739048" y="20863313"/>
          <a:ext cx="253740" cy="4115388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295</xdr:row>
      <xdr:rowOff>82043</xdr:rowOff>
    </xdr:from>
    <xdr:to>
      <xdr:col>31</xdr:col>
      <xdr:colOff>68635</xdr:colOff>
      <xdr:row>296</xdr:row>
      <xdr:rowOff>59817</xdr:rowOff>
    </xdr:to>
    <xdr:sp macro="" textlink="">
      <xdr:nvSpPr>
        <xdr:cNvPr id="929" name="Oval 928">
          <a:extLst>
            <a:ext uri="{FF2B5EF4-FFF2-40B4-BE49-F238E27FC236}">
              <a16:creationId xmlns:a16="http://schemas.microsoft.com/office/drawing/2014/main" id="{25C89790-28EA-4119-A4EA-39E5E294A102}"/>
            </a:ext>
          </a:extLst>
        </xdr:cNvPr>
        <xdr:cNvSpPr/>
      </xdr:nvSpPr>
      <xdr:spPr>
        <a:xfrm>
          <a:off x="22891585" y="210105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293</xdr:row>
      <xdr:rowOff>168388</xdr:rowOff>
    </xdr:from>
    <xdr:to>
      <xdr:col>36</xdr:col>
      <xdr:colOff>27021</xdr:colOff>
      <xdr:row>296</xdr:row>
      <xdr:rowOff>90619</xdr:rowOff>
    </xdr:to>
    <xdr:cxnSp macro="">
      <xdr:nvCxnSpPr>
        <xdr:cNvPr id="930" name="Elbow Connector 59">
          <a:extLst>
            <a:ext uri="{FF2B5EF4-FFF2-40B4-BE49-F238E27FC236}">
              <a16:creationId xmlns:a16="http://schemas.microsoft.com/office/drawing/2014/main" id="{281401A9-B6D4-4610-AF03-70EF6870B3D9}"/>
            </a:ext>
          </a:extLst>
        </xdr:cNvPr>
        <xdr:cNvCxnSpPr>
          <a:cxnSpLocks/>
        </xdr:cNvCxnSpPr>
      </xdr:nvCxnSpPr>
      <xdr:spPr>
        <a:xfrm flipV="1">
          <a:off x="22965833" y="20726513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295</xdr:row>
      <xdr:rowOff>67823</xdr:rowOff>
    </xdr:from>
    <xdr:to>
      <xdr:col>36</xdr:col>
      <xdr:colOff>290</xdr:colOff>
      <xdr:row>298</xdr:row>
      <xdr:rowOff>13511</xdr:rowOff>
    </xdr:to>
    <xdr:cxnSp macro="">
      <xdr:nvCxnSpPr>
        <xdr:cNvPr id="931" name="Elbow Connector 61">
          <a:extLst>
            <a:ext uri="{FF2B5EF4-FFF2-40B4-BE49-F238E27FC236}">
              <a16:creationId xmlns:a16="http://schemas.microsoft.com/office/drawing/2014/main" id="{24EF7D03-B2DB-44F1-9791-76632987ECB0}"/>
            </a:ext>
          </a:extLst>
        </xdr:cNvPr>
        <xdr:cNvCxnSpPr/>
      </xdr:nvCxnSpPr>
      <xdr:spPr>
        <a:xfrm>
          <a:off x="22960044" y="20996365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295</xdr:row>
      <xdr:rowOff>82043</xdr:rowOff>
    </xdr:from>
    <xdr:to>
      <xdr:col>31</xdr:col>
      <xdr:colOff>68635</xdr:colOff>
      <xdr:row>296</xdr:row>
      <xdr:rowOff>59817</xdr:rowOff>
    </xdr:to>
    <xdr:sp macro="" textlink="">
      <xdr:nvSpPr>
        <xdr:cNvPr id="932" name="Oval 931">
          <a:extLst>
            <a:ext uri="{FF2B5EF4-FFF2-40B4-BE49-F238E27FC236}">
              <a16:creationId xmlns:a16="http://schemas.microsoft.com/office/drawing/2014/main" id="{1862156B-89B3-45BF-B046-595966D7897B}"/>
            </a:ext>
          </a:extLst>
        </xdr:cNvPr>
        <xdr:cNvSpPr/>
      </xdr:nvSpPr>
      <xdr:spPr>
        <a:xfrm>
          <a:off x="22891585" y="210105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295</xdr:row>
      <xdr:rowOff>82043</xdr:rowOff>
    </xdr:from>
    <xdr:to>
      <xdr:col>31</xdr:col>
      <xdr:colOff>68635</xdr:colOff>
      <xdr:row>296</xdr:row>
      <xdr:rowOff>59817</xdr:rowOff>
    </xdr:to>
    <xdr:sp macro="" textlink="">
      <xdr:nvSpPr>
        <xdr:cNvPr id="933" name="Oval 932">
          <a:extLst>
            <a:ext uri="{FF2B5EF4-FFF2-40B4-BE49-F238E27FC236}">
              <a16:creationId xmlns:a16="http://schemas.microsoft.com/office/drawing/2014/main" id="{C66EED29-B095-47A4-B25E-9BAF1F6C4894}"/>
            </a:ext>
          </a:extLst>
        </xdr:cNvPr>
        <xdr:cNvSpPr/>
      </xdr:nvSpPr>
      <xdr:spPr>
        <a:xfrm>
          <a:off x="22891585" y="210105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295</xdr:row>
      <xdr:rowOff>82043</xdr:rowOff>
    </xdr:from>
    <xdr:to>
      <xdr:col>31</xdr:col>
      <xdr:colOff>68635</xdr:colOff>
      <xdr:row>296</xdr:row>
      <xdr:rowOff>59817</xdr:rowOff>
    </xdr:to>
    <xdr:sp macro="" textlink="">
      <xdr:nvSpPr>
        <xdr:cNvPr id="934" name="Oval 933">
          <a:extLst>
            <a:ext uri="{FF2B5EF4-FFF2-40B4-BE49-F238E27FC236}">
              <a16:creationId xmlns:a16="http://schemas.microsoft.com/office/drawing/2014/main" id="{F1707883-3D11-49A0-A7C9-01223D977E18}"/>
            </a:ext>
          </a:extLst>
        </xdr:cNvPr>
        <xdr:cNvSpPr/>
      </xdr:nvSpPr>
      <xdr:spPr>
        <a:xfrm>
          <a:off x="22891585" y="210105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293</xdr:row>
      <xdr:rowOff>48117</xdr:rowOff>
    </xdr:from>
    <xdr:to>
      <xdr:col>36</xdr:col>
      <xdr:colOff>100793</xdr:colOff>
      <xdr:row>294</xdr:row>
      <xdr:rowOff>120953</xdr:rowOff>
    </xdr:to>
    <xdr:sp macro="" textlink="">
      <xdr:nvSpPr>
        <xdr:cNvPr id="935" name="Oval 934">
          <a:extLst>
            <a:ext uri="{FF2B5EF4-FFF2-40B4-BE49-F238E27FC236}">
              <a16:creationId xmlns:a16="http://schemas.microsoft.com/office/drawing/2014/main" id="{D7F2F578-5C76-468F-B12E-5A0FF9094667}"/>
            </a:ext>
          </a:extLst>
        </xdr:cNvPr>
        <xdr:cNvSpPr/>
      </xdr:nvSpPr>
      <xdr:spPr>
        <a:xfrm>
          <a:off x="25599402" y="20606242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297</xdr:row>
      <xdr:rowOff>112082</xdr:rowOff>
    </xdr:from>
    <xdr:to>
      <xdr:col>36</xdr:col>
      <xdr:colOff>14091</xdr:colOff>
      <xdr:row>298</xdr:row>
      <xdr:rowOff>122741</xdr:rowOff>
    </xdr:to>
    <xdr:sp macro="" textlink="">
      <xdr:nvSpPr>
        <xdr:cNvPr id="936" name="Isosceles Triangle 935">
          <a:extLst>
            <a:ext uri="{FF2B5EF4-FFF2-40B4-BE49-F238E27FC236}">
              <a16:creationId xmlns:a16="http://schemas.microsoft.com/office/drawing/2014/main" id="{DAFC95FC-8189-4A84-9C7A-A0FB09763278}"/>
            </a:ext>
          </a:extLst>
        </xdr:cNvPr>
        <xdr:cNvSpPr/>
      </xdr:nvSpPr>
      <xdr:spPr>
        <a:xfrm rot="16200000">
          <a:off x="25582491" y="21431350"/>
          <a:ext cx="195868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307</xdr:row>
      <xdr:rowOff>57743</xdr:rowOff>
    </xdr:from>
    <xdr:to>
      <xdr:col>36</xdr:col>
      <xdr:colOff>10080</xdr:colOff>
      <xdr:row>308</xdr:row>
      <xdr:rowOff>161270</xdr:rowOff>
    </xdr:to>
    <xdr:cxnSp macro="">
      <xdr:nvCxnSpPr>
        <xdr:cNvPr id="937" name="Elbow Connector 61">
          <a:extLst>
            <a:ext uri="{FF2B5EF4-FFF2-40B4-BE49-F238E27FC236}">
              <a16:creationId xmlns:a16="http://schemas.microsoft.com/office/drawing/2014/main" id="{8B3592C6-FF27-44EE-9ED5-1401121CAEE5}"/>
            </a:ext>
          </a:extLst>
        </xdr:cNvPr>
        <xdr:cNvCxnSpPr/>
      </xdr:nvCxnSpPr>
      <xdr:spPr>
        <a:xfrm>
          <a:off x="18829717" y="23208785"/>
          <a:ext cx="6924321" cy="288735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304</xdr:row>
      <xdr:rowOff>82043</xdr:rowOff>
    </xdr:from>
    <xdr:to>
      <xdr:col>31</xdr:col>
      <xdr:colOff>68635</xdr:colOff>
      <xdr:row>305</xdr:row>
      <xdr:rowOff>59817</xdr:rowOff>
    </xdr:to>
    <xdr:sp macro="" textlink="">
      <xdr:nvSpPr>
        <xdr:cNvPr id="938" name="Oval 937">
          <a:extLst>
            <a:ext uri="{FF2B5EF4-FFF2-40B4-BE49-F238E27FC236}">
              <a16:creationId xmlns:a16="http://schemas.microsoft.com/office/drawing/2014/main" id="{03B0DE7A-2537-460C-B467-A6A192173B6E}"/>
            </a:ext>
          </a:extLst>
        </xdr:cNvPr>
        <xdr:cNvSpPr/>
      </xdr:nvSpPr>
      <xdr:spPr>
        <a:xfrm>
          <a:off x="22891585" y="22677460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302</xdr:row>
      <xdr:rowOff>168388</xdr:rowOff>
    </xdr:from>
    <xdr:to>
      <xdr:col>36</xdr:col>
      <xdr:colOff>27021</xdr:colOff>
      <xdr:row>305</xdr:row>
      <xdr:rowOff>90619</xdr:rowOff>
    </xdr:to>
    <xdr:cxnSp macro="">
      <xdr:nvCxnSpPr>
        <xdr:cNvPr id="939" name="Elbow Connector 59">
          <a:extLst>
            <a:ext uri="{FF2B5EF4-FFF2-40B4-BE49-F238E27FC236}">
              <a16:creationId xmlns:a16="http://schemas.microsoft.com/office/drawing/2014/main" id="{01D3E71D-44DE-4CF9-8E79-606D529EB6ED}"/>
            </a:ext>
          </a:extLst>
        </xdr:cNvPr>
        <xdr:cNvCxnSpPr>
          <a:cxnSpLocks/>
        </xdr:cNvCxnSpPr>
      </xdr:nvCxnSpPr>
      <xdr:spPr>
        <a:xfrm flipV="1">
          <a:off x="22965833" y="22393388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304</xdr:row>
      <xdr:rowOff>67823</xdr:rowOff>
    </xdr:from>
    <xdr:to>
      <xdr:col>35</xdr:col>
      <xdr:colOff>555915</xdr:colOff>
      <xdr:row>307</xdr:row>
      <xdr:rowOff>13511</xdr:rowOff>
    </xdr:to>
    <xdr:cxnSp macro="">
      <xdr:nvCxnSpPr>
        <xdr:cNvPr id="940" name="Elbow Connector 61">
          <a:extLst>
            <a:ext uri="{FF2B5EF4-FFF2-40B4-BE49-F238E27FC236}">
              <a16:creationId xmlns:a16="http://schemas.microsoft.com/office/drawing/2014/main" id="{551B385C-A1D7-4F4F-AD88-4C432D5855FC}"/>
            </a:ext>
          </a:extLst>
        </xdr:cNvPr>
        <xdr:cNvCxnSpPr/>
      </xdr:nvCxnSpPr>
      <xdr:spPr>
        <a:xfrm>
          <a:off x="22960044" y="22663240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304</xdr:row>
      <xdr:rowOff>82043</xdr:rowOff>
    </xdr:from>
    <xdr:to>
      <xdr:col>31</xdr:col>
      <xdr:colOff>68635</xdr:colOff>
      <xdr:row>305</xdr:row>
      <xdr:rowOff>59817</xdr:rowOff>
    </xdr:to>
    <xdr:sp macro="" textlink="">
      <xdr:nvSpPr>
        <xdr:cNvPr id="941" name="Oval 940">
          <a:extLst>
            <a:ext uri="{FF2B5EF4-FFF2-40B4-BE49-F238E27FC236}">
              <a16:creationId xmlns:a16="http://schemas.microsoft.com/office/drawing/2014/main" id="{D22E8DD3-35CC-4C71-9FBC-B9693C8C7F15}"/>
            </a:ext>
          </a:extLst>
        </xdr:cNvPr>
        <xdr:cNvSpPr/>
      </xdr:nvSpPr>
      <xdr:spPr>
        <a:xfrm>
          <a:off x="22891585" y="22677460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304</xdr:row>
      <xdr:rowOff>82043</xdr:rowOff>
    </xdr:from>
    <xdr:to>
      <xdr:col>31</xdr:col>
      <xdr:colOff>68635</xdr:colOff>
      <xdr:row>305</xdr:row>
      <xdr:rowOff>59817</xdr:rowOff>
    </xdr:to>
    <xdr:sp macro="" textlink="">
      <xdr:nvSpPr>
        <xdr:cNvPr id="942" name="Oval 941">
          <a:extLst>
            <a:ext uri="{FF2B5EF4-FFF2-40B4-BE49-F238E27FC236}">
              <a16:creationId xmlns:a16="http://schemas.microsoft.com/office/drawing/2014/main" id="{A317D285-5FBD-4EC1-8C91-E973592BCDE5}"/>
            </a:ext>
          </a:extLst>
        </xdr:cNvPr>
        <xdr:cNvSpPr/>
      </xdr:nvSpPr>
      <xdr:spPr>
        <a:xfrm>
          <a:off x="22891585" y="22677460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304</xdr:row>
      <xdr:rowOff>82043</xdr:rowOff>
    </xdr:from>
    <xdr:to>
      <xdr:col>31</xdr:col>
      <xdr:colOff>68635</xdr:colOff>
      <xdr:row>305</xdr:row>
      <xdr:rowOff>59817</xdr:rowOff>
    </xdr:to>
    <xdr:sp macro="" textlink="">
      <xdr:nvSpPr>
        <xdr:cNvPr id="943" name="Oval 942">
          <a:extLst>
            <a:ext uri="{FF2B5EF4-FFF2-40B4-BE49-F238E27FC236}">
              <a16:creationId xmlns:a16="http://schemas.microsoft.com/office/drawing/2014/main" id="{962FD6F3-BA6F-4ACD-A0AD-1F61315ECA84}"/>
            </a:ext>
          </a:extLst>
        </xdr:cNvPr>
        <xdr:cNvSpPr/>
      </xdr:nvSpPr>
      <xdr:spPr>
        <a:xfrm>
          <a:off x="22891585" y="22677460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302</xdr:row>
      <xdr:rowOff>48117</xdr:rowOff>
    </xdr:from>
    <xdr:to>
      <xdr:col>36</xdr:col>
      <xdr:colOff>100793</xdr:colOff>
      <xdr:row>303</xdr:row>
      <xdr:rowOff>120953</xdr:rowOff>
    </xdr:to>
    <xdr:sp macro="" textlink="">
      <xdr:nvSpPr>
        <xdr:cNvPr id="944" name="Oval 943">
          <a:extLst>
            <a:ext uri="{FF2B5EF4-FFF2-40B4-BE49-F238E27FC236}">
              <a16:creationId xmlns:a16="http://schemas.microsoft.com/office/drawing/2014/main" id="{07AEC2A5-F352-4317-89ED-3AE175B092E0}"/>
            </a:ext>
          </a:extLst>
        </xdr:cNvPr>
        <xdr:cNvSpPr/>
      </xdr:nvSpPr>
      <xdr:spPr>
        <a:xfrm>
          <a:off x="25599402" y="22273117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308</xdr:row>
      <xdr:rowOff>90713</xdr:rowOff>
    </xdr:from>
    <xdr:to>
      <xdr:col>36</xdr:col>
      <xdr:colOff>12880</xdr:colOff>
      <xdr:row>309</xdr:row>
      <xdr:rowOff>101372</xdr:rowOff>
    </xdr:to>
    <xdr:sp macro="" textlink="">
      <xdr:nvSpPr>
        <xdr:cNvPr id="945" name="Isosceles Triangle 944">
          <a:extLst>
            <a:ext uri="{FF2B5EF4-FFF2-40B4-BE49-F238E27FC236}">
              <a16:creationId xmlns:a16="http://schemas.microsoft.com/office/drawing/2014/main" id="{C7C3ED69-DDE9-4E54-B8FD-30AC56F061FC}"/>
            </a:ext>
          </a:extLst>
        </xdr:cNvPr>
        <xdr:cNvSpPr/>
      </xdr:nvSpPr>
      <xdr:spPr>
        <a:xfrm rot="16200000">
          <a:off x="25581280" y="23447273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306</xdr:row>
      <xdr:rowOff>112082</xdr:rowOff>
    </xdr:from>
    <xdr:to>
      <xdr:col>36</xdr:col>
      <xdr:colOff>14091</xdr:colOff>
      <xdr:row>307</xdr:row>
      <xdr:rowOff>122741</xdr:rowOff>
    </xdr:to>
    <xdr:sp macro="" textlink="">
      <xdr:nvSpPr>
        <xdr:cNvPr id="946" name="Isosceles Triangle 945">
          <a:extLst>
            <a:ext uri="{FF2B5EF4-FFF2-40B4-BE49-F238E27FC236}">
              <a16:creationId xmlns:a16="http://schemas.microsoft.com/office/drawing/2014/main" id="{2339C8A2-4C35-415A-9D8F-6F31ABF8CE82}"/>
            </a:ext>
          </a:extLst>
        </xdr:cNvPr>
        <xdr:cNvSpPr/>
      </xdr:nvSpPr>
      <xdr:spPr>
        <a:xfrm rot="16200000">
          <a:off x="25582491" y="23098225"/>
          <a:ext cx="195868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299</xdr:row>
      <xdr:rowOff>83054</xdr:rowOff>
    </xdr:from>
    <xdr:to>
      <xdr:col>36</xdr:col>
      <xdr:colOff>15299</xdr:colOff>
      <xdr:row>300</xdr:row>
      <xdr:rowOff>93713</xdr:rowOff>
    </xdr:to>
    <xdr:sp macro="" textlink="">
      <xdr:nvSpPr>
        <xdr:cNvPr id="947" name="Isosceles Triangle 946">
          <a:extLst>
            <a:ext uri="{FF2B5EF4-FFF2-40B4-BE49-F238E27FC236}">
              <a16:creationId xmlns:a16="http://schemas.microsoft.com/office/drawing/2014/main" id="{BAD33E22-66F9-4456-8C9E-CB78CB782685}"/>
            </a:ext>
          </a:extLst>
        </xdr:cNvPr>
        <xdr:cNvSpPr/>
      </xdr:nvSpPr>
      <xdr:spPr>
        <a:xfrm rot="16200000">
          <a:off x="25583699" y="21772739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323206</xdr:colOff>
      <xdr:row>292</xdr:row>
      <xdr:rowOff>139338</xdr:rowOff>
    </xdr:from>
    <xdr:to>
      <xdr:col>36</xdr:col>
      <xdr:colOff>207486</xdr:colOff>
      <xdr:row>295</xdr:row>
      <xdr:rowOff>46919</xdr:rowOff>
    </xdr:to>
    <xdr:sp macro="" textlink="">
      <xdr:nvSpPr>
        <xdr:cNvPr id="948" name="Oval 947">
          <a:extLst>
            <a:ext uri="{FF2B5EF4-FFF2-40B4-BE49-F238E27FC236}">
              <a16:creationId xmlns:a16="http://schemas.microsoft.com/office/drawing/2014/main" id="{4DEB8FCB-7DF1-481F-9E11-3B0FA4A7B031}"/>
            </a:ext>
          </a:extLst>
        </xdr:cNvPr>
        <xdr:cNvSpPr/>
      </xdr:nvSpPr>
      <xdr:spPr>
        <a:xfrm>
          <a:off x="25511539" y="20512255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327932</xdr:colOff>
      <xdr:row>301</xdr:row>
      <xdr:rowOff>129296</xdr:rowOff>
    </xdr:from>
    <xdr:to>
      <xdr:col>36</xdr:col>
      <xdr:colOff>212212</xdr:colOff>
      <xdr:row>304</xdr:row>
      <xdr:rowOff>36877</xdr:rowOff>
    </xdr:to>
    <xdr:sp macro="" textlink="">
      <xdr:nvSpPr>
        <xdr:cNvPr id="949" name="Oval 948">
          <a:extLst>
            <a:ext uri="{FF2B5EF4-FFF2-40B4-BE49-F238E27FC236}">
              <a16:creationId xmlns:a16="http://schemas.microsoft.com/office/drawing/2014/main" id="{08D41344-B0CB-406F-A2C2-3C3C2D2A321B}"/>
            </a:ext>
          </a:extLst>
        </xdr:cNvPr>
        <xdr:cNvSpPr/>
      </xdr:nvSpPr>
      <xdr:spPr>
        <a:xfrm>
          <a:off x="25516265" y="22169088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4</xdr:col>
      <xdr:colOff>0</xdr:colOff>
      <xdr:row>284</xdr:row>
      <xdr:rowOff>27021</xdr:rowOff>
    </xdr:from>
    <xdr:to>
      <xdr:col>13</xdr:col>
      <xdr:colOff>467432</xdr:colOff>
      <xdr:row>284</xdr:row>
      <xdr:rowOff>32595</xdr:rowOff>
    </xdr:to>
    <xdr:cxnSp macro="">
      <xdr:nvCxnSpPr>
        <xdr:cNvPr id="950" name="Straight Connector 949">
          <a:extLst>
            <a:ext uri="{FF2B5EF4-FFF2-40B4-BE49-F238E27FC236}">
              <a16:creationId xmlns:a16="http://schemas.microsoft.com/office/drawing/2014/main" id="{D46D5998-45A3-44A3-91D0-37E2D8890BE1}"/>
            </a:ext>
          </a:extLst>
        </xdr:cNvPr>
        <xdr:cNvCxnSpPr/>
      </xdr:nvCxnSpPr>
      <xdr:spPr>
        <a:xfrm>
          <a:off x="7646458" y="18918271"/>
          <a:ext cx="5520974" cy="55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542258</xdr:colOff>
      <xdr:row>343</xdr:row>
      <xdr:rowOff>83636</xdr:rowOff>
    </xdr:from>
    <xdr:to>
      <xdr:col>18</xdr:col>
      <xdr:colOff>481376</xdr:colOff>
      <xdr:row>361</xdr:row>
      <xdr:rowOff>165505</xdr:rowOff>
    </xdr:to>
    <xdr:cxnSp macro="">
      <xdr:nvCxnSpPr>
        <xdr:cNvPr id="951" name="Elbow Connector 39">
          <a:extLst>
            <a:ext uri="{FF2B5EF4-FFF2-40B4-BE49-F238E27FC236}">
              <a16:creationId xmlns:a16="http://schemas.microsoft.com/office/drawing/2014/main" id="{CB443CFA-1083-4169-BE08-6D21A8E51067}"/>
            </a:ext>
          </a:extLst>
        </xdr:cNvPr>
        <xdr:cNvCxnSpPr>
          <a:cxnSpLocks/>
          <a:stCxn id="953" idx="4"/>
          <a:endCxn id="1027" idx="2"/>
        </xdr:cNvCxnSpPr>
      </xdr:nvCxnSpPr>
      <xdr:spPr>
        <a:xfrm rot="16200000" flipH="1">
          <a:off x="12893070" y="19324074"/>
          <a:ext cx="3415619" cy="2717243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100014</xdr:colOff>
      <xdr:row>342</xdr:row>
      <xdr:rowOff>183576</xdr:rowOff>
    </xdr:from>
    <xdr:to>
      <xdr:col>19</xdr:col>
      <xdr:colOff>0</xdr:colOff>
      <xdr:row>343</xdr:row>
      <xdr:rowOff>13511</xdr:rowOff>
    </xdr:to>
    <xdr:cxnSp macro="">
      <xdr:nvCxnSpPr>
        <xdr:cNvPr id="952" name="Straight Connector 951">
          <a:extLst>
            <a:ext uri="{FF2B5EF4-FFF2-40B4-BE49-F238E27FC236}">
              <a16:creationId xmlns:a16="http://schemas.microsoft.com/office/drawing/2014/main" id="{522BA303-6FA4-4825-BC45-81E9A7AF8BD1}"/>
            </a:ext>
          </a:extLst>
        </xdr:cNvPr>
        <xdr:cNvCxnSpPr/>
      </xdr:nvCxnSpPr>
      <xdr:spPr>
        <a:xfrm>
          <a:off x="13355639" y="18889618"/>
          <a:ext cx="2678111" cy="1514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471662</xdr:colOff>
      <xdr:row>342</xdr:row>
      <xdr:rowOff>99512</xdr:rowOff>
    </xdr:from>
    <xdr:to>
      <xdr:col>14</xdr:col>
      <xdr:colOff>58920</xdr:colOff>
      <xdr:row>343</xdr:row>
      <xdr:rowOff>83636</xdr:rowOff>
    </xdr:to>
    <xdr:sp macro="" textlink="">
      <xdr:nvSpPr>
        <xdr:cNvPr id="953" name="Oval 952">
          <a:extLst>
            <a:ext uri="{FF2B5EF4-FFF2-40B4-BE49-F238E27FC236}">
              <a16:creationId xmlns:a16="http://schemas.microsoft.com/office/drawing/2014/main" id="{6F702096-C018-483D-A21F-DF56FB9F08E8}"/>
            </a:ext>
          </a:extLst>
        </xdr:cNvPr>
        <xdr:cNvSpPr/>
      </xdr:nvSpPr>
      <xdr:spPr>
        <a:xfrm>
          <a:off x="13171662" y="18805554"/>
          <a:ext cx="142883" cy="16933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503680</xdr:colOff>
      <xdr:row>324</xdr:row>
      <xdr:rowOff>162127</xdr:rowOff>
    </xdr:from>
    <xdr:to>
      <xdr:col>18</xdr:col>
      <xdr:colOff>540426</xdr:colOff>
      <xdr:row>342</xdr:row>
      <xdr:rowOff>98357</xdr:rowOff>
    </xdr:to>
    <xdr:cxnSp macro="">
      <xdr:nvCxnSpPr>
        <xdr:cNvPr id="954" name="Elbow Connector 34">
          <a:extLst>
            <a:ext uri="{FF2B5EF4-FFF2-40B4-BE49-F238E27FC236}">
              <a16:creationId xmlns:a16="http://schemas.microsoft.com/office/drawing/2014/main" id="{7031EE33-E711-4A5F-9190-7B4B22DBDCEF}"/>
            </a:ext>
          </a:extLst>
        </xdr:cNvPr>
        <xdr:cNvCxnSpPr/>
      </xdr:nvCxnSpPr>
      <xdr:spPr>
        <a:xfrm flipV="1">
          <a:off x="13203680" y="15534419"/>
          <a:ext cx="2814871" cy="3269980"/>
        </a:xfrm>
        <a:prstGeom prst="bentConnector3">
          <a:avLst>
            <a:gd name="adj1" fmla="val 18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324</xdr:row>
      <xdr:rowOff>82043</xdr:rowOff>
    </xdr:from>
    <xdr:to>
      <xdr:col>19</xdr:col>
      <xdr:colOff>68635</xdr:colOff>
      <xdr:row>325</xdr:row>
      <xdr:rowOff>59817</xdr:rowOff>
    </xdr:to>
    <xdr:sp macro="" textlink="">
      <xdr:nvSpPr>
        <xdr:cNvPr id="955" name="Oval 954">
          <a:extLst>
            <a:ext uri="{FF2B5EF4-FFF2-40B4-BE49-F238E27FC236}">
              <a16:creationId xmlns:a16="http://schemas.microsoft.com/office/drawing/2014/main" id="{C305906E-18A7-494E-A3DA-199B014FBAE9}"/>
            </a:ext>
          </a:extLst>
        </xdr:cNvPr>
        <xdr:cNvSpPr/>
      </xdr:nvSpPr>
      <xdr:spPr>
        <a:xfrm>
          <a:off x="15959502" y="1545433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320</xdr:row>
      <xdr:rowOff>13510</xdr:rowOff>
    </xdr:from>
    <xdr:to>
      <xdr:col>24</xdr:col>
      <xdr:colOff>0</xdr:colOff>
      <xdr:row>324</xdr:row>
      <xdr:rowOff>121595</xdr:rowOff>
    </xdr:to>
    <xdr:cxnSp macro="">
      <xdr:nvCxnSpPr>
        <xdr:cNvPr id="956" name="Elbow Connector 59">
          <a:extLst>
            <a:ext uri="{FF2B5EF4-FFF2-40B4-BE49-F238E27FC236}">
              <a16:creationId xmlns:a16="http://schemas.microsoft.com/office/drawing/2014/main" id="{D14511FC-DC1A-4482-BFB3-8E287142050A}"/>
            </a:ext>
          </a:extLst>
        </xdr:cNvPr>
        <xdr:cNvCxnSpPr>
          <a:cxnSpLocks/>
        </xdr:cNvCxnSpPr>
      </xdr:nvCxnSpPr>
      <xdr:spPr>
        <a:xfrm flipV="1">
          <a:off x="16033750" y="14644968"/>
          <a:ext cx="2778125" cy="848919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325</xdr:row>
      <xdr:rowOff>67823</xdr:rowOff>
    </xdr:from>
    <xdr:to>
      <xdr:col>24</xdr:col>
      <xdr:colOff>21585</xdr:colOff>
      <xdr:row>329</xdr:row>
      <xdr:rowOff>13511</xdr:rowOff>
    </xdr:to>
    <xdr:cxnSp macro="">
      <xdr:nvCxnSpPr>
        <xdr:cNvPr id="957" name="Elbow Connector 61">
          <a:extLst>
            <a:ext uri="{FF2B5EF4-FFF2-40B4-BE49-F238E27FC236}">
              <a16:creationId xmlns:a16="http://schemas.microsoft.com/office/drawing/2014/main" id="{C75439E3-5D1B-434E-8779-38BB67DB6C90}"/>
            </a:ext>
          </a:extLst>
        </xdr:cNvPr>
        <xdr:cNvCxnSpPr/>
      </xdr:nvCxnSpPr>
      <xdr:spPr>
        <a:xfrm>
          <a:off x="16049256" y="15625323"/>
          <a:ext cx="2784204" cy="686521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324</xdr:row>
      <xdr:rowOff>82043</xdr:rowOff>
    </xdr:from>
    <xdr:to>
      <xdr:col>19</xdr:col>
      <xdr:colOff>68635</xdr:colOff>
      <xdr:row>325</xdr:row>
      <xdr:rowOff>59817</xdr:rowOff>
    </xdr:to>
    <xdr:sp macro="" textlink="">
      <xdr:nvSpPr>
        <xdr:cNvPr id="958" name="Oval 957">
          <a:extLst>
            <a:ext uri="{FF2B5EF4-FFF2-40B4-BE49-F238E27FC236}">
              <a16:creationId xmlns:a16="http://schemas.microsoft.com/office/drawing/2014/main" id="{E164F3BB-382B-4E9B-91B2-C5F1298E3524}"/>
            </a:ext>
          </a:extLst>
        </xdr:cNvPr>
        <xdr:cNvSpPr/>
      </xdr:nvSpPr>
      <xdr:spPr>
        <a:xfrm>
          <a:off x="15959502" y="1545433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320</xdr:row>
      <xdr:rowOff>82043</xdr:rowOff>
    </xdr:from>
    <xdr:to>
      <xdr:col>24</xdr:col>
      <xdr:colOff>68635</xdr:colOff>
      <xdr:row>321</xdr:row>
      <xdr:rowOff>59817</xdr:rowOff>
    </xdr:to>
    <xdr:sp macro="" textlink="">
      <xdr:nvSpPr>
        <xdr:cNvPr id="959" name="Oval 958">
          <a:extLst>
            <a:ext uri="{FF2B5EF4-FFF2-40B4-BE49-F238E27FC236}">
              <a16:creationId xmlns:a16="http://schemas.microsoft.com/office/drawing/2014/main" id="{C3318B08-0BEA-4DAE-9960-91947D473AFA}"/>
            </a:ext>
          </a:extLst>
        </xdr:cNvPr>
        <xdr:cNvSpPr/>
      </xdr:nvSpPr>
      <xdr:spPr>
        <a:xfrm>
          <a:off x="18737627" y="14713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0</xdr:colOff>
      <xdr:row>318</xdr:row>
      <xdr:rowOff>13510</xdr:rowOff>
    </xdr:from>
    <xdr:to>
      <xdr:col>31</xdr:col>
      <xdr:colOff>27021</xdr:colOff>
      <xdr:row>320</xdr:row>
      <xdr:rowOff>121595</xdr:rowOff>
    </xdr:to>
    <xdr:cxnSp macro="">
      <xdr:nvCxnSpPr>
        <xdr:cNvPr id="960" name="Elbow Connector 59">
          <a:extLst>
            <a:ext uri="{FF2B5EF4-FFF2-40B4-BE49-F238E27FC236}">
              <a16:creationId xmlns:a16="http://schemas.microsoft.com/office/drawing/2014/main" id="{7BE1A289-D33F-4D39-AD35-622A5526E47C}"/>
            </a:ext>
          </a:extLst>
        </xdr:cNvPr>
        <xdr:cNvCxnSpPr>
          <a:cxnSpLocks/>
        </xdr:cNvCxnSpPr>
      </xdr:nvCxnSpPr>
      <xdr:spPr>
        <a:xfrm flipV="1">
          <a:off x="18811875" y="14274552"/>
          <a:ext cx="4180979" cy="478501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320</xdr:row>
      <xdr:rowOff>67823</xdr:rowOff>
    </xdr:from>
    <xdr:to>
      <xdr:col>36</xdr:col>
      <xdr:colOff>0</xdr:colOff>
      <xdr:row>321</xdr:row>
      <xdr:rowOff>171349</xdr:rowOff>
    </xdr:to>
    <xdr:cxnSp macro="">
      <xdr:nvCxnSpPr>
        <xdr:cNvPr id="961" name="Elbow Connector 61">
          <a:extLst>
            <a:ext uri="{FF2B5EF4-FFF2-40B4-BE49-F238E27FC236}">
              <a16:creationId xmlns:a16="http://schemas.microsoft.com/office/drawing/2014/main" id="{3A6F27F6-CAE6-4BC1-AC1E-DE16391C8276}"/>
            </a:ext>
          </a:extLst>
        </xdr:cNvPr>
        <xdr:cNvCxnSpPr/>
      </xdr:nvCxnSpPr>
      <xdr:spPr>
        <a:xfrm>
          <a:off x="18819637" y="14699281"/>
          <a:ext cx="6924321" cy="288735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320</xdr:row>
      <xdr:rowOff>82043</xdr:rowOff>
    </xdr:from>
    <xdr:to>
      <xdr:col>24</xdr:col>
      <xdr:colOff>68635</xdr:colOff>
      <xdr:row>321</xdr:row>
      <xdr:rowOff>59817</xdr:rowOff>
    </xdr:to>
    <xdr:sp macro="" textlink="">
      <xdr:nvSpPr>
        <xdr:cNvPr id="962" name="Oval 961">
          <a:extLst>
            <a:ext uri="{FF2B5EF4-FFF2-40B4-BE49-F238E27FC236}">
              <a16:creationId xmlns:a16="http://schemas.microsoft.com/office/drawing/2014/main" id="{7FB55715-E6E4-4C67-8556-1C50623CD9D6}"/>
            </a:ext>
          </a:extLst>
        </xdr:cNvPr>
        <xdr:cNvSpPr/>
      </xdr:nvSpPr>
      <xdr:spPr>
        <a:xfrm>
          <a:off x="18737627" y="14713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0</xdr:colOff>
      <xdr:row>318</xdr:row>
      <xdr:rowOff>13510</xdr:rowOff>
    </xdr:from>
    <xdr:to>
      <xdr:col>31</xdr:col>
      <xdr:colOff>27021</xdr:colOff>
      <xdr:row>320</xdr:row>
      <xdr:rowOff>121595</xdr:rowOff>
    </xdr:to>
    <xdr:cxnSp macro="">
      <xdr:nvCxnSpPr>
        <xdr:cNvPr id="963" name="Elbow Connector 59">
          <a:extLst>
            <a:ext uri="{FF2B5EF4-FFF2-40B4-BE49-F238E27FC236}">
              <a16:creationId xmlns:a16="http://schemas.microsoft.com/office/drawing/2014/main" id="{6A598633-34F9-4488-83E6-BE3E3C99B3D1}"/>
            </a:ext>
          </a:extLst>
        </xdr:cNvPr>
        <xdr:cNvCxnSpPr>
          <a:cxnSpLocks/>
        </xdr:cNvCxnSpPr>
      </xdr:nvCxnSpPr>
      <xdr:spPr>
        <a:xfrm flipV="1">
          <a:off x="18811875" y="14274552"/>
          <a:ext cx="4180979" cy="478501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320</xdr:row>
      <xdr:rowOff>82043</xdr:rowOff>
    </xdr:from>
    <xdr:to>
      <xdr:col>24</xdr:col>
      <xdr:colOff>68635</xdr:colOff>
      <xdr:row>321</xdr:row>
      <xdr:rowOff>59817</xdr:rowOff>
    </xdr:to>
    <xdr:sp macro="" textlink="">
      <xdr:nvSpPr>
        <xdr:cNvPr id="964" name="Oval 963">
          <a:extLst>
            <a:ext uri="{FF2B5EF4-FFF2-40B4-BE49-F238E27FC236}">
              <a16:creationId xmlns:a16="http://schemas.microsoft.com/office/drawing/2014/main" id="{3F266C7A-FB3D-4333-8D28-D65592A275B5}"/>
            </a:ext>
          </a:extLst>
        </xdr:cNvPr>
        <xdr:cNvSpPr/>
      </xdr:nvSpPr>
      <xdr:spPr>
        <a:xfrm>
          <a:off x="18737627" y="14713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320</xdr:row>
      <xdr:rowOff>82043</xdr:rowOff>
    </xdr:from>
    <xdr:to>
      <xdr:col>24</xdr:col>
      <xdr:colOff>68635</xdr:colOff>
      <xdr:row>321</xdr:row>
      <xdr:rowOff>59817</xdr:rowOff>
    </xdr:to>
    <xdr:sp macro="" textlink="">
      <xdr:nvSpPr>
        <xdr:cNvPr id="965" name="Oval 964">
          <a:extLst>
            <a:ext uri="{FF2B5EF4-FFF2-40B4-BE49-F238E27FC236}">
              <a16:creationId xmlns:a16="http://schemas.microsoft.com/office/drawing/2014/main" id="{5DB601BD-4C04-4C5D-884A-9CFA5A107F0E}"/>
            </a:ext>
          </a:extLst>
        </xdr:cNvPr>
        <xdr:cNvSpPr/>
      </xdr:nvSpPr>
      <xdr:spPr>
        <a:xfrm>
          <a:off x="18737627" y="14713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328</xdr:row>
      <xdr:rowOff>82043</xdr:rowOff>
    </xdr:from>
    <xdr:to>
      <xdr:col>24</xdr:col>
      <xdr:colOff>68635</xdr:colOff>
      <xdr:row>329</xdr:row>
      <xdr:rowOff>59817</xdr:rowOff>
    </xdr:to>
    <xdr:sp macro="" textlink="">
      <xdr:nvSpPr>
        <xdr:cNvPr id="966" name="Oval 965">
          <a:extLst>
            <a:ext uri="{FF2B5EF4-FFF2-40B4-BE49-F238E27FC236}">
              <a16:creationId xmlns:a16="http://schemas.microsoft.com/office/drawing/2014/main" id="{C2A9378D-27DD-45E9-8550-9DAC25A899FA}"/>
            </a:ext>
          </a:extLst>
        </xdr:cNvPr>
        <xdr:cNvSpPr/>
      </xdr:nvSpPr>
      <xdr:spPr>
        <a:xfrm>
          <a:off x="18737627" y="1619516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328</xdr:row>
      <xdr:rowOff>82043</xdr:rowOff>
    </xdr:from>
    <xdr:to>
      <xdr:col>24</xdr:col>
      <xdr:colOff>68635</xdr:colOff>
      <xdr:row>329</xdr:row>
      <xdr:rowOff>59817</xdr:rowOff>
    </xdr:to>
    <xdr:sp macro="" textlink="">
      <xdr:nvSpPr>
        <xdr:cNvPr id="967" name="Oval 966">
          <a:extLst>
            <a:ext uri="{FF2B5EF4-FFF2-40B4-BE49-F238E27FC236}">
              <a16:creationId xmlns:a16="http://schemas.microsoft.com/office/drawing/2014/main" id="{097E3E79-49D5-4E2C-886D-9EA070D2A2EA}"/>
            </a:ext>
          </a:extLst>
        </xdr:cNvPr>
        <xdr:cNvSpPr/>
      </xdr:nvSpPr>
      <xdr:spPr>
        <a:xfrm>
          <a:off x="18737627" y="1619516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328</xdr:row>
      <xdr:rowOff>82043</xdr:rowOff>
    </xdr:from>
    <xdr:to>
      <xdr:col>24</xdr:col>
      <xdr:colOff>68635</xdr:colOff>
      <xdr:row>329</xdr:row>
      <xdr:rowOff>59817</xdr:rowOff>
    </xdr:to>
    <xdr:sp macro="" textlink="">
      <xdr:nvSpPr>
        <xdr:cNvPr id="968" name="Oval 967">
          <a:extLst>
            <a:ext uri="{FF2B5EF4-FFF2-40B4-BE49-F238E27FC236}">
              <a16:creationId xmlns:a16="http://schemas.microsoft.com/office/drawing/2014/main" id="{93E7C72A-87CC-48AA-88A6-7E1E4862960B}"/>
            </a:ext>
          </a:extLst>
        </xdr:cNvPr>
        <xdr:cNvSpPr/>
      </xdr:nvSpPr>
      <xdr:spPr>
        <a:xfrm>
          <a:off x="18737627" y="1619516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328</xdr:row>
      <xdr:rowOff>82043</xdr:rowOff>
    </xdr:from>
    <xdr:to>
      <xdr:col>24</xdr:col>
      <xdr:colOff>68635</xdr:colOff>
      <xdr:row>329</xdr:row>
      <xdr:rowOff>59817</xdr:rowOff>
    </xdr:to>
    <xdr:sp macro="" textlink="">
      <xdr:nvSpPr>
        <xdr:cNvPr id="969" name="Oval 968">
          <a:extLst>
            <a:ext uri="{FF2B5EF4-FFF2-40B4-BE49-F238E27FC236}">
              <a16:creationId xmlns:a16="http://schemas.microsoft.com/office/drawing/2014/main" id="{81048D38-7D3E-4DC6-B4C1-91DB477F9CBC}"/>
            </a:ext>
          </a:extLst>
        </xdr:cNvPr>
        <xdr:cNvSpPr/>
      </xdr:nvSpPr>
      <xdr:spPr>
        <a:xfrm>
          <a:off x="18737627" y="1619516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327</xdr:row>
      <xdr:rowOff>13512</xdr:rowOff>
    </xdr:from>
    <xdr:to>
      <xdr:col>30</xdr:col>
      <xdr:colOff>513404</xdr:colOff>
      <xdr:row>328</xdr:row>
      <xdr:rowOff>82044</xdr:rowOff>
    </xdr:to>
    <xdr:cxnSp macro="">
      <xdr:nvCxnSpPr>
        <xdr:cNvPr id="970" name="Elbow Connector 59">
          <a:extLst>
            <a:ext uri="{FF2B5EF4-FFF2-40B4-BE49-F238E27FC236}">
              <a16:creationId xmlns:a16="http://schemas.microsoft.com/office/drawing/2014/main" id="{E875811F-6787-4C52-AC40-B744160E8979}"/>
            </a:ext>
          </a:extLst>
        </xdr:cNvPr>
        <xdr:cNvCxnSpPr>
          <a:cxnSpLocks/>
          <a:stCxn id="969" idx="0"/>
        </xdr:cNvCxnSpPr>
      </xdr:nvCxnSpPr>
      <xdr:spPr>
        <a:xfrm rot="5400000" flipH="1" flipV="1">
          <a:off x="20739048" y="14010605"/>
          <a:ext cx="253740" cy="4115388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317</xdr:row>
      <xdr:rowOff>82043</xdr:rowOff>
    </xdr:from>
    <xdr:to>
      <xdr:col>31</xdr:col>
      <xdr:colOff>68635</xdr:colOff>
      <xdr:row>318</xdr:row>
      <xdr:rowOff>59817</xdr:rowOff>
    </xdr:to>
    <xdr:sp macro="" textlink="">
      <xdr:nvSpPr>
        <xdr:cNvPr id="971" name="Oval 970">
          <a:extLst>
            <a:ext uri="{FF2B5EF4-FFF2-40B4-BE49-F238E27FC236}">
              <a16:creationId xmlns:a16="http://schemas.microsoft.com/office/drawing/2014/main" id="{F37BD849-0C2F-4143-AAA6-51911D1C3A0F}"/>
            </a:ext>
          </a:extLst>
        </xdr:cNvPr>
        <xdr:cNvSpPr/>
      </xdr:nvSpPr>
      <xdr:spPr>
        <a:xfrm>
          <a:off x="22891585" y="1415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315</xdr:row>
      <xdr:rowOff>168388</xdr:rowOff>
    </xdr:from>
    <xdr:to>
      <xdr:col>36</xdr:col>
      <xdr:colOff>27021</xdr:colOff>
      <xdr:row>318</xdr:row>
      <xdr:rowOff>90619</xdr:rowOff>
    </xdr:to>
    <xdr:cxnSp macro="">
      <xdr:nvCxnSpPr>
        <xdr:cNvPr id="972" name="Elbow Connector 59">
          <a:extLst>
            <a:ext uri="{FF2B5EF4-FFF2-40B4-BE49-F238E27FC236}">
              <a16:creationId xmlns:a16="http://schemas.microsoft.com/office/drawing/2014/main" id="{F8F91B19-892C-4CF1-917F-5EC148F58AAF}"/>
            </a:ext>
          </a:extLst>
        </xdr:cNvPr>
        <xdr:cNvCxnSpPr>
          <a:cxnSpLocks/>
        </xdr:cNvCxnSpPr>
      </xdr:nvCxnSpPr>
      <xdr:spPr>
        <a:xfrm flipV="1">
          <a:off x="22965833" y="13873805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317</xdr:row>
      <xdr:rowOff>67823</xdr:rowOff>
    </xdr:from>
    <xdr:to>
      <xdr:col>35</xdr:col>
      <xdr:colOff>555915</xdr:colOff>
      <xdr:row>320</xdr:row>
      <xdr:rowOff>13511</xdr:rowOff>
    </xdr:to>
    <xdr:cxnSp macro="">
      <xdr:nvCxnSpPr>
        <xdr:cNvPr id="973" name="Elbow Connector 61">
          <a:extLst>
            <a:ext uri="{FF2B5EF4-FFF2-40B4-BE49-F238E27FC236}">
              <a16:creationId xmlns:a16="http://schemas.microsoft.com/office/drawing/2014/main" id="{C7A828BA-64A1-4D52-BD7C-12DFC2143661}"/>
            </a:ext>
          </a:extLst>
        </xdr:cNvPr>
        <xdr:cNvCxnSpPr/>
      </xdr:nvCxnSpPr>
      <xdr:spPr>
        <a:xfrm>
          <a:off x="22960044" y="14143656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317</xdr:row>
      <xdr:rowOff>82043</xdr:rowOff>
    </xdr:from>
    <xdr:to>
      <xdr:col>31</xdr:col>
      <xdr:colOff>68635</xdr:colOff>
      <xdr:row>318</xdr:row>
      <xdr:rowOff>59817</xdr:rowOff>
    </xdr:to>
    <xdr:sp macro="" textlink="">
      <xdr:nvSpPr>
        <xdr:cNvPr id="974" name="Oval 973">
          <a:extLst>
            <a:ext uri="{FF2B5EF4-FFF2-40B4-BE49-F238E27FC236}">
              <a16:creationId xmlns:a16="http://schemas.microsoft.com/office/drawing/2014/main" id="{0B590852-DDF0-43E7-9B95-CC037BD03335}"/>
            </a:ext>
          </a:extLst>
        </xdr:cNvPr>
        <xdr:cNvSpPr/>
      </xdr:nvSpPr>
      <xdr:spPr>
        <a:xfrm>
          <a:off x="22891585" y="1415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317</xdr:row>
      <xdr:rowOff>82043</xdr:rowOff>
    </xdr:from>
    <xdr:to>
      <xdr:col>31</xdr:col>
      <xdr:colOff>68635</xdr:colOff>
      <xdr:row>318</xdr:row>
      <xdr:rowOff>59817</xdr:rowOff>
    </xdr:to>
    <xdr:sp macro="" textlink="">
      <xdr:nvSpPr>
        <xdr:cNvPr id="975" name="Oval 974">
          <a:extLst>
            <a:ext uri="{FF2B5EF4-FFF2-40B4-BE49-F238E27FC236}">
              <a16:creationId xmlns:a16="http://schemas.microsoft.com/office/drawing/2014/main" id="{C3998485-356B-4727-8BFA-B8211E98737F}"/>
            </a:ext>
          </a:extLst>
        </xdr:cNvPr>
        <xdr:cNvSpPr/>
      </xdr:nvSpPr>
      <xdr:spPr>
        <a:xfrm>
          <a:off x="22891585" y="1415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317</xdr:row>
      <xdr:rowOff>82043</xdr:rowOff>
    </xdr:from>
    <xdr:to>
      <xdr:col>31</xdr:col>
      <xdr:colOff>68635</xdr:colOff>
      <xdr:row>318</xdr:row>
      <xdr:rowOff>59817</xdr:rowOff>
    </xdr:to>
    <xdr:sp macro="" textlink="">
      <xdr:nvSpPr>
        <xdr:cNvPr id="976" name="Oval 975">
          <a:extLst>
            <a:ext uri="{FF2B5EF4-FFF2-40B4-BE49-F238E27FC236}">
              <a16:creationId xmlns:a16="http://schemas.microsoft.com/office/drawing/2014/main" id="{138D6831-D8E8-42ED-8EB0-B8F8FF49729A}"/>
            </a:ext>
          </a:extLst>
        </xdr:cNvPr>
        <xdr:cNvSpPr/>
      </xdr:nvSpPr>
      <xdr:spPr>
        <a:xfrm>
          <a:off x="22891585" y="1415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307697</xdr:colOff>
      <xdr:row>314</xdr:row>
      <xdr:rowOff>121954</xdr:rowOff>
    </xdr:from>
    <xdr:to>
      <xdr:col>36</xdr:col>
      <xdr:colOff>191977</xdr:colOff>
      <xdr:row>317</xdr:row>
      <xdr:rowOff>29535</xdr:rowOff>
    </xdr:to>
    <xdr:sp macro="" textlink="">
      <xdr:nvSpPr>
        <xdr:cNvPr id="977" name="Oval 976">
          <a:extLst>
            <a:ext uri="{FF2B5EF4-FFF2-40B4-BE49-F238E27FC236}">
              <a16:creationId xmlns:a16="http://schemas.microsoft.com/office/drawing/2014/main" id="{46C9B64A-FED6-4B37-89C3-0A254B6521B7}"/>
            </a:ext>
          </a:extLst>
        </xdr:cNvPr>
        <xdr:cNvSpPr/>
      </xdr:nvSpPr>
      <xdr:spPr>
        <a:xfrm>
          <a:off x="25496030" y="13642162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414468</xdr:colOff>
      <xdr:row>319</xdr:row>
      <xdr:rowOff>112082</xdr:rowOff>
    </xdr:from>
    <xdr:to>
      <xdr:col>36</xdr:col>
      <xdr:colOff>14091</xdr:colOff>
      <xdr:row>320</xdr:row>
      <xdr:rowOff>122741</xdr:rowOff>
    </xdr:to>
    <xdr:sp macro="" textlink="">
      <xdr:nvSpPr>
        <xdr:cNvPr id="978" name="Isosceles Triangle 977">
          <a:extLst>
            <a:ext uri="{FF2B5EF4-FFF2-40B4-BE49-F238E27FC236}">
              <a16:creationId xmlns:a16="http://schemas.microsoft.com/office/drawing/2014/main" id="{E242769B-85B2-460E-9316-6CECD8E214FD}"/>
            </a:ext>
          </a:extLst>
        </xdr:cNvPr>
        <xdr:cNvSpPr/>
      </xdr:nvSpPr>
      <xdr:spPr>
        <a:xfrm rot="16200000">
          <a:off x="25582491" y="14578642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329</xdr:row>
      <xdr:rowOff>57743</xdr:rowOff>
    </xdr:from>
    <xdr:to>
      <xdr:col>36</xdr:col>
      <xdr:colOff>10080</xdr:colOff>
      <xdr:row>330</xdr:row>
      <xdr:rowOff>161270</xdr:rowOff>
    </xdr:to>
    <xdr:cxnSp macro="">
      <xdr:nvCxnSpPr>
        <xdr:cNvPr id="979" name="Elbow Connector 61">
          <a:extLst>
            <a:ext uri="{FF2B5EF4-FFF2-40B4-BE49-F238E27FC236}">
              <a16:creationId xmlns:a16="http://schemas.microsoft.com/office/drawing/2014/main" id="{6711D216-B13B-4D6E-841E-CECD1B5294D8}"/>
            </a:ext>
          </a:extLst>
        </xdr:cNvPr>
        <xdr:cNvCxnSpPr/>
      </xdr:nvCxnSpPr>
      <xdr:spPr>
        <a:xfrm>
          <a:off x="18829717" y="16356076"/>
          <a:ext cx="6924321" cy="288736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326</xdr:row>
      <xdr:rowOff>82043</xdr:rowOff>
    </xdr:from>
    <xdr:to>
      <xdr:col>31</xdr:col>
      <xdr:colOff>68635</xdr:colOff>
      <xdr:row>327</xdr:row>
      <xdr:rowOff>59817</xdr:rowOff>
    </xdr:to>
    <xdr:sp macro="" textlink="">
      <xdr:nvSpPr>
        <xdr:cNvPr id="980" name="Oval 979">
          <a:extLst>
            <a:ext uri="{FF2B5EF4-FFF2-40B4-BE49-F238E27FC236}">
              <a16:creationId xmlns:a16="http://schemas.microsoft.com/office/drawing/2014/main" id="{CCC6162F-98A3-4A9E-889F-8DAAE31B47E8}"/>
            </a:ext>
          </a:extLst>
        </xdr:cNvPr>
        <xdr:cNvSpPr/>
      </xdr:nvSpPr>
      <xdr:spPr>
        <a:xfrm>
          <a:off x="22891585" y="1582475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324</xdr:row>
      <xdr:rowOff>168388</xdr:rowOff>
    </xdr:from>
    <xdr:to>
      <xdr:col>36</xdr:col>
      <xdr:colOff>27021</xdr:colOff>
      <xdr:row>327</xdr:row>
      <xdr:rowOff>90619</xdr:rowOff>
    </xdr:to>
    <xdr:cxnSp macro="">
      <xdr:nvCxnSpPr>
        <xdr:cNvPr id="981" name="Elbow Connector 59">
          <a:extLst>
            <a:ext uri="{FF2B5EF4-FFF2-40B4-BE49-F238E27FC236}">
              <a16:creationId xmlns:a16="http://schemas.microsoft.com/office/drawing/2014/main" id="{2E1EC778-129C-44C1-908B-5AD3E334D83C}"/>
            </a:ext>
          </a:extLst>
        </xdr:cNvPr>
        <xdr:cNvCxnSpPr>
          <a:cxnSpLocks/>
        </xdr:cNvCxnSpPr>
      </xdr:nvCxnSpPr>
      <xdr:spPr>
        <a:xfrm flipV="1">
          <a:off x="22965833" y="15540680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326</xdr:row>
      <xdr:rowOff>67823</xdr:rowOff>
    </xdr:from>
    <xdr:to>
      <xdr:col>35</xdr:col>
      <xdr:colOff>555915</xdr:colOff>
      <xdr:row>329</xdr:row>
      <xdr:rowOff>13511</xdr:rowOff>
    </xdr:to>
    <xdr:cxnSp macro="">
      <xdr:nvCxnSpPr>
        <xdr:cNvPr id="982" name="Elbow Connector 61">
          <a:extLst>
            <a:ext uri="{FF2B5EF4-FFF2-40B4-BE49-F238E27FC236}">
              <a16:creationId xmlns:a16="http://schemas.microsoft.com/office/drawing/2014/main" id="{AA211B8B-A88F-4877-9B6C-DE9672A3E94A}"/>
            </a:ext>
          </a:extLst>
        </xdr:cNvPr>
        <xdr:cNvCxnSpPr/>
      </xdr:nvCxnSpPr>
      <xdr:spPr>
        <a:xfrm>
          <a:off x="22960044" y="15810531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326</xdr:row>
      <xdr:rowOff>82043</xdr:rowOff>
    </xdr:from>
    <xdr:to>
      <xdr:col>31</xdr:col>
      <xdr:colOff>68635</xdr:colOff>
      <xdr:row>327</xdr:row>
      <xdr:rowOff>59817</xdr:rowOff>
    </xdr:to>
    <xdr:sp macro="" textlink="">
      <xdr:nvSpPr>
        <xdr:cNvPr id="983" name="Oval 982">
          <a:extLst>
            <a:ext uri="{FF2B5EF4-FFF2-40B4-BE49-F238E27FC236}">
              <a16:creationId xmlns:a16="http://schemas.microsoft.com/office/drawing/2014/main" id="{FA137C36-CBCC-4415-AA67-8942F965D948}"/>
            </a:ext>
          </a:extLst>
        </xdr:cNvPr>
        <xdr:cNvSpPr/>
      </xdr:nvSpPr>
      <xdr:spPr>
        <a:xfrm>
          <a:off x="22891585" y="1582475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326</xdr:row>
      <xdr:rowOff>82043</xdr:rowOff>
    </xdr:from>
    <xdr:to>
      <xdr:col>31</xdr:col>
      <xdr:colOff>68635</xdr:colOff>
      <xdr:row>327</xdr:row>
      <xdr:rowOff>59817</xdr:rowOff>
    </xdr:to>
    <xdr:sp macro="" textlink="">
      <xdr:nvSpPr>
        <xdr:cNvPr id="984" name="Oval 983">
          <a:extLst>
            <a:ext uri="{FF2B5EF4-FFF2-40B4-BE49-F238E27FC236}">
              <a16:creationId xmlns:a16="http://schemas.microsoft.com/office/drawing/2014/main" id="{EF78DD9A-D1F6-4B1B-BF1F-22CD7221B5EC}"/>
            </a:ext>
          </a:extLst>
        </xdr:cNvPr>
        <xdr:cNvSpPr/>
      </xdr:nvSpPr>
      <xdr:spPr>
        <a:xfrm>
          <a:off x="22891585" y="1582475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326</xdr:row>
      <xdr:rowOff>82043</xdr:rowOff>
    </xdr:from>
    <xdr:to>
      <xdr:col>31</xdr:col>
      <xdr:colOff>68635</xdr:colOff>
      <xdr:row>327</xdr:row>
      <xdr:rowOff>59817</xdr:rowOff>
    </xdr:to>
    <xdr:sp macro="" textlink="">
      <xdr:nvSpPr>
        <xdr:cNvPr id="985" name="Oval 984">
          <a:extLst>
            <a:ext uri="{FF2B5EF4-FFF2-40B4-BE49-F238E27FC236}">
              <a16:creationId xmlns:a16="http://schemas.microsoft.com/office/drawing/2014/main" id="{A1D4BD75-05DC-4709-8B73-F5D18253907D}"/>
            </a:ext>
          </a:extLst>
        </xdr:cNvPr>
        <xdr:cNvSpPr/>
      </xdr:nvSpPr>
      <xdr:spPr>
        <a:xfrm>
          <a:off x="22891585" y="1582475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324</xdr:row>
      <xdr:rowOff>48117</xdr:rowOff>
    </xdr:from>
    <xdr:to>
      <xdr:col>36</xdr:col>
      <xdr:colOff>100793</xdr:colOff>
      <xdr:row>325</xdr:row>
      <xdr:rowOff>120953</xdr:rowOff>
    </xdr:to>
    <xdr:sp macro="" textlink="">
      <xdr:nvSpPr>
        <xdr:cNvPr id="986" name="Oval 985">
          <a:extLst>
            <a:ext uri="{FF2B5EF4-FFF2-40B4-BE49-F238E27FC236}">
              <a16:creationId xmlns:a16="http://schemas.microsoft.com/office/drawing/2014/main" id="{94E8FAF9-FC4B-4BD9-A9AC-DED2939876A6}"/>
            </a:ext>
          </a:extLst>
        </xdr:cNvPr>
        <xdr:cNvSpPr/>
      </xdr:nvSpPr>
      <xdr:spPr>
        <a:xfrm>
          <a:off x="25599402" y="15420409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330</xdr:row>
      <xdr:rowOff>90713</xdr:rowOff>
    </xdr:from>
    <xdr:to>
      <xdr:col>36</xdr:col>
      <xdr:colOff>12880</xdr:colOff>
      <xdr:row>331</xdr:row>
      <xdr:rowOff>101372</xdr:rowOff>
    </xdr:to>
    <xdr:sp macro="" textlink="">
      <xdr:nvSpPr>
        <xdr:cNvPr id="987" name="Isosceles Triangle 986">
          <a:extLst>
            <a:ext uri="{FF2B5EF4-FFF2-40B4-BE49-F238E27FC236}">
              <a16:creationId xmlns:a16="http://schemas.microsoft.com/office/drawing/2014/main" id="{C96ED9A3-9F3D-4FB3-BF39-4CCB096270D6}"/>
            </a:ext>
          </a:extLst>
        </xdr:cNvPr>
        <xdr:cNvSpPr/>
      </xdr:nvSpPr>
      <xdr:spPr>
        <a:xfrm rot="16200000">
          <a:off x="25581280" y="16594565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328</xdr:row>
      <xdr:rowOff>112082</xdr:rowOff>
    </xdr:from>
    <xdr:to>
      <xdr:col>36</xdr:col>
      <xdr:colOff>14091</xdr:colOff>
      <xdr:row>329</xdr:row>
      <xdr:rowOff>122741</xdr:rowOff>
    </xdr:to>
    <xdr:sp macro="" textlink="">
      <xdr:nvSpPr>
        <xdr:cNvPr id="988" name="Isosceles Triangle 987">
          <a:extLst>
            <a:ext uri="{FF2B5EF4-FFF2-40B4-BE49-F238E27FC236}">
              <a16:creationId xmlns:a16="http://schemas.microsoft.com/office/drawing/2014/main" id="{E28E2345-847C-49A6-8FF2-04D787D0DD69}"/>
            </a:ext>
          </a:extLst>
        </xdr:cNvPr>
        <xdr:cNvSpPr/>
      </xdr:nvSpPr>
      <xdr:spPr>
        <a:xfrm rot="16200000">
          <a:off x="25582491" y="16245517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321</xdr:row>
      <xdr:rowOff>83054</xdr:rowOff>
    </xdr:from>
    <xdr:to>
      <xdr:col>36</xdr:col>
      <xdr:colOff>15299</xdr:colOff>
      <xdr:row>322</xdr:row>
      <xdr:rowOff>93713</xdr:rowOff>
    </xdr:to>
    <xdr:sp macro="" textlink="">
      <xdr:nvSpPr>
        <xdr:cNvPr id="989" name="Isosceles Triangle 988">
          <a:extLst>
            <a:ext uri="{FF2B5EF4-FFF2-40B4-BE49-F238E27FC236}">
              <a16:creationId xmlns:a16="http://schemas.microsoft.com/office/drawing/2014/main" id="{A6283BFF-6C0C-4E77-B7D4-4E0E6AAD2940}"/>
            </a:ext>
          </a:extLst>
        </xdr:cNvPr>
        <xdr:cNvSpPr/>
      </xdr:nvSpPr>
      <xdr:spPr>
        <a:xfrm rot="16200000">
          <a:off x="25583699" y="14920031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481377</xdr:colOff>
      <xdr:row>342</xdr:row>
      <xdr:rowOff>82043</xdr:rowOff>
    </xdr:from>
    <xdr:to>
      <xdr:col>19</xdr:col>
      <xdr:colOff>68635</xdr:colOff>
      <xdr:row>343</xdr:row>
      <xdr:rowOff>59817</xdr:rowOff>
    </xdr:to>
    <xdr:sp macro="" textlink="">
      <xdr:nvSpPr>
        <xdr:cNvPr id="990" name="Oval 989">
          <a:extLst>
            <a:ext uri="{FF2B5EF4-FFF2-40B4-BE49-F238E27FC236}">
              <a16:creationId xmlns:a16="http://schemas.microsoft.com/office/drawing/2014/main" id="{572CE766-AF4C-4D9F-9169-3F798B7F0A00}"/>
            </a:ext>
          </a:extLst>
        </xdr:cNvPr>
        <xdr:cNvSpPr/>
      </xdr:nvSpPr>
      <xdr:spPr>
        <a:xfrm>
          <a:off x="15959502" y="187880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338</xdr:row>
      <xdr:rowOff>13510</xdr:rowOff>
    </xdr:from>
    <xdr:to>
      <xdr:col>24</xdr:col>
      <xdr:colOff>0</xdr:colOff>
      <xdr:row>342</xdr:row>
      <xdr:rowOff>121595</xdr:rowOff>
    </xdr:to>
    <xdr:cxnSp macro="">
      <xdr:nvCxnSpPr>
        <xdr:cNvPr id="991" name="Elbow Connector 59">
          <a:extLst>
            <a:ext uri="{FF2B5EF4-FFF2-40B4-BE49-F238E27FC236}">
              <a16:creationId xmlns:a16="http://schemas.microsoft.com/office/drawing/2014/main" id="{4C9A1EBA-F53E-4FB5-A158-2BA46EFD2402}"/>
            </a:ext>
          </a:extLst>
        </xdr:cNvPr>
        <xdr:cNvCxnSpPr>
          <a:cxnSpLocks/>
        </xdr:cNvCxnSpPr>
      </xdr:nvCxnSpPr>
      <xdr:spPr>
        <a:xfrm flipV="1">
          <a:off x="16033750" y="17978718"/>
          <a:ext cx="2778125" cy="848919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343</xdr:row>
      <xdr:rowOff>67823</xdr:rowOff>
    </xdr:from>
    <xdr:to>
      <xdr:col>24</xdr:col>
      <xdr:colOff>21585</xdr:colOff>
      <xdr:row>347</xdr:row>
      <xdr:rowOff>13511</xdr:rowOff>
    </xdr:to>
    <xdr:cxnSp macro="">
      <xdr:nvCxnSpPr>
        <xdr:cNvPr id="992" name="Elbow Connector 61">
          <a:extLst>
            <a:ext uri="{FF2B5EF4-FFF2-40B4-BE49-F238E27FC236}">
              <a16:creationId xmlns:a16="http://schemas.microsoft.com/office/drawing/2014/main" id="{5B1B9938-7D51-43FF-B25D-2DC5AA677F3C}"/>
            </a:ext>
          </a:extLst>
        </xdr:cNvPr>
        <xdr:cNvCxnSpPr/>
      </xdr:nvCxnSpPr>
      <xdr:spPr>
        <a:xfrm>
          <a:off x="16049256" y="18959073"/>
          <a:ext cx="2784204" cy="686521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342</xdr:row>
      <xdr:rowOff>82043</xdr:rowOff>
    </xdr:from>
    <xdr:to>
      <xdr:col>19</xdr:col>
      <xdr:colOff>68635</xdr:colOff>
      <xdr:row>343</xdr:row>
      <xdr:rowOff>59817</xdr:rowOff>
    </xdr:to>
    <xdr:sp macro="" textlink="">
      <xdr:nvSpPr>
        <xdr:cNvPr id="993" name="Oval 992">
          <a:extLst>
            <a:ext uri="{FF2B5EF4-FFF2-40B4-BE49-F238E27FC236}">
              <a16:creationId xmlns:a16="http://schemas.microsoft.com/office/drawing/2014/main" id="{93A872AE-FD9F-4FEB-B456-59AF06C7372B}"/>
            </a:ext>
          </a:extLst>
        </xdr:cNvPr>
        <xdr:cNvSpPr/>
      </xdr:nvSpPr>
      <xdr:spPr>
        <a:xfrm>
          <a:off x="15959502" y="187880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501536</xdr:colOff>
      <xdr:row>337</xdr:row>
      <xdr:rowOff>112280</xdr:rowOff>
    </xdr:from>
    <xdr:to>
      <xdr:col>24</xdr:col>
      <xdr:colOff>88794</xdr:colOff>
      <xdr:row>338</xdr:row>
      <xdr:rowOff>90055</xdr:rowOff>
    </xdr:to>
    <xdr:sp macro="" textlink="">
      <xdr:nvSpPr>
        <xdr:cNvPr id="994" name="Oval 993">
          <a:extLst>
            <a:ext uri="{FF2B5EF4-FFF2-40B4-BE49-F238E27FC236}">
              <a16:creationId xmlns:a16="http://schemas.microsoft.com/office/drawing/2014/main" id="{E3A5A520-D61D-449C-AA2E-DFB27D18B8B2}"/>
            </a:ext>
          </a:extLst>
        </xdr:cNvPr>
        <xdr:cNvSpPr/>
      </xdr:nvSpPr>
      <xdr:spPr>
        <a:xfrm>
          <a:off x="18757786" y="17892280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534205</xdr:colOff>
      <xdr:row>335</xdr:row>
      <xdr:rowOff>161644</xdr:rowOff>
    </xdr:from>
    <xdr:to>
      <xdr:col>30</xdr:col>
      <xdr:colOff>481377</xdr:colOff>
      <xdr:row>337</xdr:row>
      <xdr:rowOff>120952</xdr:rowOff>
    </xdr:to>
    <xdr:cxnSp macro="">
      <xdr:nvCxnSpPr>
        <xdr:cNvPr id="995" name="Elbow Connector 59">
          <a:extLst>
            <a:ext uri="{FF2B5EF4-FFF2-40B4-BE49-F238E27FC236}">
              <a16:creationId xmlns:a16="http://schemas.microsoft.com/office/drawing/2014/main" id="{623D8C4F-0DC6-4AB8-B7C9-918C5A0596D1}"/>
            </a:ext>
          </a:extLst>
        </xdr:cNvPr>
        <xdr:cNvCxnSpPr>
          <a:cxnSpLocks/>
          <a:endCxn id="1007" idx="2"/>
        </xdr:cNvCxnSpPr>
      </xdr:nvCxnSpPr>
      <xdr:spPr>
        <a:xfrm flipV="1">
          <a:off x="18790455" y="17571227"/>
          <a:ext cx="4101130" cy="329725"/>
        </a:xfrm>
        <a:prstGeom prst="bentConnector3">
          <a:avLst>
            <a:gd name="adj1" fmla="val 495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338</xdr:row>
      <xdr:rowOff>67823</xdr:rowOff>
    </xdr:from>
    <xdr:to>
      <xdr:col>36</xdr:col>
      <xdr:colOff>0</xdr:colOff>
      <xdr:row>339</xdr:row>
      <xdr:rowOff>171349</xdr:rowOff>
    </xdr:to>
    <xdr:cxnSp macro="">
      <xdr:nvCxnSpPr>
        <xdr:cNvPr id="996" name="Elbow Connector 61">
          <a:extLst>
            <a:ext uri="{FF2B5EF4-FFF2-40B4-BE49-F238E27FC236}">
              <a16:creationId xmlns:a16="http://schemas.microsoft.com/office/drawing/2014/main" id="{B4BD6DB7-8718-430F-94FB-CEA684CFCC85}"/>
            </a:ext>
          </a:extLst>
        </xdr:cNvPr>
        <xdr:cNvCxnSpPr/>
      </xdr:nvCxnSpPr>
      <xdr:spPr>
        <a:xfrm>
          <a:off x="18819637" y="18033031"/>
          <a:ext cx="6924321" cy="288735"/>
        </a:xfrm>
        <a:prstGeom prst="bentConnector3">
          <a:avLst>
            <a:gd name="adj1" fmla="val -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346</xdr:row>
      <xdr:rowOff>82043</xdr:rowOff>
    </xdr:from>
    <xdr:to>
      <xdr:col>24</xdr:col>
      <xdr:colOff>68635</xdr:colOff>
      <xdr:row>347</xdr:row>
      <xdr:rowOff>59817</xdr:rowOff>
    </xdr:to>
    <xdr:sp macro="" textlink="">
      <xdr:nvSpPr>
        <xdr:cNvPr id="997" name="Oval 996">
          <a:extLst>
            <a:ext uri="{FF2B5EF4-FFF2-40B4-BE49-F238E27FC236}">
              <a16:creationId xmlns:a16="http://schemas.microsoft.com/office/drawing/2014/main" id="{E57014DE-E890-46CA-A0EC-BC2CB9E1FEC4}"/>
            </a:ext>
          </a:extLst>
        </xdr:cNvPr>
        <xdr:cNvSpPr/>
      </xdr:nvSpPr>
      <xdr:spPr>
        <a:xfrm>
          <a:off x="18737627" y="1952891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346</xdr:row>
      <xdr:rowOff>82043</xdr:rowOff>
    </xdr:from>
    <xdr:to>
      <xdr:col>24</xdr:col>
      <xdr:colOff>68635</xdr:colOff>
      <xdr:row>347</xdr:row>
      <xdr:rowOff>59817</xdr:rowOff>
    </xdr:to>
    <xdr:sp macro="" textlink="">
      <xdr:nvSpPr>
        <xdr:cNvPr id="998" name="Oval 997">
          <a:extLst>
            <a:ext uri="{FF2B5EF4-FFF2-40B4-BE49-F238E27FC236}">
              <a16:creationId xmlns:a16="http://schemas.microsoft.com/office/drawing/2014/main" id="{30CD96BF-4025-4D61-A2C9-7158F14636B2}"/>
            </a:ext>
          </a:extLst>
        </xdr:cNvPr>
        <xdr:cNvSpPr/>
      </xdr:nvSpPr>
      <xdr:spPr>
        <a:xfrm>
          <a:off x="18737627" y="1952891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346</xdr:row>
      <xdr:rowOff>82043</xdr:rowOff>
    </xdr:from>
    <xdr:to>
      <xdr:col>24</xdr:col>
      <xdr:colOff>68635</xdr:colOff>
      <xdr:row>347</xdr:row>
      <xdr:rowOff>59817</xdr:rowOff>
    </xdr:to>
    <xdr:sp macro="" textlink="">
      <xdr:nvSpPr>
        <xdr:cNvPr id="999" name="Oval 998">
          <a:extLst>
            <a:ext uri="{FF2B5EF4-FFF2-40B4-BE49-F238E27FC236}">
              <a16:creationId xmlns:a16="http://schemas.microsoft.com/office/drawing/2014/main" id="{DA70ABB5-0B0E-4F42-900E-085129EA6FA4}"/>
            </a:ext>
          </a:extLst>
        </xdr:cNvPr>
        <xdr:cNvSpPr/>
      </xdr:nvSpPr>
      <xdr:spPr>
        <a:xfrm>
          <a:off x="18737627" y="1952891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346</xdr:row>
      <xdr:rowOff>82043</xdr:rowOff>
    </xdr:from>
    <xdr:to>
      <xdr:col>24</xdr:col>
      <xdr:colOff>68635</xdr:colOff>
      <xdr:row>347</xdr:row>
      <xdr:rowOff>59817</xdr:rowOff>
    </xdr:to>
    <xdr:sp macro="" textlink="">
      <xdr:nvSpPr>
        <xdr:cNvPr id="1000" name="Oval 999">
          <a:extLst>
            <a:ext uri="{FF2B5EF4-FFF2-40B4-BE49-F238E27FC236}">
              <a16:creationId xmlns:a16="http://schemas.microsoft.com/office/drawing/2014/main" id="{0E09AA1C-1BFC-4675-8B48-65097B0F1F4A}"/>
            </a:ext>
          </a:extLst>
        </xdr:cNvPr>
        <xdr:cNvSpPr/>
      </xdr:nvSpPr>
      <xdr:spPr>
        <a:xfrm>
          <a:off x="18737627" y="19528918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345</xdr:row>
      <xdr:rowOff>13512</xdr:rowOff>
    </xdr:from>
    <xdr:to>
      <xdr:col>30</xdr:col>
      <xdr:colOff>513404</xdr:colOff>
      <xdr:row>346</xdr:row>
      <xdr:rowOff>82044</xdr:rowOff>
    </xdr:to>
    <xdr:cxnSp macro="">
      <xdr:nvCxnSpPr>
        <xdr:cNvPr id="1001" name="Elbow Connector 59">
          <a:extLst>
            <a:ext uri="{FF2B5EF4-FFF2-40B4-BE49-F238E27FC236}">
              <a16:creationId xmlns:a16="http://schemas.microsoft.com/office/drawing/2014/main" id="{63117050-CE4F-4D17-805B-3D8F8FE16A14}"/>
            </a:ext>
          </a:extLst>
        </xdr:cNvPr>
        <xdr:cNvCxnSpPr>
          <a:cxnSpLocks/>
          <a:stCxn id="1000" idx="0"/>
        </xdr:cNvCxnSpPr>
      </xdr:nvCxnSpPr>
      <xdr:spPr>
        <a:xfrm rot="5400000" flipH="1" flipV="1">
          <a:off x="20739048" y="17344355"/>
          <a:ext cx="253740" cy="4115388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335</xdr:row>
      <xdr:rowOff>82043</xdr:rowOff>
    </xdr:from>
    <xdr:to>
      <xdr:col>31</xdr:col>
      <xdr:colOff>68635</xdr:colOff>
      <xdr:row>336</xdr:row>
      <xdr:rowOff>59817</xdr:rowOff>
    </xdr:to>
    <xdr:sp macro="" textlink="">
      <xdr:nvSpPr>
        <xdr:cNvPr id="1002" name="Oval 1001">
          <a:extLst>
            <a:ext uri="{FF2B5EF4-FFF2-40B4-BE49-F238E27FC236}">
              <a16:creationId xmlns:a16="http://schemas.microsoft.com/office/drawing/2014/main" id="{911F7FEB-AA69-49B2-8895-D2C1BDDFD265}"/>
            </a:ext>
          </a:extLst>
        </xdr:cNvPr>
        <xdr:cNvSpPr/>
      </xdr:nvSpPr>
      <xdr:spPr>
        <a:xfrm>
          <a:off x="22891585" y="1749162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333</xdr:row>
      <xdr:rowOff>168388</xdr:rowOff>
    </xdr:from>
    <xdr:to>
      <xdr:col>36</xdr:col>
      <xdr:colOff>27021</xdr:colOff>
      <xdr:row>336</xdr:row>
      <xdr:rowOff>90619</xdr:rowOff>
    </xdr:to>
    <xdr:cxnSp macro="">
      <xdr:nvCxnSpPr>
        <xdr:cNvPr id="1003" name="Elbow Connector 59">
          <a:extLst>
            <a:ext uri="{FF2B5EF4-FFF2-40B4-BE49-F238E27FC236}">
              <a16:creationId xmlns:a16="http://schemas.microsoft.com/office/drawing/2014/main" id="{035B7AAB-D0D4-4079-890E-27C04FDA4E67}"/>
            </a:ext>
          </a:extLst>
        </xdr:cNvPr>
        <xdr:cNvCxnSpPr>
          <a:cxnSpLocks/>
        </xdr:cNvCxnSpPr>
      </xdr:nvCxnSpPr>
      <xdr:spPr>
        <a:xfrm flipV="1">
          <a:off x="22965833" y="17207555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335</xdr:row>
      <xdr:rowOff>67823</xdr:rowOff>
    </xdr:from>
    <xdr:to>
      <xdr:col>36</xdr:col>
      <xdr:colOff>290</xdr:colOff>
      <xdr:row>338</xdr:row>
      <xdr:rowOff>13511</xdr:rowOff>
    </xdr:to>
    <xdr:cxnSp macro="">
      <xdr:nvCxnSpPr>
        <xdr:cNvPr id="1004" name="Elbow Connector 61">
          <a:extLst>
            <a:ext uri="{FF2B5EF4-FFF2-40B4-BE49-F238E27FC236}">
              <a16:creationId xmlns:a16="http://schemas.microsoft.com/office/drawing/2014/main" id="{E0CB7F8A-20D5-4D26-8E99-A12FC648E49E}"/>
            </a:ext>
          </a:extLst>
        </xdr:cNvPr>
        <xdr:cNvCxnSpPr/>
      </xdr:nvCxnSpPr>
      <xdr:spPr>
        <a:xfrm>
          <a:off x="22960044" y="17477406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335</xdr:row>
      <xdr:rowOff>82043</xdr:rowOff>
    </xdr:from>
    <xdr:to>
      <xdr:col>31</xdr:col>
      <xdr:colOff>68635</xdr:colOff>
      <xdr:row>336</xdr:row>
      <xdr:rowOff>59817</xdr:rowOff>
    </xdr:to>
    <xdr:sp macro="" textlink="">
      <xdr:nvSpPr>
        <xdr:cNvPr id="1005" name="Oval 1004">
          <a:extLst>
            <a:ext uri="{FF2B5EF4-FFF2-40B4-BE49-F238E27FC236}">
              <a16:creationId xmlns:a16="http://schemas.microsoft.com/office/drawing/2014/main" id="{C0F234D6-2AB6-4955-A6DA-FB1D91206433}"/>
            </a:ext>
          </a:extLst>
        </xdr:cNvPr>
        <xdr:cNvSpPr/>
      </xdr:nvSpPr>
      <xdr:spPr>
        <a:xfrm>
          <a:off x="22891585" y="1749162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335</xdr:row>
      <xdr:rowOff>82043</xdr:rowOff>
    </xdr:from>
    <xdr:to>
      <xdr:col>31</xdr:col>
      <xdr:colOff>68635</xdr:colOff>
      <xdr:row>336</xdr:row>
      <xdr:rowOff>59817</xdr:rowOff>
    </xdr:to>
    <xdr:sp macro="" textlink="">
      <xdr:nvSpPr>
        <xdr:cNvPr id="1006" name="Oval 1005">
          <a:extLst>
            <a:ext uri="{FF2B5EF4-FFF2-40B4-BE49-F238E27FC236}">
              <a16:creationId xmlns:a16="http://schemas.microsoft.com/office/drawing/2014/main" id="{BF9571CE-6E29-4B1C-B2F1-9F71C845A1D0}"/>
            </a:ext>
          </a:extLst>
        </xdr:cNvPr>
        <xdr:cNvSpPr/>
      </xdr:nvSpPr>
      <xdr:spPr>
        <a:xfrm>
          <a:off x="22891585" y="1749162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335</xdr:row>
      <xdr:rowOff>82043</xdr:rowOff>
    </xdr:from>
    <xdr:to>
      <xdr:col>31</xdr:col>
      <xdr:colOff>68635</xdr:colOff>
      <xdr:row>336</xdr:row>
      <xdr:rowOff>59817</xdr:rowOff>
    </xdr:to>
    <xdr:sp macro="" textlink="">
      <xdr:nvSpPr>
        <xdr:cNvPr id="1007" name="Oval 1006">
          <a:extLst>
            <a:ext uri="{FF2B5EF4-FFF2-40B4-BE49-F238E27FC236}">
              <a16:creationId xmlns:a16="http://schemas.microsoft.com/office/drawing/2014/main" id="{B3FB8A89-3622-4A5C-AD42-533A2C5DE7AF}"/>
            </a:ext>
          </a:extLst>
        </xdr:cNvPr>
        <xdr:cNvSpPr/>
      </xdr:nvSpPr>
      <xdr:spPr>
        <a:xfrm>
          <a:off x="22891585" y="1749162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333</xdr:row>
      <xdr:rowOff>48117</xdr:rowOff>
    </xdr:from>
    <xdr:to>
      <xdr:col>36</xdr:col>
      <xdr:colOff>100793</xdr:colOff>
      <xdr:row>334</xdr:row>
      <xdr:rowOff>120953</xdr:rowOff>
    </xdr:to>
    <xdr:sp macro="" textlink="">
      <xdr:nvSpPr>
        <xdr:cNvPr id="1008" name="Oval 1007">
          <a:extLst>
            <a:ext uri="{FF2B5EF4-FFF2-40B4-BE49-F238E27FC236}">
              <a16:creationId xmlns:a16="http://schemas.microsoft.com/office/drawing/2014/main" id="{9B200719-1BC3-4CC8-8DA3-80E40C558122}"/>
            </a:ext>
          </a:extLst>
        </xdr:cNvPr>
        <xdr:cNvSpPr/>
      </xdr:nvSpPr>
      <xdr:spPr>
        <a:xfrm>
          <a:off x="25599402" y="17087284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337</xdr:row>
      <xdr:rowOff>112082</xdr:rowOff>
    </xdr:from>
    <xdr:to>
      <xdr:col>36</xdr:col>
      <xdr:colOff>14091</xdr:colOff>
      <xdr:row>338</xdr:row>
      <xdr:rowOff>122741</xdr:rowOff>
    </xdr:to>
    <xdr:sp macro="" textlink="">
      <xdr:nvSpPr>
        <xdr:cNvPr id="1009" name="Isosceles Triangle 1008">
          <a:extLst>
            <a:ext uri="{FF2B5EF4-FFF2-40B4-BE49-F238E27FC236}">
              <a16:creationId xmlns:a16="http://schemas.microsoft.com/office/drawing/2014/main" id="{D533F11A-CDED-40CF-8D49-A20D8A8AFE3A}"/>
            </a:ext>
          </a:extLst>
        </xdr:cNvPr>
        <xdr:cNvSpPr/>
      </xdr:nvSpPr>
      <xdr:spPr>
        <a:xfrm rot="16200000">
          <a:off x="25582491" y="17912392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347</xdr:row>
      <xdr:rowOff>57743</xdr:rowOff>
    </xdr:from>
    <xdr:to>
      <xdr:col>36</xdr:col>
      <xdr:colOff>10080</xdr:colOff>
      <xdr:row>348</xdr:row>
      <xdr:rowOff>161270</xdr:rowOff>
    </xdr:to>
    <xdr:cxnSp macro="">
      <xdr:nvCxnSpPr>
        <xdr:cNvPr id="1010" name="Elbow Connector 61">
          <a:extLst>
            <a:ext uri="{FF2B5EF4-FFF2-40B4-BE49-F238E27FC236}">
              <a16:creationId xmlns:a16="http://schemas.microsoft.com/office/drawing/2014/main" id="{AE2608E7-1B71-4C32-ABEF-EC57D5ECD41F}"/>
            </a:ext>
          </a:extLst>
        </xdr:cNvPr>
        <xdr:cNvCxnSpPr/>
      </xdr:nvCxnSpPr>
      <xdr:spPr>
        <a:xfrm>
          <a:off x="18829717" y="19689826"/>
          <a:ext cx="6924321" cy="288736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344</xdr:row>
      <xdr:rowOff>82043</xdr:rowOff>
    </xdr:from>
    <xdr:to>
      <xdr:col>31</xdr:col>
      <xdr:colOff>68635</xdr:colOff>
      <xdr:row>345</xdr:row>
      <xdr:rowOff>59817</xdr:rowOff>
    </xdr:to>
    <xdr:sp macro="" textlink="">
      <xdr:nvSpPr>
        <xdr:cNvPr id="1011" name="Oval 1010">
          <a:extLst>
            <a:ext uri="{FF2B5EF4-FFF2-40B4-BE49-F238E27FC236}">
              <a16:creationId xmlns:a16="http://schemas.microsoft.com/office/drawing/2014/main" id="{6FB3E102-93AB-473D-A17F-D4C78EBEF195}"/>
            </a:ext>
          </a:extLst>
        </xdr:cNvPr>
        <xdr:cNvSpPr/>
      </xdr:nvSpPr>
      <xdr:spPr>
        <a:xfrm>
          <a:off x="22891585" y="19158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342</xdr:row>
      <xdr:rowOff>168388</xdr:rowOff>
    </xdr:from>
    <xdr:to>
      <xdr:col>36</xdr:col>
      <xdr:colOff>27021</xdr:colOff>
      <xdr:row>345</xdr:row>
      <xdr:rowOff>90619</xdr:rowOff>
    </xdr:to>
    <xdr:cxnSp macro="">
      <xdr:nvCxnSpPr>
        <xdr:cNvPr id="1012" name="Elbow Connector 59">
          <a:extLst>
            <a:ext uri="{FF2B5EF4-FFF2-40B4-BE49-F238E27FC236}">
              <a16:creationId xmlns:a16="http://schemas.microsoft.com/office/drawing/2014/main" id="{7EB7F3CE-327B-4791-9554-B748B0A630F1}"/>
            </a:ext>
          </a:extLst>
        </xdr:cNvPr>
        <xdr:cNvCxnSpPr>
          <a:cxnSpLocks/>
        </xdr:cNvCxnSpPr>
      </xdr:nvCxnSpPr>
      <xdr:spPr>
        <a:xfrm flipV="1">
          <a:off x="22965833" y="18874430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344</xdr:row>
      <xdr:rowOff>67823</xdr:rowOff>
    </xdr:from>
    <xdr:to>
      <xdr:col>35</xdr:col>
      <xdr:colOff>555915</xdr:colOff>
      <xdr:row>347</xdr:row>
      <xdr:rowOff>13511</xdr:rowOff>
    </xdr:to>
    <xdr:cxnSp macro="">
      <xdr:nvCxnSpPr>
        <xdr:cNvPr id="1013" name="Elbow Connector 61">
          <a:extLst>
            <a:ext uri="{FF2B5EF4-FFF2-40B4-BE49-F238E27FC236}">
              <a16:creationId xmlns:a16="http://schemas.microsoft.com/office/drawing/2014/main" id="{C8BD9DE3-67C8-4517-820B-50106F1BE412}"/>
            </a:ext>
          </a:extLst>
        </xdr:cNvPr>
        <xdr:cNvCxnSpPr/>
      </xdr:nvCxnSpPr>
      <xdr:spPr>
        <a:xfrm>
          <a:off x="22960044" y="19144281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344</xdr:row>
      <xdr:rowOff>82043</xdr:rowOff>
    </xdr:from>
    <xdr:to>
      <xdr:col>31</xdr:col>
      <xdr:colOff>68635</xdr:colOff>
      <xdr:row>345</xdr:row>
      <xdr:rowOff>59817</xdr:rowOff>
    </xdr:to>
    <xdr:sp macro="" textlink="">
      <xdr:nvSpPr>
        <xdr:cNvPr id="1014" name="Oval 1013">
          <a:extLst>
            <a:ext uri="{FF2B5EF4-FFF2-40B4-BE49-F238E27FC236}">
              <a16:creationId xmlns:a16="http://schemas.microsoft.com/office/drawing/2014/main" id="{8D1F1C6C-A5FA-419D-B863-9DFB2EBDF20E}"/>
            </a:ext>
          </a:extLst>
        </xdr:cNvPr>
        <xdr:cNvSpPr/>
      </xdr:nvSpPr>
      <xdr:spPr>
        <a:xfrm>
          <a:off x="22891585" y="19158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344</xdr:row>
      <xdr:rowOff>82043</xdr:rowOff>
    </xdr:from>
    <xdr:to>
      <xdr:col>31</xdr:col>
      <xdr:colOff>68635</xdr:colOff>
      <xdr:row>345</xdr:row>
      <xdr:rowOff>59817</xdr:rowOff>
    </xdr:to>
    <xdr:sp macro="" textlink="">
      <xdr:nvSpPr>
        <xdr:cNvPr id="1015" name="Oval 1014">
          <a:extLst>
            <a:ext uri="{FF2B5EF4-FFF2-40B4-BE49-F238E27FC236}">
              <a16:creationId xmlns:a16="http://schemas.microsoft.com/office/drawing/2014/main" id="{54E11B5B-BD64-416B-98C7-4251ED6EFFDD}"/>
            </a:ext>
          </a:extLst>
        </xdr:cNvPr>
        <xdr:cNvSpPr/>
      </xdr:nvSpPr>
      <xdr:spPr>
        <a:xfrm>
          <a:off x="22891585" y="19158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344</xdr:row>
      <xdr:rowOff>82043</xdr:rowOff>
    </xdr:from>
    <xdr:to>
      <xdr:col>31</xdr:col>
      <xdr:colOff>68635</xdr:colOff>
      <xdr:row>345</xdr:row>
      <xdr:rowOff>59817</xdr:rowOff>
    </xdr:to>
    <xdr:sp macro="" textlink="">
      <xdr:nvSpPr>
        <xdr:cNvPr id="1016" name="Oval 1015">
          <a:extLst>
            <a:ext uri="{FF2B5EF4-FFF2-40B4-BE49-F238E27FC236}">
              <a16:creationId xmlns:a16="http://schemas.microsoft.com/office/drawing/2014/main" id="{3A0F9699-5155-4F87-89C8-5C25581BADDD}"/>
            </a:ext>
          </a:extLst>
        </xdr:cNvPr>
        <xdr:cNvSpPr/>
      </xdr:nvSpPr>
      <xdr:spPr>
        <a:xfrm>
          <a:off x="22891585" y="19158501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342</xdr:row>
      <xdr:rowOff>48117</xdr:rowOff>
    </xdr:from>
    <xdr:to>
      <xdr:col>36</xdr:col>
      <xdr:colOff>100793</xdr:colOff>
      <xdr:row>343</xdr:row>
      <xdr:rowOff>120953</xdr:rowOff>
    </xdr:to>
    <xdr:sp macro="" textlink="">
      <xdr:nvSpPr>
        <xdr:cNvPr id="1017" name="Oval 1016">
          <a:extLst>
            <a:ext uri="{FF2B5EF4-FFF2-40B4-BE49-F238E27FC236}">
              <a16:creationId xmlns:a16="http://schemas.microsoft.com/office/drawing/2014/main" id="{04B6D63F-65A9-44C5-8996-4BFC9BA502DE}"/>
            </a:ext>
          </a:extLst>
        </xdr:cNvPr>
        <xdr:cNvSpPr/>
      </xdr:nvSpPr>
      <xdr:spPr>
        <a:xfrm>
          <a:off x="25599402" y="18754159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348</xdr:row>
      <xdr:rowOff>90713</xdr:rowOff>
    </xdr:from>
    <xdr:to>
      <xdr:col>36</xdr:col>
      <xdr:colOff>12880</xdr:colOff>
      <xdr:row>349</xdr:row>
      <xdr:rowOff>101372</xdr:rowOff>
    </xdr:to>
    <xdr:sp macro="" textlink="">
      <xdr:nvSpPr>
        <xdr:cNvPr id="1018" name="Isosceles Triangle 1017">
          <a:extLst>
            <a:ext uri="{FF2B5EF4-FFF2-40B4-BE49-F238E27FC236}">
              <a16:creationId xmlns:a16="http://schemas.microsoft.com/office/drawing/2014/main" id="{65BE0E53-66BE-4991-9704-E7A8E9BB71EB}"/>
            </a:ext>
          </a:extLst>
        </xdr:cNvPr>
        <xdr:cNvSpPr/>
      </xdr:nvSpPr>
      <xdr:spPr>
        <a:xfrm rot="16200000">
          <a:off x="25581280" y="19928315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346</xdr:row>
      <xdr:rowOff>112082</xdr:rowOff>
    </xdr:from>
    <xdr:to>
      <xdr:col>36</xdr:col>
      <xdr:colOff>14091</xdr:colOff>
      <xdr:row>347</xdr:row>
      <xdr:rowOff>122741</xdr:rowOff>
    </xdr:to>
    <xdr:sp macro="" textlink="">
      <xdr:nvSpPr>
        <xdr:cNvPr id="1019" name="Isosceles Triangle 1018">
          <a:extLst>
            <a:ext uri="{FF2B5EF4-FFF2-40B4-BE49-F238E27FC236}">
              <a16:creationId xmlns:a16="http://schemas.microsoft.com/office/drawing/2014/main" id="{5DB61B94-AC82-407E-8A83-3A294E2AA5BC}"/>
            </a:ext>
          </a:extLst>
        </xdr:cNvPr>
        <xdr:cNvSpPr/>
      </xdr:nvSpPr>
      <xdr:spPr>
        <a:xfrm rot="16200000">
          <a:off x="25582491" y="19579267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339</xdr:row>
      <xdr:rowOff>83054</xdr:rowOff>
    </xdr:from>
    <xdr:to>
      <xdr:col>36</xdr:col>
      <xdr:colOff>15299</xdr:colOff>
      <xdr:row>340</xdr:row>
      <xdr:rowOff>93713</xdr:rowOff>
    </xdr:to>
    <xdr:sp macro="" textlink="">
      <xdr:nvSpPr>
        <xdr:cNvPr id="1020" name="Isosceles Triangle 1019">
          <a:extLst>
            <a:ext uri="{FF2B5EF4-FFF2-40B4-BE49-F238E27FC236}">
              <a16:creationId xmlns:a16="http://schemas.microsoft.com/office/drawing/2014/main" id="{89CE0229-309F-4B2D-9336-E7781C5C8441}"/>
            </a:ext>
          </a:extLst>
        </xdr:cNvPr>
        <xdr:cNvSpPr/>
      </xdr:nvSpPr>
      <xdr:spPr>
        <a:xfrm rot="16200000">
          <a:off x="25583699" y="18253781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333247</xdr:colOff>
      <xdr:row>323</xdr:row>
      <xdr:rowOff>134612</xdr:rowOff>
    </xdr:from>
    <xdr:to>
      <xdr:col>36</xdr:col>
      <xdr:colOff>217527</xdr:colOff>
      <xdr:row>326</xdr:row>
      <xdr:rowOff>42193</xdr:rowOff>
    </xdr:to>
    <xdr:sp macro="" textlink="">
      <xdr:nvSpPr>
        <xdr:cNvPr id="1021" name="Oval 1020">
          <a:extLst>
            <a:ext uri="{FF2B5EF4-FFF2-40B4-BE49-F238E27FC236}">
              <a16:creationId xmlns:a16="http://schemas.microsoft.com/office/drawing/2014/main" id="{7DDC50D8-376C-4EBC-BBFF-2E712A0E14C5}"/>
            </a:ext>
          </a:extLst>
        </xdr:cNvPr>
        <xdr:cNvSpPr/>
      </xdr:nvSpPr>
      <xdr:spPr>
        <a:xfrm>
          <a:off x="25521580" y="15321695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323206</xdr:colOff>
      <xdr:row>332</xdr:row>
      <xdr:rowOff>139338</xdr:rowOff>
    </xdr:from>
    <xdr:to>
      <xdr:col>36</xdr:col>
      <xdr:colOff>207486</xdr:colOff>
      <xdr:row>335</xdr:row>
      <xdr:rowOff>46919</xdr:rowOff>
    </xdr:to>
    <xdr:sp macro="" textlink="">
      <xdr:nvSpPr>
        <xdr:cNvPr id="1022" name="Oval 1021">
          <a:extLst>
            <a:ext uri="{FF2B5EF4-FFF2-40B4-BE49-F238E27FC236}">
              <a16:creationId xmlns:a16="http://schemas.microsoft.com/office/drawing/2014/main" id="{9244DC65-2919-4B5D-8D81-43BB5D2778F3}"/>
            </a:ext>
          </a:extLst>
        </xdr:cNvPr>
        <xdr:cNvSpPr/>
      </xdr:nvSpPr>
      <xdr:spPr>
        <a:xfrm>
          <a:off x="25511539" y="16993296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327932</xdr:colOff>
      <xdr:row>341</xdr:row>
      <xdr:rowOff>129296</xdr:rowOff>
    </xdr:from>
    <xdr:to>
      <xdr:col>36</xdr:col>
      <xdr:colOff>212212</xdr:colOff>
      <xdr:row>344</xdr:row>
      <xdr:rowOff>36877</xdr:rowOff>
    </xdr:to>
    <xdr:sp macro="" textlink="">
      <xdr:nvSpPr>
        <xdr:cNvPr id="1023" name="Oval 1022">
          <a:extLst>
            <a:ext uri="{FF2B5EF4-FFF2-40B4-BE49-F238E27FC236}">
              <a16:creationId xmlns:a16="http://schemas.microsoft.com/office/drawing/2014/main" id="{E5C68B4F-E940-4A09-8C1C-99F968696027}"/>
            </a:ext>
          </a:extLst>
        </xdr:cNvPr>
        <xdr:cNvSpPr/>
      </xdr:nvSpPr>
      <xdr:spPr>
        <a:xfrm>
          <a:off x="25516265" y="18650129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18</xdr:col>
      <xdr:colOff>481377</xdr:colOff>
      <xdr:row>361</xdr:row>
      <xdr:rowOff>82043</xdr:rowOff>
    </xdr:from>
    <xdr:to>
      <xdr:col>19</xdr:col>
      <xdr:colOff>68635</xdr:colOff>
      <xdr:row>362</xdr:row>
      <xdr:rowOff>59817</xdr:rowOff>
    </xdr:to>
    <xdr:sp macro="" textlink="">
      <xdr:nvSpPr>
        <xdr:cNvPr id="1024" name="Oval 1023">
          <a:extLst>
            <a:ext uri="{FF2B5EF4-FFF2-40B4-BE49-F238E27FC236}">
              <a16:creationId xmlns:a16="http://schemas.microsoft.com/office/drawing/2014/main" id="{27EE87FC-601C-4078-9B92-7CB4527DAB6D}"/>
            </a:ext>
          </a:extLst>
        </xdr:cNvPr>
        <xdr:cNvSpPr/>
      </xdr:nvSpPr>
      <xdr:spPr>
        <a:xfrm>
          <a:off x="15959502" y="22307043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0</xdr:colOff>
      <xdr:row>357</xdr:row>
      <xdr:rowOff>13510</xdr:rowOff>
    </xdr:from>
    <xdr:to>
      <xdr:col>24</xdr:col>
      <xdr:colOff>0</xdr:colOff>
      <xdr:row>361</xdr:row>
      <xdr:rowOff>121595</xdr:rowOff>
    </xdr:to>
    <xdr:cxnSp macro="">
      <xdr:nvCxnSpPr>
        <xdr:cNvPr id="1025" name="Elbow Connector 59">
          <a:extLst>
            <a:ext uri="{FF2B5EF4-FFF2-40B4-BE49-F238E27FC236}">
              <a16:creationId xmlns:a16="http://schemas.microsoft.com/office/drawing/2014/main" id="{0116FF8C-0DB0-4908-87B5-E523F24F0440}"/>
            </a:ext>
          </a:extLst>
        </xdr:cNvPr>
        <xdr:cNvCxnSpPr>
          <a:cxnSpLocks/>
        </xdr:cNvCxnSpPr>
      </xdr:nvCxnSpPr>
      <xdr:spPr>
        <a:xfrm flipV="1">
          <a:off x="16033750" y="21497677"/>
          <a:ext cx="2778125" cy="848918"/>
        </a:xfrm>
        <a:prstGeom prst="bentConnector3">
          <a:avLst>
            <a:gd name="adj1" fmla="val -24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15506</xdr:colOff>
      <xdr:row>362</xdr:row>
      <xdr:rowOff>67823</xdr:rowOff>
    </xdr:from>
    <xdr:to>
      <xdr:col>24</xdr:col>
      <xdr:colOff>21585</xdr:colOff>
      <xdr:row>366</xdr:row>
      <xdr:rowOff>13511</xdr:rowOff>
    </xdr:to>
    <xdr:cxnSp macro="">
      <xdr:nvCxnSpPr>
        <xdr:cNvPr id="1026" name="Elbow Connector 61">
          <a:extLst>
            <a:ext uri="{FF2B5EF4-FFF2-40B4-BE49-F238E27FC236}">
              <a16:creationId xmlns:a16="http://schemas.microsoft.com/office/drawing/2014/main" id="{84566F80-8BE3-471E-B800-B2674C2F6CDE}"/>
            </a:ext>
          </a:extLst>
        </xdr:cNvPr>
        <xdr:cNvCxnSpPr/>
      </xdr:nvCxnSpPr>
      <xdr:spPr>
        <a:xfrm>
          <a:off x="16049256" y="22478031"/>
          <a:ext cx="2784204" cy="686522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481377</xdr:colOff>
      <xdr:row>361</xdr:row>
      <xdr:rowOff>82043</xdr:rowOff>
    </xdr:from>
    <xdr:to>
      <xdr:col>19</xdr:col>
      <xdr:colOff>68635</xdr:colOff>
      <xdr:row>362</xdr:row>
      <xdr:rowOff>59817</xdr:rowOff>
    </xdr:to>
    <xdr:sp macro="" textlink="">
      <xdr:nvSpPr>
        <xdr:cNvPr id="1027" name="Oval 1026">
          <a:extLst>
            <a:ext uri="{FF2B5EF4-FFF2-40B4-BE49-F238E27FC236}">
              <a16:creationId xmlns:a16="http://schemas.microsoft.com/office/drawing/2014/main" id="{7297CDCF-8042-42A7-BDBF-8D3A2D1F5835}"/>
            </a:ext>
          </a:extLst>
        </xdr:cNvPr>
        <xdr:cNvSpPr/>
      </xdr:nvSpPr>
      <xdr:spPr>
        <a:xfrm>
          <a:off x="15959502" y="22307043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501536</xdr:colOff>
      <xdr:row>356</xdr:row>
      <xdr:rowOff>112280</xdr:rowOff>
    </xdr:from>
    <xdr:to>
      <xdr:col>24</xdr:col>
      <xdr:colOff>88794</xdr:colOff>
      <xdr:row>357</xdr:row>
      <xdr:rowOff>90055</xdr:rowOff>
    </xdr:to>
    <xdr:sp macro="" textlink="">
      <xdr:nvSpPr>
        <xdr:cNvPr id="1028" name="Oval 1027">
          <a:extLst>
            <a:ext uri="{FF2B5EF4-FFF2-40B4-BE49-F238E27FC236}">
              <a16:creationId xmlns:a16="http://schemas.microsoft.com/office/drawing/2014/main" id="{546D138E-BD27-4A81-9D03-D2566A005F3F}"/>
            </a:ext>
          </a:extLst>
        </xdr:cNvPr>
        <xdr:cNvSpPr/>
      </xdr:nvSpPr>
      <xdr:spPr>
        <a:xfrm>
          <a:off x="18757786" y="21411238"/>
          <a:ext cx="142883" cy="16298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534205</xdr:colOff>
      <xdr:row>354</xdr:row>
      <xdr:rowOff>161644</xdr:rowOff>
    </xdr:from>
    <xdr:to>
      <xdr:col>30</xdr:col>
      <xdr:colOff>481377</xdr:colOff>
      <xdr:row>356</xdr:row>
      <xdr:rowOff>120952</xdr:rowOff>
    </xdr:to>
    <xdr:cxnSp macro="">
      <xdr:nvCxnSpPr>
        <xdr:cNvPr id="1029" name="Elbow Connector 59">
          <a:extLst>
            <a:ext uri="{FF2B5EF4-FFF2-40B4-BE49-F238E27FC236}">
              <a16:creationId xmlns:a16="http://schemas.microsoft.com/office/drawing/2014/main" id="{EE5782B7-35DF-44B3-A226-F27741A8CA56}"/>
            </a:ext>
          </a:extLst>
        </xdr:cNvPr>
        <xdr:cNvCxnSpPr>
          <a:cxnSpLocks/>
          <a:endCxn id="1041" idx="2"/>
        </xdr:cNvCxnSpPr>
      </xdr:nvCxnSpPr>
      <xdr:spPr>
        <a:xfrm flipV="1">
          <a:off x="18790455" y="21090186"/>
          <a:ext cx="4101130" cy="329724"/>
        </a:xfrm>
        <a:prstGeom prst="bentConnector3">
          <a:avLst>
            <a:gd name="adj1" fmla="val 495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7762</xdr:colOff>
      <xdr:row>357</xdr:row>
      <xdr:rowOff>67823</xdr:rowOff>
    </xdr:from>
    <xdr:to>
      <xdr:col>36</xdr:col>
      <xdr:colOff>0</xdr:colOff>
      <xdr:row>358</xdr:row>
      <xdr:rowOff>171349</xdr:rowOff>
    </xdr:to>
    <xdr:cxnSp macro="">
      <xdr:nvCxnSpPr>
        <xdr:cNvPr id="1030" name="Elbow Connector 61">
          <a:extLst>
            <a:ext uri="{FF2B5EF4-FFF2-40B4-BE49-F238E27FC236}">
              <a16:creationId xmlns:a16="http://schemas.microsoft.com/office/drawing/2014/main" id="{73B740A8-DFE5-4539-88C5-C88E59F8A54C}"/>
            </a:ext>
          </a:extLst>
        </xdr:cNvPr>
        <xdr:cNvCxnSpPr/>
      </xdr:nvCxnSpPr>
      <xdr:spPr>
        <a:xfrm>
          <a:off x="18819637" y="21551990"/>
          <a:ext cx="6924321" cy="288734"/>
        </a:xfrm>
        <a:prstGeom prst="bentConnector3">
          <a:avLst>
            <a:gd name="adj1" fmla="val -58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481377</xdr:colOff>
      <xdr:row>365</xdr:row>
      <xdr:rowOff>82043</xdr:rowOff>
    </xdr:from>
    <xdr:to>
      <xdr:col>24</xdr:col>
      <xdr:colOff>68635</xdr:colOff>
      <xdr:row>366</xdr:row>
      <xdr:rowOff>59817</xdr:rowOff>
    </xdr:to>
    <xdr:sp macro="" textlink="">
      <xdr:nvSpPr>
        <xdr:cNvPr id="1031" name="Oval 1030">
          <a:extLst>
            <a:ext uri="{FF2B5EF4-FFF2-40B4-BE49-F238E27FC236}">
              <a16:creationId xmlns:a16="http://schemas.microsoft.com/office/drawing/2014/main" id="{0AD79732-2C48-4C26-90DD-367B1CD0B7C2}"/>
            </a:ext>
          </a:extLst>
        </xdr:cNvPr>
        <xdr:cNvSpPr/>
      </xdr:nvSpPr>
      <xdr:spPr>
        <a:xfrm>
          <a:off x="18737627" y="2304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365</xdr:row>
      <xdr:rowOff>82043</xdr:rowOff>
    </xdr:from>
    <xdr:to>
      <xdr:col>24</xdr:col>
      <xdr:colOff>68635</xdr:colOff>
      <xdr:row>366</xdr:row>
      <xdr:rowOff>59817</xdr:rowOff>
    </xdr:to>
    <xdr:sp macro="" textlink="">
      <xdr:nvSpPr>
        <xdr:cNvPr id="1032" name="Oval 1031">
          <a:extLst>
            <a:ext uri="{FF2B5EF4-FFF2-40B4-BE49-F238E27FC236}">
              <a16:creationId xmlns:a16="http://schemas.microsoft.com/office/drawing/2014/main" id="{4B42DE14-469D-48B9-AAA7-D6C36CDBD201}"/>
            </a:ext>
          </a:extLst>
        </xdr:cNvPr>
        <xdr:cNvSpPr/>
      </xdr:nvSpPr>
      <xdr:spPr>
        <a:xfrm>
          <a:off x="18737627" y="2304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365</xdr:row>
      <xdr:rowOff>82043</xdr:rowOff>
    </xdr:from>
    <xdr:to>
      <xdr:col>24</xdr:col>
      <xdr:colOff>68635</xdr:colOff>
      <xdr:row>366</xdr:row>
      <xdr:rowOff>59817</xdr:rowOff>
    </xdr:to>
    <xdr:sp macro="" textlink="">
      <xdr:nvSpPr>
        <xdr:cNvPr id="1033" name="Oval 1032">
          <a:extLst>
            <a:ext uri="{FF2B5EF4-FFF2-40B4-BE49-F238E27FC236}">
              <a16:creationId xmlns:a16="http://schemas.microsoft.com/office/drawing/2014/main" id="{0324CF62-BABB-48B2-AE87-0B0941AEEEFD}"/>
            </a:ext>
          </a:extLst>
        </xdr:cNvPr>
        <xdr:cNvSpPr/>
      </xdr:nvSpPr>
      <xdr:spPr>
        <a:xfrm>
          <a:off x="18737627" y="2304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481377</xdr:colOff>
      <xdr:row>365</xdr:row>
      <xdr:rowOff>82043</xdr:rowOff>
    </xdr:from>
    <xdr:to>
      <xdr:col>24</xdr:col>
      <xdr:colOff>68635</xdr:colOff>
      <xdr:row>366</xdr:row>
      <xdr:rowOff>59817</xdr:rowOff>
    </xdr:to>
    <xdr:sp macro="" textlink="">
      <xdr:nvSpPr>
        <xdr:cNvPr id="1034" name="Oval 1033">
          <a:extLst>
            <a:ext uri="{FF2B5EF4-FFF2-40B4-BE49-F238E27FC236}">
              <a16:creationId xmlns:a16="http://schemas.microsoft.com/office/drawing/2014/main" id="{C28567BA-1274-4FFB-A28D-934ECBA988DE}"/>
            </a:ext>
          </a:extLst>
        </xdr:cNvPr>
        <xdr:cNvSpPr/>
      </xdr:nvSpPr>
      <xdr:spPr>
        <a:xfrm>
          <a:off x="18737627" y="23047876"/>
          <a:ext cx="142883" cy="162983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551974</xdr:colOff>
      <xdr:row>364</xdr:row>
      <xdr:rowOff>13512</xdr:rowOff>
    </xdr:from>
    <xdr:to>
      <xdr:col>30</xdr:col>
      <xdr:colOff>513404</xdr:colOff>
      <xdr:row>365</xdr:row>
      <xdr:rowOff>82044</xdr:rowOff>
    </xdr:to>
    <xdr:cxnSp macro="">
      <xdr:nvCxnSpPr>
        <xdr:cNvPr id="1035" name="Elbow Connector 59">
          <a:extLst>
            <a:ext uri="{FF2B5EF4-FFF2-40B4-BE49-F238E27FC236}">
              <a16:creationId xmlns:a16="http://schemas.microsoft.com/office/drawing/2014/main" id="{4F238E68-1D6A-47A6-9ABE-B993B471B350}"/>
            </a:ext>
          </a:extLst>
        </xdr:cNvPr>
        <xdr:cNvCxnSpPr>
          <a:cxnSpLocks/>
          <a:stCxn id="1034" idx="0"/>
        </xdr:cNvCxnSpPr>
      </xdr:nvCxnSpPr>
      <xdr:spPr>
        <a:xfrm rot="5400000" flipH="1" flipV="1">
          <a:off x="20739048" y="20863313"/>
          <a:ext cx="253740" cy="4115388"/>
        </a:xfrm>
        <a:prstGeom prst="bentConnector2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354</xdr:row>
      <xdr:rowOff>82043</xdr:rowOff>
    </xdr:from>
    <xdr:to>
      <xdr:col>31</xdr:col>
      <xdr:colOff>68635</xdr:colOff>
      <xdr:row>355</xdr:row>
      <xdr:rowOff>59817</xdr:rowOff>
    </xdr:to>
    <xdr:sp macro="" textlink="">
      <xdr:nvSpPr>
        <xdr:cNvPr id="1036" name="Oval 1035">
          <a:extLst>
            <a:ext uri="{FF2B5EF4-FFF2-40B4-BE49-F238E27FC236}">
              <a16:creationId xmlns:a16="http://schemas.microsoft.com/office/drawing/2014/main" id="{F0F10536-9306-4590-A977-21EC4AB54CBB}"/>
            </a:ext>
          </a:extLst>
        </xdr:cNvPr>
        <xdr:cNvSpPr/>
      </xdr:nvSpPr>
      <xdr:spPr>
        <a:xfrm>
          <a:off x="22891585" y="210105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352</xdr:row>
      <xdr:rowOff>168388</xdr:rowOff>
    </xdr:from>
    <xdr:to>
      <xdr:col>36</xdr:col>
      <xdr:colOff>27021</xdr:colOff>
      <xdr:row>355</xdr:row>
      <xdr:rowOff>90619</xdr:rowOff>
    </xdr:to>
    <xdr:cxnSp macro="">
      <xdr:nvCxnSpPr>
        <xdr:cNvPr id="1037" name="Elbow Connector 59">
          <a:extLst>
            <a:ext uri="{FF2B5EF4-FFF2-40B4-BE49-F238E27FC236}">
              <a16:creationId xmlns:a16="http://schemas.microsoft.com/office/drawing/2014/main" id="{626BE0D9-5F17-4AA2-A767-24E9D3FA05C4}"/>
            </a:ext>
          </a:extLst>
        </xdr:cNvPr>
        <xdr:cNvCxnSpPr>
          <a:cxnSpLocks/>
        </xdr:cNvCxnSpPr>
      </xdr:nvCxnSpPr>
      <xdr:spPr>
        <a:xfrm flipV="1">
          <a:off x="22965833" y="20726513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354</xdr:row>
      <xdr:rowOff>67823</xdr:rowOff>
    </xdr:from>
    <xdr:to>
      <xdr:col>36</xdr:col>
      <xdr:colOff>290</xdr:colOff>
      <xdr:row>357</xdr:row>
      <xdr:rowOff>13511</xdr:rowOff>
    </xdr:to>
    <xdr:cxnSp macro="">
      <xdr:nvCxnSpPr>
        <xdr:cNvPr id="1038" name="Elbow Connector 61">
          <a:extLst>
            <a:ext uri="{FF2B5EF4-FFF2-40B4-BE49-F238E27FC236}">
              <a16:creationId xmlns:a16="http://schemas.microsoft.com/office/drawing/2014/main" id="{071B94DE-24D4-4479-AEAD-D99FA7C31127}"/>
            </a:ext>
          </a:extLst>
        </xdr:cNvPr>
        <xdr:cNvCxnSpPr/>
      </xdr:nvCxnSpPr>
      <xdr:spPr>
        <a:xfrm>
          <a:off x="22960044" y="20996365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354</xdr:row>
      <xdr:rowOff>82043</xdr:rowOff>
    </xdr:from>
    <xdr:to>
      <xdr:col>31</xdr:col>
      <xdr:colOff>68635</xdr:colOff>
      <xdr:row>355</xdr:row>
      <xdr:rowOff>59817</xdr:rowOff>
    </xdr:to>
    <xdr:sp macro="" textlink="">
      <xdr:nvSpPr>
        <xdr:cNvPr id="1039" name="Oval 1038">
          <a:extLst>
            <a:ext uri="{FF2B5EF4-FFF2-40B4-BE49-F238E27FC236}">
              <a16:creationId xmlns:a16="http://schemas.microsoft.com/office/drawing/2014/main" id="{96B0C789-9469-468E-A9F6-1C450B8DC1F2}"/>
            </a:ext>
          </a:extLst>
        </xdr:cNvPr>
        <xdr:cNvSpPr/>
      </xdr:nvSpPr>
      <xdr:spPr>
        <a:xfrm>
          <a:off x="22891585" y="210105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354</xdr:row>
      <xdr:rowOff>82043</xdr:rowOff>
    </xdr:from>
    <xdr:to>
      <xdr:col>31</xdr:col>
      <xdr:colOff>68635</xdr:colOff>
      <xdr:row>355</xdr:row>
      <xdr:rowOff>59817</xdr:rowOff>
    </xdr:to>
    <xdr:sp macro="" textlink="">
      <xdr:nvSpPr>
        <xdr:cNvPr id="1040" name="Oval 1039">
          <a:extLst>
            <a:ext uri="{FF2B5EF4-FFF2-40B4-BE49-F238E27FC236}">
              <a16:creationId xmlns:a16="http://schemas.microsoft.com/office/drawing/2014/main" id="{D5DC437F-0CBC-4988-A15F-5A97778DFD35}"/>
            </a:ext>
          </a:extLst>
        </xdr:cNvPr>
        <xdr:cNvSpPr/>
      </xdr:nvSpPr>
      <xdr:spPr>
        <a:xfrm>
          <a:off x="22891585" y="210105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354</xdr:row>
      <xdr:rowOff>82043</xdr:rowOff>
    </xdr:from>
    <xdr:to>
      <xdr:col>31</xdr:col>
      <xdr:colOff>68635</xdr:colOff>
      <xdr:row>355</xdr:row>
      <xdr:rowOff>59817</xdr:rowOff>
    </xdr:to>
    <xdr:sp macro="" textlink="">
      <xdr:nvSpPr>
        <xdr:cNvPr id="1041" name="Oval 1040">
          <a:extLst>
            <a:ext uri="{FF2B5EF4-FFF2-40B4-BE49-F238E27FC236}">
              <a16:creationId xmlns:a16="http://schemas.microsoft.com/office/drawing/2014/main" id="{575DDF14-3AFD-482B-B56A-7198A25AF5A6}"/>
            </a:ext>
          </a:extLst>
        </xdr:cNvPr>
        <xdr:cNvSpPr/>
      </xdr:nvSpPr>
      <xdr:spPr>
        <a:xfrm>
          <a:off x="22891585" y="21010585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352</xdr:row>
      <xdr:rowOff>48117</xdr:rowOff>
    </xdr:from>
    <xdr:to>
      <xdr:col>36</xdr:col>
      <xdr:colOff>100793</xdr:colOff>
      <xdr:row>353</xdr:row>
      <xdr:rowOff>120953</xdr:rowOff>
    </xdr:to>
    <xdr:sp macro="" textlink="">
      <xdr:nvSpPr>
        <xdr:cNvPr id="1042" name="Oval 1041">
          <a:extLst>
            <a:ext uri="{FF2B5EF4-FFF2-40B4-BE49-F238E27FC236}">
              <a16:creationId xmlns:a16="http://schemas.microsoft.com/office/drawing/2014/main" id="{2568C3AB-67B5-419A-A3DB-0312886B8EFB}"/>
            </a:ext>
          </a:extLst>
        </xdr:cNvPr>
        <xdr:cNvSpPr/>
      </xdr:nvSpPr>
      <xdr:spPr>
        <a:xfrm>
          <a:off x="25599402" y="20606242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356</xdr:row>
      <xdr:rowOff>112082</xdr:rowOff>
    </xdr:from>
    <xdr:to>
      <xdr:col>36</xdr:col>
      <xdr:colOff>14091</xdr:colOff>
      <xdr:row>357</xdr:row>
      <xdr:rowOff>122741</xdr:rowOff>
    </xdr:to>
    <xdr:sp macro="" textlink="">
      <xdr:nvSpPr>
        <xdr:cNvPr id="1043" name="Isosceles Triangle 1042">
          <a:extLst>
            <a:ext uri="{FF2B5EF4-FFF2-40B4-BE49-F238E27FC236}">
              <a16:creationId xmlns:a16="http://schemas.microsoft.com/office/drawing/2014/main" id="{FA77F58B-8F35-4984-AECC-0E82CD635782}"/>
            </a:ext>
          </a:extLst>
        </xdr:cNvPr>
        <xdr:cNvSpPr/>
      </xdr:nvSpPr>
      <xdr:spPr>
        <a:xfrm rot="16200000">
          <a:off x="25582491" y="21431350"/>
          <a:ext cx="195868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17842</xdr:colOff>
      <xdr:row>366</xdr:row>
      <xdr:rowOff>57743</xdr:rowOff>
    </xdr:from>
    <xdr:to>
      <xdr:col>36</xdr:col>
      <xdr:colOff>10080</xdr:colOff>
      <xdr:row>367</xdr:row>
      <xdr:rowOff>161270</xdr:rowOff>
    </xdr:to>
    <xdr:cxnSp macro="">
      <xdr:nvCxnSpPr>
        <xdr:cNvPr id="1044" name="Elbow Connector 61">
          <a:extLst>
            <a:ext uri="{FF2B5EF4-FFF2-40B4-BE49-F238E27FC236}">
              <a16:creationId xmlns:a16="http://schemas.microsoft.com/office/drawing/2014/main" id="{82C1C3FE-97A2-4396-A31B-0D5A363C5AD3}"/>
            </a:ext>
          </a:extLst>
        </xdr:cNvPr>
        <xdr:cNvCxnSpPr/>
      </xdr:nvCxnSpPr>
      <xdr:spPr>
        <a:xfrm>
          <a:off x="18829717" y="23208785"/>
          <a:ext cx="6924321" cy="288735"/>
        </a:xfrm>
        <a:prstGeom prst="bentConnector3">
          <a:avLst>
            <a:gd name="adj1" fmla="val -210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363</xdr:row>
      <xdr:rowOff>82043</xdr:rowOff>
    </xdr:from>
    <xdr:to>
      <xdr:col>31</xdr:col>
      <xdr:colOff>68635</xdr:colOff>
      <xdr:row>364</xdr:row>
      <xdr:rowOff>59817</xdr:rowOff>
    </xdr:to>
    <xdr:sp macro="" textlink="">
      <xdr:nvSpPr>
        <xdr:cNvPr id="1045" name="Oval 1044">
          <a:extLst>
            <a:ext uri="{FF2B5EF4-FFF2-40B4-BE49-F238E27FC236}">
              <a16:creationId xmlns:a16="http://schemas.microsoft.com/office/drawing/2014/main" id="{03557E1A-4179-4440-8F6D-6B2C98935D45}"/>
            </a:ext>
          </a:extLst>
        </xdr:cNvPr>
        <xdr:cNvSpPr/>
      </xdr:nvSpPr>
      <xdr:spPr>
        <a:xfrm>
          <a:off x="22891585" y="22677460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0</xdr:colOff>
      <xdr:row>361</xdr:row>
      <xdr:rowOff>168388</xdr:rowOff>
    </xdr:from>
    <xdr:to>
      <xdr:col>36</xdr:col>
      <xdr:colOff>27021</xdr:colOff>
      <xdr:row>364</xdr:row>
      <xdr:rowOff>90619</xdr:rowOff>
    </xdr:to>
    <xdr:cxnSp macro="">
      <xdr:nvCxnSpPr>
        <xdr:cNvPr id="1046" name="Elbow Connector 59">
          <a:extLst>
            <a:ext uri="{FF2B5EF4-FFF2-40B4-BE49-F238E27FC236}">
              <a16:creationId xmlns:a16="http://schemas.microsoft.com/office/drawing/2014/main" id="{61D7E163-D141-48B0-97D5-6ADEE5C87333}"/>
            </a:ext>
          </a:extLst>
        </xdr:cNvPr>
        <xdr:cNvCxnSpPr>
          <a:cxnSpLocks/>
        </xdr:cNvCxnSpPr>
      </xdr:nvCxnSpPr>
      <xdr:spPr>
        <a:xfrm flipV="1">
          <a:off x="22965833" y="22393388"/>
          <a:ext cx="2805146" cy="477856"/>
        </a:xfrm>
        <a:prstGeom prst="bentConnector3">
          <a:avLst>
            <a:gd name="adj1" fmla="val -24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549836</xdr:colOff>
      <xdr:row>363</xdr:row>
      <xdr:rowOff>67823</xdr:rowOff>
    </xdr:from>
    <xdr:to>
      <xdr:col>35</xdr:col>
      <xdr:colOff>555915</xdr:colOff>
      <xdr:row>366</xdr:row>
      <xdr:rowOff>13511</xdr:rowOff>
    </xdr:to>
    <xdr:cxnSp macro="">
      <xdr:nvCxnSpPr>
        <xdr:cNvPr id="1047" name="Elbow Connector 61">
          <a:extLst>
            <a:ext uri="{FF2B5EF4-FFF2-40B4-BE49-F238E27FC236}">
              <a16:creationId xmlns:a16="http://schemas.microsoft.com/office/drawing/2014/main" id="{6AE88904-B8C5-4716-AC5D-89BD448BDE51}"/>
            </a:ext>
          </a:extLst>
        </xdr:cNvPr>
        <xdr:cNvCxnSpPr/>
      </xdr:nvCxnSpPr>
      <xdr:spPr>
        <a:xfrm>
          <a:off x="22960044" y="22663240"/>
          <a:ext cx="2784204" cy="501313"/>
        </a:xfrm>
        <a:prstGeom prst="bentConnector3">
          <a:avLst>
            <a:gd name="adj1" fmla="val -134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481377</xdr:colOff>
      <xdr:row>363</xdr:row>
      <xdr:rowOff>82043</xdr:rowOff>
    </xdr:from>
    <xdr:to>
      <xdr:col>31</xdr:col>
      <xdr:colOff>68635</xdr:colOff>
      <xdr:row>364</xdr:row>
      <xdr:rowOff>59817</xdr:rowOff>
    </xdr:to>
    <xdr:sp macro="" textlink="">
      <xdr:nvSpPr>
        <xdr:cNvPr id="1048" name="Oval 1047">
          <a:extLst>
            <a:ext uri="{FF2B5EF4-FFF2-40B4-BE49-F238E27FC236}">
              <a16:creationId xmlns:a16="http://schemas.microsoft.com/office/drawing/2014/main" id="{0307492D-E804-4B4F-ABDF-C1FE6803DE4C}"/>
            </a:ext>
          </a:extLst>
        </xdr:cNvPr>
        <xdr:cNvSpPr/>
      </xdr:nvSpPr>
      <xdr:spPr>
        <a:xfrm>
          <a:off x="22891585" y="22677460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363</xdr:row>
      <xdr:rowOff>82043</xdr:rowOff>
    </xdr:from>
    <xdr:to>
      <xdr:col>31</xdr:col>
      <xdr:colOff>68635</xdr:colOff>
      <xdr:row>364</xdr:row>
      <xdr:rowOff>59817</xdr:rowOff>
    </xdr:to>
    <xdr:sp macro="" textlink="">
      <xdr:nvSpPr>
        <xdr:cNvPr id="1049" name="Oval 1048">
          <a:extLst>
            <a:ext uri="{FF2B5EF4-FFF2-40B4-BE49-F238E27FC236}">
              <a16:creationId xmlns:a16="http://schemas.microsoft.com/office/drawing/2014/main" id="{31518E1A-7231-478E-8815-4A2C756E803C}"/>
            </a:ext>
          </a:extLst>
        </xdr:cNvPr>
        <xdr:cNvSpPr/>
      </xdr:nvSpPr>
      <xdr:spPr>
        <a:xfrm>
          <a:off x="22891585" y="22677460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481377</xdr:colOff>
      <xdr:row>363</xdr:row>
      <xdr:rowOff>82043</xdr:rowOff>
    </xdr:from>
    <xdr:to>
      <xdr:col>31</xdr:col>
      <xdr:colOff>68635</xdr:colOff>
      <xdr:row>364</xdr:row>
      <xdr:rowOff>59817</xdr:rowOff>
    </xdr:to>
    <xdr:sp macro="" textlink="">
      <xdr:nvSpPr>
        <xdr:cNvPr id="1050" name="Oval 1049">
          <a:extLst>
            <a:ext uri="{FF2B5EF4-FFF2-40B4-BE49-F238E27FC236}">
              <a16:creationId xmlns:a16="http://schemas.microsoft.com/office/drawing/2014/main" id="{7F5B03F0-EAFE-444C-95B4-A621C2D298F4}"/>
            </a:ext>
          </a:extLst>
        </xdr:cNvPr>
        <xdr:cNvSpPr/>
      </xdr:nvSpPr>
      <xdr:spPr>
        <a:xfrm>
          <a:off x="22891585" y="22677460"/>
          <a:ext cx="142883" cy="162982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411069</xdr:colOff>
      <xdr:row>361</xdr:row>
      <xdr:rowOff>48117</xdr:rowOff>
    </xdr:from>
    <xdr:to>
      <xdr:col>36</xdr:col>
      <xdr:colOff>100793</xdr:colOff>
      <xdr:row>362</xdr:row>
      <xdr:rowOff>120953</xdr:rowOff>
    </xdr:to>
    <xdr:sp macro="" textlink="">
      <xdr:nvSpPr>
        <xdr:cNvPr id="1051" name="Oval 1050">
          <a:extLst>
            <a:ext uri="{FF2B5EF4-FFF2-40B4-BE49-F238E27FC236}">
              <a16:creationId xmlns:a16="http://schemas.microsoft.com/office/drawing/2014/main" id="{35773EFA-AF52-4B32-9A1F-458E613A59A7}"/>
            </a:ext>
          </a:extLst>
        </xdr:cNvPr>
        <xdr:cNvSpPr/>
      </xdr:nvSpPr>
      <xdr:spPr>
        <a:xfrm>
          <a:off x="25599402" y="22273117"/>
          <a:ext cx="245349" cy="258044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413257</xdr:colOff>
      <xdr:row>367</xdr:row>
      <xdr:rowOff>90713</xdr:rowOff>
    </xdr:from>
    <xdr:to>
      <xdr:col>36</xdr:col>
      <xdr:colOff>12880</xdr:colOff>
      <xdr:row>368</xdr:row>
      <xdr:rowOff>101372</xdr:rowOff>
    </xdr:to>
    <xdr:sp macro="" textlink="">
      <xdr:nvSpPr>
        <xdr:cNvPr id="1052" name="Isosceles Triangle 1051">
          <a:extLst>
            <a:ext uri="{FF2B5EF4-FFF2-40B4-BE49-F238E27FC236}">
              <a16:creationId xmlns:a16="http://schemas.microsoft.com/office/drawing/2014/main" id="{8DF26109-BBD2-4125-BF53-CD77C0F4A2AF}"/>
            </a:ext>
          </a:extLst>
        </xdr:cNvPr>
        <xdr:cNvSpPr/>
      </xdr:nvSpPr>
      <xdr:spPr>
        <a:xfrm rot="16200000">
          <a:off x="25581280" y="23447273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414468</xdr:colOff>
      <xdr:row>365</xdr:row>
      <xdr:rowOff>112082</xdr:rowOff>
    </xdr:from>
    <xdr:to>
      <xdr:col>36</xdr:col>
      <xdr:colOff>14091</xdr:colOff>
      <xdr:row>366</xdr:row>
      <xdr:rowOff>122741</xdr:rowOff>
    </xdr:to>
    <xdr:sp macro="" textlink="">
      <xdr:nvSpPr>
        <xdr:cNvPr id="1053" name="Isosceles Triangle 1052">
          <a:extLst>
            <a:ext uri="{FF2B5EF4-FFF2-40B4-BE49-F238E27FC236}">
              <a16:creationId xmlns:a16="http://schemas.microsoft.com/office/drawing/2014/main" id="{6BD18822-BC42-4AEF-A56E-E361181AE8FE}"/>
            </a:ext>
          </a:extLst>
        </xdr:cNvPr>
        <xdr:cNvSpPr/>
      </xdr:nvSpPr>
      <xdr:spPr>
        <a:xfrm rot="16200000">
          <a:off x="25582491" y="23098225"/>
          <a:ext cx="195868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415676</xdr:colOff>
      <xdr:row>358</xdr:row>
      <xdr:rowOff>83054</xdr:rowOff>
    </xdr:from>
    <xdr:to>
      <xdr:col>36</xdr:col>
      <xdr:colOff>15299</xdr:colOff>
      <xdr:row>359</xdr:row>
      <xdr:rowOff>93713</xdr:rowOff>
    </xdr:to>
    <xdr:sp macro="" textlink="">
      <xdr:nvSpPr>
        <xdr:cNvPr id="1054" name="Isosceles Triangle 1053">
          <a:extLst>
            <a:ext uri="{FF2B5EF4-FFF2-40B4-BE49-F238E27FC236}">
              <a16:creationId xmlns:a16="http://schemas.microsoft.com/office/drawing/2014/main" id="{A959EA07-518A-4D4D-A1B8-E9A9062A3490}"/>
            </a:ext>
          </a:extLst>
        </xdr:cNvPr>
        <xdr:cNvSpPr/>
      </xdr:nvSpPr>
      <xdr:spPr>
        <a:xfrm rot="16200000">
          <a:off x="25583699" y="21772739"/>
          <a:ext cx="195867" cy="155248"/>
        </a:xfrm>
        <a:prstGeom prst="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323206</xdr:colOff>
      <xdr:row>351</xdr:row>
      <xdr:rowOff>139338</xdr:rowOff>
    </xdr:from>
    <xdr:to>
      <xdr:col>36</xdr:col>
      <xdr:colOff>207486</xdr:colOff>
      <xdr:row>354</xdr:row>
      <xdr:rowOff>46919</xdr:rowOff>
    </xdr:to>
    <xdr:sp macro="" textlink="">
      <xdr:nvSpPr>
        <xdr:cNvPr id="1055" name="Oval 1054">
          <a:extLst>
            <a:ext uri="{FF2B5EF4-FFF2-40B4-BE49-F238E27FC236}">
              <a16:creationId xmlns:a16="http://schemas.microsoft.com/office/drawing/2014/main" id="{CB1CE1EF-4529-4096-983B-373604477004}"/>
            </a:ext>
          </a:extLst>
        </xdr:cNvPr>
        <xdr:cNvSpPr/>
      </xdr:nvSpPr>
      <xdr:spPr>
        <a:xfrm>
          <a:off x="25511539" y="20512255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35</xdr:col>
      <xdr:colOff>327932</xdr:colOff>
      <xdr:row>360</xdr:row>
      <xdr:rowOff>129296</xdr:rowOff>
    </xdr:from>
    <xdr:to>
      <xdr:col>36</xdr:col>
      <xdr:colOff>212212</xdr:colOff>
      <xdr:row>363</xdr:row>
      <xdr:rowOff>36877</xdr:rowOff>
    </xdr:to>
    <xdr:sp macro="" textlink="">
      <xdr:nvSpPr>
        <xdr:cNvPr id="1056" name="Oval 1055">
          <a:extLst>
            <a:ext uri="{FF2B5EF4-FFF2-40B4-BE49-F238E27FC236}">
              <a16:creationId xmlns:a16="http://schemas.microsoft.com/office/drawing/2014/main" id="{72BC1672-5117-4631-95A5-8C42C05695FD}"/>
            </a:ext>
          </a:extLst>
        </xdr:cNvPr>
        <xdr:cNvSpPr/>
      </xdr:nvSpPr>
      <xdr:spPr>
        <a:xfrm>
          <a:off x="25516265" y="22169088"/>
          <a:ext cx="439905" cy="46320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</a:t>
          </a:r>
        </a:p>
      </xdr:txBody>
    </xdr:sp>
    <xdr:clientData/>
  </xdr:twoCellAnchor>
  <xdr:twoCellAnchor>
    <xdr:from>
      <xdr:col>4</xdr:col>
      <xdr:colOff>0</xdr:colOff>
      <xdr:row>343</xdr:row>
      <xdr:rowOff>27021</xdr:rowOff>
    </xdr:from>
    <xdr:to>
      <xdr:col>13</xdr:col>
      <xdr:colOff>467432</xdr:colOff>
      <xdr:row>343</xdr:row>
      <xdr:rowOff>32595</xdr:rowOff>
    </xdr:to>
    <xdr:cxnSp macro="">
      <xdr:nvCxnSpPr>
        <xdr:cNvPr id="1057" name="Straight Connector 1056">
          <a:extLst>
            <a:ext uri="{FF2B5EF4-FFF2-40B4-BE49-F238E27FC236}">
              <a16:creationId xmlns:a16="http://schemas.microsoft.com/office/drawing/2014/main" id="{CF1C3210-BDFF-4AD4-9C6E-90D18A506C23}"/>
            </a:ext>
          </a:extLst>
        </xdr:cNvPr>
        <xdr:cNvCxnSpPr/>
      </xdr:nvCxnSpPr>
      <xdr:spPr>
        <a:xfrm>
          <a:off x="7646458" y="18918271"/>
          <a:ext cx="5520974" cy="55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43</xdr:row>
      <xdr:rowOff>14111</xdr:rowOff>
    </xdr:from>
    <xdr:to>
      <xdr:col>4</xdr:col>
      <xdr:colOff>0</xdr:colOff>
      <xdr:row>343</xdr:row>
      <xdr:rowOff>105834</xdr:rowOff>
    </xdr:to>
    <xdr:cxnSp macro="">
      <xdr:nvCxnSpPr>
        <xdr:cNvPr id="1059" name="Straight Connector 1058">
          <a:extLst>
            <a:ext uri="{FF2B5EF4-FFF2-40B4-BE49-F238E27FC236}">
              <a16:creationId xmlns:a16="http://schemas.microsoft.com/office/drawing/2014/main" id="{8DE31D67-CA92-F81F-AF69-F303DB7905C3}"/>
            </a:ext>
          </a:extLst>
        </xdr:cNvPr>
        <xdr:cNvCxnSpPr/>
      </xdr:nvCxnSpPr>
      <xdr:spPr>
        <a:xfrm>
          <a:off x="564444" y="7704667"/>
          <a:ext cx="0" cy="53008389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436563</xdr:colOff>
      <xdr:row>102</xdr:row>
      <xdr:rowOff>29765</xdr:rowOff>
    </xdr:from>
    <xdr:to>
      <xdr:col>3</xdr:col>
      <xdr:colOff>545703</xdr:colOff>
      <xdr:row>102</xdr:row>
      <xdr:rowOff>39687</xdr:rowOff>
    </xdr:to>
    <xdr:cxnSp macro="">
      <xdr:nvCxnSpPr>
        <xdr:cNvPr id="1065" name="Straight Connector 1064">
          <a:extLst>
            <a:ext uri="{FF2B5EF4-FFF2-40B4-BE49-F238E27FC236}">
              <a16:creationId xmlns:a16="http://schemas.microsoft.com/office/drawing/2014/main" id="{4B5967D6-FAF0-B31D-7C47-5AF3D29EA141}"/>
            </a:ext>
          </a:extLst>
        </xdr:cNvPr>
        <xdr:cNvCxnSpPr/>
      </xdr:nvCxnSpPr>
      <xdr:spPr>
        <a:xfrm flipV="1">
          <a:off x="436563" y="19357578"/>
          <a:ext cx="1220390" cy="9922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476250</xdr:colOff>
      <xdr:row>101</xdr:row>
      <xdr:rowOff>148829</xdr:rowOff>
    </xdr:from>
    <xdr:to>
      <xdr:col>4</xdr:col>
      <xdr:colOff>63508</xdr:colOff>
      <xdr:row>102</xdr:row>
      <xdr:rowOff>126603</xdr:rowOff>
    </xdr:to>
    <xdr:sp macro="" textlink="">
      <xdr:nvSpPr>
        <xdr:cNvPr id="1068" name="Oval 1067">
          <a:extLst>
            <a:ext uri="{FF2B5EF4-FFF2-40B4-BE49-F238E27FC236}">
              <a16:creationId xmlns:a16="http://schemas.microsoft.com/office/drawing/2014/main" id="{F906BAC3-E3B8-4316-ACB6-74A50282703F}"/>
            </a:ext>
          </a:extLst>
        </xdr:cNvPr>
        <xdr:cNvSpPr/>
      </xdr:nvSpPr>
      <xdr:spPr>
        <a:xfrm>
          <a:off x="1587500" y="19288126"/>
          <a:ext cx="142883" cy="166290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</xdr:colOff>
      <xdr:row>12</xdr:row>
      <xdr:rowOff>47625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1AA1B59-F628-9F10-7493-E8F7B305B347}"/>
            </a:ext>
          </a:extLst>
        </xdr:cNvPr>
        <xdr:cNvSpPr txBox="1"/>
      </xdr:nvSpPr>
      <xdr:spPr>
        <a:xfrm>
          <a:off x="6597650" y="3711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7</xdr:col>
      <xdr:colOff>19050</xdr:colOff>
      <xdr:row>12</xdr:row>
      <xdr:rowOff>47625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0E32343-CFA7-7873-1D71-79988D48A163}"/>
            </a:ext>
          </a:extLst>
        </xdr:cNvPr>
        <xdr:cNvSpPr txBox="1"/>
      </xdr:nvSpPr>
      <xdr:spPr>
        <a:xfrm>
          <a:off x="6597650" y="3711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7</xdr:col>
      <xdr:colOff>19050</xdr:colOff>
      <xdr:row>12</xdr:row>
      <xdr:rowOff>47625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07B5DE9-7D02-CD4C-F13B-B183D16C03C8}"/>
            </a:ext>
          </a:extLst>
        </xdr:cNvPr>
        <xdr:cNvSpPr txBox="1"/>
      </xdr:nvSpPr>
      <xdr:spPr>
        <a:xfrm>
          <a:off x="6597650" y="3711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22</xdr:col>
      <xdr:colOff>19050</xdr:colOff>
      <xdr:row>12</xdr:row>
      <xdr:rowOff>47625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B209645-D4B7-47F1-81E9-07668233E9BF}"/>
            </a:ext>
          </a:extLst>
        </xdr:cNvPr>
        <xdr:cNvSpPr txBox="1"/>
      </xdr:nvSpPr>
      <xdr:spPr>
        <a:xfrm>
          <a:off x="6597650" y="3711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22</xdr:col>
      <xdr:colOff>19050</xdr:colOff>
      <xdr:row>12</xdr:row>
      <xdr:rowOff>47625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F3CA403D-D5E4-42E2-B461-C4F35F0E2358}"/>
            </a:ext>
          </a:extLst>
        </xdr:cNvPr>
        <xdr:cNvSpPr txBox="1"/>
      </xdr:nvSpPr>
      <xdr:spPr>
        <a:xfrm>
          <a:off x="6597650" y="3711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22</xdr:col>
      <xdr:colOff>19050</xdr:colOff>
      <xdr:row>12</xdr:row>
      <xdr:rowOff>47625</xdr:rowOff>
    </xdr:from>
    <xdr:ext cx="65" cy="17222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4634076-2EE6-4390-BC69-74134C4DCCED}"/>
            </a:ext>
          </a:extLst>
        </xdr:cNvPr>
        <xdr:cNvSpPr txBox="1"/>
      </xdr:nvSpPr>
      <xdr:spPr>
        <a:xfrm>
          <a:off x="6597650" y="3711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409755</xdr:colOff>
      <xdr:row>37</xdr:row>
      <xdr:rowOff>6229</xdr:rowOff>
    </xdr:from>
    <xdr:to>
      <xdr:col>16</xdr:col>
      <xdr:colOff>323490</xdr:colOff>
      <xdr:row>59</xdr:row>
      <xdr:rowOff>47923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6E1A1C34-EC90-CAA7-1E1C-42090FC461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140012</xdr:colOff>
      <xdr:row>34</xdr:row>
      <xdr:rowOff>76971</xdr:rowOff>
    </xdr:from>
    <xdr:to>
      <xdr:col>26</xdr:col>
      <xdr:colOff>355984</xdr:colOff>
      <xdr:row>59</xdr:row>
      <xdr:rowOff>5162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7887DC0-156D-25F4-8A16-6815ADE813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197282</xdr:colOff>
      <xdr:row>37</xdr:row>
      <xdr:rowOff>42617</xdr:rowOff>
    </xdr:from>
    <xdr:to>
      <xdr:col>34</xdr:col>
      <xdr:colOff>514569</xdr:colOff>
      <xdr:row>55</xdr:row>
      <xdr:rowOff>178349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87D0D78-F0EA-16E4-13D8-D4370083C6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n Pollard" id="{1ED7D6D4-7F01-4EF5-AE6B-77C285E8B9A8}" userId="S::d.j.pollard@sheffield.ac.uk::0d4b23f7-13e9-4f01-a596-570645089277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178D0-32BA-40B1-BFDF-A2CBD007D279}">
  <sheetPr codeName="Sheet5"/>
  <dimension ref="A1:T81"/>
  <sheetViews>
    <sheetView zoomScale="70" zoomScaleNormal="70" workbookViewId="0">
      <pane ySplit="2" topLeftCell="A6" activePane="bottomLeft" state="frozen"/>
      <selection pane="bottomLeft" activeCell="C61" sqref="C61"/>
    </sheetView>
  </sheetViews>
  <sheetFormatPr defaultRowHeight="14.5" x14ac:dyDescent="0.3"/>
  <cols>
    <col min="1" max="1" width="55.09765625" bestFit="1" customWidth="1"/>
    <col min="2" max="2" width="26.09765625" customWidth="1"/>
    <col min="3" max="3" width="12.69921875" bestFit="1" customWidth="1"/>
    <col min="4" max="4" width="15.8984375" customWidth="1"/>
    <col min="5" max="5" width="22.59765625" bestFit="1" customWidth="1"/>
    <col min="6" max="6" width="17.69921875" bestFit="1" customWidth="1"/>
    <col min="7" max="7" width="8.8984375" bestFit="1" customWidth="1"/>
    <col min="8" max="9" width="10.8984375" bestFit="1" customWidth="1"/>
    <col min="10" max="11" width="9.8984375" bestFit="1" customWidth="1"/>
    <col min="12" max="13" width="11.3984375" bestFit="1" customWidth="1"/>
    <col min="14" max="14" width="46.09765625" customWidth="1"/>
    <col min="15" max="15" width="58.69921875" customWidth="1"/>
    <col min="16" max="16" width="18.09765625" bestFit="1" customWidth="1"/>
    <col min="17" max="17" width="55.3984375" bestFit="1" customWidth="1"/>
  </cols>
  <sheetData>
    <row r="1" spans="1:17" ht="23" x14ac:dyDescent="0.5">
      <c r="A1" s="50" t="s">
        <v>172</v>
      </c>
    </row>
    <row r="2" spans="1:17" s="85" customFormat="1" ht="27" customHeight="1" x14ac:dyDescent="0.3">
      <c r="A2" s="135" t="s">
        <v>46</v>
      </c>
      <c r="B2" s="135" t="s">
        <v>47</v>
      </c>
      <c r="C2" s="135" t="s">
        <v>64</v>
      </c>
      <c r="D2" s="135" t="s">
        <v>48</v>
      </c>
      <c r="E2" s="135" t="s">
        <v>50</v>
      </c>
      <c r="F2" s="135" t="s">
        <v>51</v>
      </c>
      <c r="G2" s="135" t="s">
        <v>54</v>
      </c>
      <c r="H2" s="136" t="s">
        <v>55</v>
      </c>
      <c r="I2" s="136" t="s">
        <v>69</v>
      </c>
      <c r="J2" s="136" t="s">
        <v>68</v>
      </c>
      <c r="K2" s="136" t="s">
        <v>62</v>
      </c>
      <c r="L2" s="136" t="s">
        <v>189</v>
      </c>
      <c r="M2" s="136" t="s">
        <v>190</v>
      </c>
      <c r="N2" s="135" t="s">
        <v>67</v>
      </c>
      <c r="O2" s="135" t="s">
        <v>66</v>
      </c>
      <c r="P2" s="137"/>
      <c r="Q2" s="137"/>
    </row>
    <row r="3" spans="1:17" ht="15.65" customHeight="1" x14ac:dyDescent="0.3">
      <c r="A3" s="18"/>
      <c r="B3" s="18"/>
      <c r="C3" s="18"/>
      <c r="D3" s="18"/>
      <c r="E3" s="18"/>
      <c r="F3" s="18"/>
      <c r="G3" s="18"/>
      <c r="H3" s="20"/>
      <c r="I3" s="20"/>
      <c r="J3" s="20"/>
      <c r="K3" s="20"/>
      <c r="L3" s="20"/>
      <c r="M3" s="21"/>
      <c r="N3" s="18"/>
      <c r="O3" s="18"/>
      <c r="P3" s="17"/>
      <c r="Q3" s="17"/>
    </row>
    <row r="5" spans="1:17" x14ac:dyDescent="0.3">
      <c r="A5" s="19" t="s">
        <v>49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</row>
    <row r="6" spans="1:17" x14ac:dyDescent="0.3">
      <c r="A6" s="14" t="s">
        <v>11</v>
      </c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</row>
    <row r="7" spans="1:17" x14ac:dyDescent="0.3">
      <c r="A7" s="13" t="s">
        <v>12</v>
      </c>
      <c r="B7" s="13">
        <v>9.0679999999999997E-2</v>
      </c>
      <c r="C7" s="13">
        <f ca="1">RAND()</f>
        <v>0.45609980803523575</v>
      </c>
      <c r="D7" s="13">
        <f t="array" ref="D7:D9">IF(PSA_DSA=0,B7:B9,DIRICHLETINV(C7:C9,G7:G9))</f>
        <v>9.0679999999999997E-2</v>
      </c>
      <c r="E7" s="13" t="s">
        <v>74</v>
      </c>
      <c r="F7" t="s">
        <v>1</v>
      </c>
      <c r="G7">
        <v>428</v>
      </c>
      <c r="N7" s="13"/>
    </row>
    <row r="8" spans="1:17" x14ac:dyDescent="0.3">
      <c r="A8" s="13" t="s">
        <v>13</v>
      </c>
      <c r="B8" s="13">
        <v>0.14915</v>
      </c>
      <c r="C8" s="13">
        <f ca="1">RAND()</f>
        <v>0.93914754469313</v>
      </c>
      <c r="D8" s="13">
        <v>0.14915</v>
      </c>
      <c r="E8" s="13" t="s">
        <v>75</v>
      </c>
      <c r="F8" t="s">
        <v>1</v>
      </c>
      <c r="G8">
        <v>704</v>
      </c>
      <c r="N8" s="13"/>
    </row>
    <row r="9" spans="1:17" x14ac:dyDescent="0.3">
      <c r="A9" s="13" t="s">
        <v>14</v>
      </c>
      <c r="B9" s="13">
        <v>0.76017000000000001</v>
      </c>
      <c r="C9" s="13">
        <f ca="1">RAND()</f>
        <v>0.8258595620096999</v>
      </c>
      <c r="D9" s="13">
        <v>0.76017000000000001</v>
      </c>
      <c r="E9" s="13" t="s">
        <v>76</v>
      </c>
      <c r="F9" t="s">
        <v>1</v>
      </c>
      <c r="G9">
        <v>3588</v>
      </c>
      <c r="N9" s="13"/>
    </row>
    <row r="10" spans="1:17" x14ac:dyDescent="0.3">
      <c r="A10" s="14" t="s">
        <v>15</v>
      </c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</row>
    <row r="11" spans="1:17" x14ac:dyDescent="0.3">
      <c r="A11" s="13" t="s">
        <v>16</v>
      </c>
      <c r="B11" s="13">
        <v>0.95</v>
      </c>
      <c r="C11" s="13"/>
      <c r="D11" s="13">
        <f ca="1">IF(PSA_DSA=0,B11,_xlfn.BETA.INV(RAND(),G11,H11))</f>
        <v>0.95</v>
      </c>
      <c r="E11" s="13" t="s">
        <v>77</v>
      </c>
      <c r="F11" t="s">
        <v>0</v>
      </c>
      <c r="G11">
        <v>38</v>
      </c>
      <c r="H11">
        <v>2</v>
      </c>
      <c r="N11" s="13" t="s">
        <v>23</v>
      </c>
    </row>
    <row r="12" spans="1:17" x14ac:dyDescent="0.3">
      <c r="A12" s="13" t="s">
        <v>17</v>
      </c>
      <c r="B12" s="13">
        <v>0.05</v>
      </c>
      <c r="C12" s="13"/>
      <c r="D12" s="13">
        <f ca="1">1-D11</f>
        <v>5.0000000000000044E-2</v>
      </c>
      <c r="E12" s="13"/>
      <c r="F12" t="s">
        <v>0</v>
      </c>
      <c r="N12" s="13"/>
    </row>
    <row r="13" spans="1:17" x14ac:dyDescent="0.3">
      <c r="A13" s="13" t="s">
        <v>187</v>
      </c>
      <c r="B13" s="13">
        <v>0.8</v>
      </c>
      <c r="C13" s="13"/>
      <c r="D13" s="13">
        <f ca="1">1-D14</f>
        <v>0.8</v>
      </c>
      <c r="E13" s="13"/>
      <c r="F13" t="s">
        <v>0</v>
      </c>
      <c r="N13" s="13"/>
    </row>
    <row r="14" spans="1:17" x14ac:dyDescent="0.3">
      <c r="A14" s="13" t="s">
        <v>188</v>
      </c>
      <c r="B14" s="13">
        <v>0.2</v>
      </c>
      <c r="C14" s="13"/>
      <c r="D14" s="13">
        <f ca="1">IF(PSA_DSA=0,B14,_xlfn.BETA.INV(RAND(),G14,H14))</f>
        <v>0.2</v>
      </c>
      <c r="E14" s="13" t="s">
        <v>78</v>
      </c>
      <c r="F14" t="s">
        <v>0</v>
      </c>
      <c r="G14">
        <v>200</v>
      </c>
      <c r="H14">
        <v>800</v>
      </c>
      <c r="N14" s="13" t="s">
        <v>24</v>
      </c>
    </row>
    <row r="15" spans="1:17" x14ac:dyDescent="0.3">
      <c r="A15" s="14" t="s">
        <v>53</v>
      </c>
      <c r="B15" s="13"/>
      <c r="C15" s="13"/>
      <c r="D15" s="13"/>
      <c r="E15" s="13"/>
      <c r="N15" s="13"/>
    </row>
    <row r="16" spans="1:17" x14ac:dyDescent="0.3">
      <c r="A16" s="13" t="s">
        <v>16</v>
      </c>
      <c r="B16" s="13">
        <v>0.8</v>
      </c>
      <c r="C16" s="13"/>
      <c r="D16" s="13">
        <f ca="1">IF(PSA_DSA=0,B16,_xlfn.BETA.INV(RAND(),G16,H16))</f>
        <v>0.8</v>
      </c>
      <c r="E16" s="13" t="s">
        <v>79</v>
      </c>
      <c r="F16" t="s">
        <v>0</v>
      </c>
      <c r="G16">
        <v>20</v>
      </c>
      <c r="H16">
        <v>5</v>
      </c>
      <c r="N16" s="13"/>
    </row>
    <row r="17" spans="1:14" x14ac:dyDescent="0.3">
      <c r="A17" s="13" t="s">
        <v>17</v>
      </c>
      <c r="B17" s="13">
        <f>1-B16</f>
        <v>0.19999999999999996</v>
      </c>
      <c r="C17" s="13"/>
      <c r="D17" s="13">
        <f ca="1">1-Prob_R2_sen</f>
        <v>0.19999999999999996</v>
      </c>
      <c r="E17" s="13"/>
      <c r="F17" t="s">
        <v>0</v>
      </c>
      <c r="N17" s="13"/>
    </row>
    <row r="18" spans="1:14" x14ac:dyDescent="0.3">
      <c r="A18" s="13" t="s">
        <v>187</v>
      </c>
      <c r="B18" s="13">
        <f>1-B19</f>
        <v>0.6</v>
      </c>
      <c r="C18" s="13"/>
      <c r="D18" s="13">
        <f ca="1">1-Prob_R2_spe</f>
        <v>0.6</v>
      </c>
      <c r="E18" s="13"/>
      <c r="F18" t="s">
        <v>0</v>
      </c>
      <c r="N18" s="13"/>
    </row>
    <row r="19" spans="1:14" x14ac:dyDescent="0.3">
      <c r="A19" s="13" t="s">
        <v>188</v>
      </c>
      <c r="B19" s="13">
        <v>0.4</v>
      </c>
      <c r="C19" s="13"/>
      <c r="D19" s="13">
        <f ca="1">IF(PSA_DSA=0,B19,_xlfn.BETA.INV(RAND(),G19,H19))</f>
        <v>0.4</v>
      </c>
      <c r="E19" s="13" t="s">
        <v>80</v>
      </c>
      <c r="F19" t="s">
        <v>0</v>
      </c>
      <c r="G19">
        <v>400</v>
      </c>
      <c r="H19">
        <v>600</v>
      </c>
      <c r="N19" s="13"/>
    </row>
    <row r="20" spans="1:14" x14ac:dyDescent="0.3">
      <c r="A20" s="14" t="s">
        <v>70</v>
      </c>
      <c r="B20" s="13"/>
      <c r="C20" s="13"/>
      <c r="D20" s="13"/>
      <c r="E20" s="13"/>
      <c r="N20" s="13"/>
    </row>
    <row r="21" spans="1:14" x14ac:dyDescent="0.3">
      <c r="A21" s="13" t="s">
        <v>16</v>
      </c>
      <c r="B21" s="13">
        <v>0.75</v>
      </c>
      <c r="C21" s="13"/>
      <c r="D21" s="13">
        <f ca="1">IF(PSA_DSA=0,B21,_xlfn.BETA.INV(RAND(),G21,H21))</f>
        <v>0.75</v>
      </c>
      <c r="E21" s="13" t="s">
        <v>81</v>
      </c>
      <c r="F21" t="s">
        <v>0</v>
      </c>
      <c r="G21">
        <v>30</v>
      </c>
      <c r="H21">
        <v>10</v>
      </c>
      <c r="N21" s="13"/>
    </row>
    <row r="22" spans="1:14" x14ac:dyDescent="0.3">
      <c r="A22" s="13" t="s">
        <v>17</v>
      </c>
      <c r="B22" s="13">
        <f>1-B21</f>
        <v>0.25</v>
      </c>
      <c r="C22" s="13"/>
      <c r="D22" s="13">
        <f ca="1">1-Prob_R3_sen</f>
        <v>0.25</v>
      </c>
      <c r="E22" s="13"/>
      <c r="F22" t="s">
        <v>0</v>
      </c>
      <c r="N22" s="13"/>
    </row>
    <row r="23" spans="1:14" x14ac:dyDescent="0.3">
      <c r="A23" s="13" t="s">
        <v>187</v>
      </c>
      <c r="B23" s="13">
        <f>1-B24</f>
        <v>0.44999999999999996</v>
      </c>
      <c r="C23" s="13"/>
      <c r="D23" s="13">
        <f ca="1">1-Prob_R3_spe</f>
        <v>0.44999999999999996</v>
      </c>
      <c r="E23" s="13"/>
      <c r="F23" t="s">
        <v>0</v>
      </c>
      <c r="N23" s="13"/>
    </row>
    <row r="24" spans="1:14" x14ac:dyDescent="0.3">
      <c r="A24" s="13" t="s">
        <v>188</v>
      </c>
      <c r="B24" s="13">
        <v>0.55000000000000004</v>
      </c>
      <c r="C24" s="13"/>
      <c r="D24" s="13">
        <f ca="1">IF(PSA_DSA=0,B24,_xlfn.BETA.INV(RAND(),G24,H24))</f>
        <v>0.55000000000000004</v>
      </c>
      <c r="E24" s="13" t="s">
        <v>82</v>
      </c>
      <c r="F24" t="s">
        <v>0</v>
      </c>
      <c r="G24">
        <v>550</v>
      </c>
      <c r="H24">
        <v>450</v>
      </c>
      <c r="N24" s="13"/>
    </row>
    <row r="25" spans="1:14" x14ac:dyDescent="0.3">
      <c r="A25" s="14" t="s">
        <v>71</v>
      </c>
      <c r="B25" s="13"/>
      <c r="C25" s="13"/>
      <c r="D25" s="13"/>
      <c r="E25" s="13"/>
      <c r="N25" s="13"/>
    </row>
    <row r="26" spans="1:14" x14ac:dyDescent="0.3">
      <c r="A26" s="13" t="s">
        <v>16</v>
      </c>
      <c r="B26" s="13">
        <v>0.6</v>
      </c>
      <c r="C26" s="13"/>
      <c r="D26" s="13">
        <f ca="1">IF(PSA_DSA=0,B26,_xlfn.BETA.INV(RAND(),G26,H26))</f>
        <v>0.6</v>
      </c>
      <c r="E26" s="13" t="s">
        <v>83</v>
      </c>
      <c r="F26" t="s">
        <v>0</v>
      </c>
      <c r="G26">
        <v>30</v>
      </c>
      <c r="H26">
        <v>20</v>
      </c>
      <c r="N26" s="13"/>
    </row>
    <row r="27" spans="1:14" x14ac:dyDescent="0.3">
      <c r="A27" s="13" t="s">
        <v>17</v>
      </c>
      <c r="B27" s="13">
        <f>1-B26</f>
        <v>0.4</v>
      </c>
      <c r="C27" s="13"/>
      <c r="D27" s="13">
        <f ca="1">1-Prob_R4_sen</f>
        <v>0.4</v>
      </c>
      <c r="E27" s="13"/>
      <c r="F27" t="s">
        <v>0</v>
      </c>
      <c r="N27" s="13"/>
    </row>
    <row r="28" spans="1:14" x14ac:dyDescent="0.3">
      <c r="A28" s="13" t="s">
        <v>187</v>
      </c>
      <c r="B28" s="13">
        <f>1-B29</f>
        <v>0.4</v>
      </c>
      <c r="C28" s="13"/>
      <c r="D28" s="13">
        <f ca="1">1-Prob_R4_spe</f>
        <v>0.4</v>
      </c>
      <c r="E28" s="13"/>
      <c r="F28" t="s">
        <v>0</v>
      </c>
      <c r="N28" s="13"/>
    </row>
    <row r="29" spans="1:14" x14ac:dyDescent="0.3">
      <c r="A29" s="13" t="s">
        <v>188</v>
      </c>
      <c r="B29" s="13">
        <v>0.6</v>
      </c>
      <c r="C29" s="13"/>
      <c r="D29" s="13">
        <f ca="1">IF(PSA_DSA=0,B29,_xlfn.BETA.INV(RAND(),G29,H29))</f>
        <v>0.6</v>
      </c>
      <c r="E29" s="13" t="s">
        <v>84</v>
      </c>
      <c r="F29" t="s">
        <v>0</v>
      </c>
      <c r="G29">
        <v>300</v>
      </c>
      <c r="H29">
        <v>200</v>
      </c>
      <c r="N29" s="13"/>
    </row>
    <row r="30" spans="1:14" x14ac:dyDescent="0.3">
      <c r="A30" s="14" t="s">
        <v>72</v>
      </c>
      <c r="B30" s="13"/>
      <c r="C30" s="13"/>
      <c r="D30" s="13"/>
      <c r="E30" s="13"/>
      <c r="N30" s="13"/>
    </row>
    <row r="31" spans="1:14" x14ac:dyDescent="0.3">
      <c r="A31" s="13" t="s">
        <v>16</v>
      </c>
      <c r="B31" s="13">
        <v>0.5</v>
      </c>
      <c r="C31" s="13"/>
      <c r="D31" s="13">
        <f ca="1">IF(PSA_DSA=0,B31,_xlfn.BETA.INV(RAND(),G31,H31))</f>
        <v>0.5</v>
      </c>
      <c r="E31" s="13" t="s">
        <v>85</v>
      </c>
      <c r="F31" t="s">
        <v>0</v>
      </c>
      <c r="G31">
        <v>10</v>
      </c>
      <c r="H31">
        <v>10</v>
      </c>
      <c r="N31" s="13"/>
    </row>
    <row r="32" spans="1:14" x14ac:dyDescent="0.3">
      <c r="A32" s="13" t="s">
        <v>17</v>
      </c>
      <c r="B32" s="13">
        <f>1-B31</f>
        <v>0.5</v>
      </c>
      <c r="C32" s="13"/>
      <c r="D32" s="13">
        <f ca="1">1-Prob_R5_sen</f>
        <v>0.5</v>
      </c>
      <c r="E32" s="13"/>
      <c r="F32" t="s">
        <v>0</v>
      </c>
      <c r="N32" s="13"/>
    </row>
    <row r="33" spans="1:14" x14ac:dyDescent="0.3">
      <c r="A33" s="13" t="s">
        <v>187</v>
      </c>
      <c r="B33" s="13">
        <f>1-B34</f>
        <v>0.25</v>
      </c>
      <c r="C33" s="13"/>
      <c r="D33" s="13">
        <f ca="1">1-Prob_R5_spe</f>
        <v>0.25</v>
      </c>
      <c r="E33" s="13"/>
      <c r="F33" t="s">
        <v>0</v>
      </c>
      <c r="N33" s="13"/>
    </row>
    <row r="34" spans="1:14" x14ac:dyDescent="0.3">
      <c r="A34" s="13" t="s">
        <v>188</v>
      </c>
      <c r="B34" s="13">
        <v>0.75</v>
      </c>
      <c r="C34" s="13"/>
      <c r="D34" s="13">
        <f ca="1">IF(PSA_DSA=0,B34,_xlfn.BETA.INV(RAND(),G34,H34))</f>
        <v>0.75</v>
      </c>
      <c r="E34" s="13" t="s">
        <v>86</v>
      </c>
      <c r="F34" t="s">
        <v>0</v>
      </c>
      <c r="G34">
        <v>375</v>
      </c>
      <c r="H34">
        <v>125</v>
      </c>
      <c r="N34" s="13"/>
    </row>
    <row r="35" spans="1:14" x14ac:dyDescent="0.3">
      <c r="A35" s="14" t="s">
        <v>73</v>
      </c>
      <c r="B35" s="13"/>
      <c r="C35" s="13"/>
      <c r="D35" s="13"/>
      <c r="E35" s="13"/>
      <c r="N35" s="13"/>
    </row>
    <row r="36" spans="1:14" x14ac:dyDescent="0.3">
      <c r="A36" s="13" t="s">
        <v>16</v>
      </c>
      <c r="B36" s="13">
        <v>0.3</v>
      </c>
      <c r="C36" s="13"/>
      <c r="D36" s="13">
        <f ca="1">IF(PSA_DSA=0,B36,_xlfn.BETA.INV(RAND(),G36,H36))</f>
        <v>0.3</v>
      </c>
      <c r="E36" s="13" t="s">
        <v>87</v>
      </c>
      <c r="F36" t="s">
        <v>0</v>
      </c>
      <c r="G36">
        <v>9</v>
      </c>
      <c r="H36">
        <v>21</v>
      </c>
      <c r="N36" s="13"/>
    </row>
    <row r="37" spans="1:14" x14ac:dyDescent="0.3">
      <c r="A37" s="13" t="s">
        <v>17</v>
      </c>
      <c r="B37" s="13">
        <f>1-B36</f>
        <v>0.7</v>
      </c>
      <c r="C37" s="13"/>
      <c r="D37" s="13">
        <f ca="1">1-Prob_R6_sen</f>
        <v>0.7</v>
      </c>
      <c r="E37" s="13"/>
      <c r="F37" t="s">
        <v>0</v>
      </c>
      <c r="N37" s="13"/>
    </row>
    <row r="38" spans="1:14" x14ac:dyDescent="0.3">
      <c r="A38" s="13" t="s">
        <v>187</v>
      </c>
      <c r="B38" s="13">
        <f>1-B39</f>
        <v>9.9999999999999978E-2</v>
      </c>
      <c r="C38" s="13"/>
      <c r="D38" s="13">
        <f ca="1">1-Prob_R6_spe</f>
        <v>9.9999999999999978E-2</v>
      </c>
      <c r="E38" s="13"/>
      <c r="F38" t="s">
        <v>0</v>
      </c>
      <c r="N38" s="13"/>
    </row>
    <row r="39" spans="1:14" x14ac:dyDescent="0.3">
      <c r="A39" s="13" t="s">
        <v>188</v>
      </c>
      <c r="B39" s="13">
        <v>0.9</v>
      </c>
      <c r="C39" s="13"/>
      <c r="D39" s="13">
        <f ca="1">IF(PSA_DSA=0,B39,_xlfn.BETA.INV(RAND(),G39,H39))</f>
        <v>0.9</v>
      </c>
      <c r="E39" s="13" t="s">
        <v>88</v>
      </c>
      <c r="F39" t="s">
        <v>0</v>
      </c>
      <c r="G39">
        <v>1800</v>
      </c>
      <c r="H39">
        <v>200</v>
      </c>
      <c r="N39" s="13"/>
    </row>
    <row r="40" spans="1:14" x14ac:dyDescent="0.3">
      <c r="A40" s="14" t="s">
        <v>18</v>
      </c>
      <c r="B40" s="13"/>
      <c r="C40" s="13"/>
      <c r="D40" s="13"/>
      <c r="E40" s="13"/>
      <c r="G40" s="13"/>
      <c r="H40" s="13"/>
      <c r="I40" s="13"/>
      <c r="J40" s="13"/>
      <c r="K40" s="13"/>
      <c r="L40" s="13"/>
      <c r="M40" s="13"/>
      <c r="N40" s="14"/>
    </row>
    <row r="41" spans="1:14" x14ac:dyDescent="0.3">
      <c r="A41" s="13" t="s">
        <v>19</v>
      </c>
      <c r="B41" s="13">
        <v>0.1</v>
      </c>
      <c r="C41" s="13"/>
      <c r="D41" s="13">
        <f ca="1">IF(PSA_DSA=0,B41,_xlfn.BETA.INV(RAND(),G41,H41))</f>
        <v>0.1</v>
      </c>
      <c r="E41" s="13" t="s">
        <v>89</v>
      </c>
      <c r="F41" t="s">
        <v>0</v>
      </c>
      <c r="G41">
        <v>477.78</v>
      </c>
      <c r="H41">
        <v>4299.99</v>
      </c>
      <c r="K41" s="13"/>
      <c r="L41" s="2">
        <v>9.1999999999999998E-2</v>
      </c>
      <c r="M41" s="3">
        <v>0.109</v>
      </c>
      <c r="N41" s="13" t="s">
        <v>25</v>
      </c>
    </row>
    <row r="42" spans="1:14" x14ac:dyDescent="0.3">
      <c r="A42" s="13" t="s">
        <v>20</v>
      </c>
      <c r="B42" s="13">
        <v>1.2E-2</v>
      </c>
      <c r="C42" s="13"/>
      <c r="D42" s="13">
        <f ca="1">IF(PSA_DSA=0,B42,_xlfn.BETA.INV(RAND(),G42,H42))</f>
        <v>1.2E-2</v>
      </c>
      <c r="E42" s="13" t="s">
        <v>90</v>
      </c>
      <c r="F42" t="s">
        <v>0</v>
      </c>
      <c r="G42">
        <v>2186.1999999999998</v>
      </c>
      <c r="H42">
        <v>179996.84</v>
      </c>
      <c r="K42" s="13"/>
      <c r="L42" s="2">
        <v>1.2E-2</v>
      </c>
      <c r="M42" s="2">
        <v>1.2999999999999999E-2</v>
      </c>
      <c r="N42" s="13"/>
    </row>
    <row r="43" spans="1:14" ht="29" x14ac:dyDescent="0.3">
      <c r="A43" s="1" t="s">
        <v>2</v>
      </c>
      <c r="B43" s="13">
        <v>1.125</v>
      </c>
      <c r="C43" s="13"/>
      <c r="D43" s="13">
        <f ca="1">IF(PSA_DSA=0,B43,_xlfn.LOGNORM.INV(RAND(),G43,K43))</f>
        <v>1.125</v>
      </c>
      <c r="E43" s="13" t="s">
        <v>91</v>
      </c>
      <c r="F43" t="s">
        <v>3</v>
      </c>
      <c r="G43" s="26">
        <v>0.21629999999999999</v>
      </c>
      <c r="H43" s="26"/>
      <c r="I43" s="26"/>
      <c r="J43" s="26"/>
      <c r="K43" s="13">
        <v>0.1167</v>
      </c>
      <c r="L43">
        <v>1</v>
      </c>
      <c r="M43">
        <v>1.58</v>
      </c>
      <c r="N43" s="13"/>
    </row>
    <row r="44" spans="1:14" x14ac:dyDescent="0.3">
      <c r="A44" s="13" t="s">
        <v>21</v>
      </c>
      <c r="B44" s="13">
        <v>0.03</v>
      </c>
      <c r="C44" s="13"/>
      <c r="D44" s="13">
        <f ca="1">IF(PSA_DSA=0,B44,_xlfn.BETA.INV(RAND(),G44,H44))</f>
        <v>0.03</v>
      </c>
      <c r="E44" s="13" t="s">
        <v>92</v>
      </c>
      <c r="F44" t="s">
        <v>0</v>
      </c>
      <c r="G44">
        <v>134.12</v>
      </c>
      <c r="H44">
        <v>4336.5</v>
      </c>
      <c r="K44" s="13"/>
      <c r="L44" s="2">
        <v>2.5000000000000001E-2</v>
      </c>
      <c r="M44" s="2">
        <v>3.5000000000000003E-2</v>
      </c>
      <c r="N44" s="13"/>
    </row>
    <row r="45" spans="1:14" x14ac:dyDescent="0.3">
      <c r="A45" s="13" t="s">
        <v>22</v>
      </c>
      <c r="B45" s="13">
        <v>1.7000000000000001E-2</v>
      </c>
      <c r="C45" s="13"/>
      <c r="D45" s="13">
        <f ca="1">IF(PSA_DSA=0,B45,_xlfn.BETA.INV(RAND(),G45,H45))</f>
        <v>1.7000000000000001E-2</v>
      </c>
      <c r="E45" s="13" t="s">
        <v>93</v>
      </c>
      <c r="F45" t="s">
        <v>0</v>
      </c>
      <c r="G45">
        <v>1091.33</v>
      </c>
      <c r="H45">
        <v>63104.65</v>
      </c>
      <c r="K45" s="13"/>
      <c r="L45" s="2">
        <v>1.6E-2</v>
      </c>
      <c r="M45" s="2">
        <v>1.7999999999999999E-2</v>
      </c>
      <c r="N45" s="13"/>
    </row>
    <row r="46" spans="1:14" ht="29" x14ac:dyDescent="0.3">
      <c r="A46" s="1" t="s">
        <v>4</v>
      </c>
      <c r="B46" s="13">
        <v>1.64</v>
      </c>
      <c r="C46" s="13"/>
      <c r="D46" s="13">
        <f ca="1">IF(PSA_DSA=0,B46,_xlfn.LOGNORM.INV(RAND(),G46,K46))</f>
        <v>1.64</v>
      </c>
      <c r="E46" s="13" t="s">
        <v>218</v>
      </c>
      <c r="F46" t="s">
        <v>3</v>
      </c>
      <c r="G46">
        <v>0.47199999999999998</v>
      </c>
      <c r="H46" s="26"/>
      <c r="I46" s="26"/>
      <c r="J46" s="26"/>
      <c r="K46" s="13">
        <v>0.21310000000000001</v>
      </c>
      <c r="L46">
        <v>1.08</v>
      </c>
      <c r="M46">
        <v>2.4900000000000002</v>
      </c>
    </row>
    <row r="47" spans="1:14" x14ac:dyDescent="0.3">
      <c r="A47" s="5" t="s">
        <v>5</v>
      </c>
      <c r="B47" s="13"/>
      <c r="C47" s="13"/>
      <c r="D47" s="13"/>
      <c r="E47" s="13"/>
      <c r="H47" s="26"/>
      <c r="I47" s="26"/>
      <c r="J47" s="26"/>
      <c r="K47" s="13"/>
    </row>
    <row r="48" spans="1:14" ht="29.5" x14ac:dyDescent="0.3">
      <c r="A48" s="1" t="s">
        <v>6</v>
      </c>
      <c r="B48">
        <v>5.19</v>
      </c>
      <c r="C48" s="13"/>
      <c r="D48" s="13">
        <f ca="1">IF(PSA_DSA=0,B48,_xlfn.LOGNORM.INV(RAND(),G48,K48))</f>
        <v>5.19</v>
      </c>
      <c r="E48" s="13" t="s">
        <v>116</v>
      </c>
      <c r="F48" t="s">
        <v>3</v>
      </c>
      <c r="G48">
        <v>1.6479999999999999</v>
      </c>
      <c r="H48" s="26"/>
      <c r="I48" s="26"/>
      <c r="J48" s="26"/>
      <c r="K48">
        <v>0.129</v>
      </c>
      <c r="L48">
        <v>3.94</v>
      </c>
      <c r="M48">
        <v>6.52</v>
      </c>
    </row>
    <row r="49" spans="1:20" ht="29.5" x14ac:dyDescent="0.3">
      <c r="A49" s="1" t="s">
        <v>7</v>
      </c>
      <c r="B49" s="4">
        <v>1.38</v>
      </c>
      <c r="C49" s="13"/>
      <c r="D49" s="13">
        <f ca="1">IF(PSA_DSA=0,B49,_xlfn.LOGNORM.INV(RAND(),G49,K49))</f>
        <v>1.38</v>
      </c>
      <c r="E49" s="13" t="s">
        <v>117</v>
      </c>
      <c r="F49" t="s">
        <v>3</v>
      </c>
      <c r="G49">
        <v>0.32200000000000001</v>
      </c>
      <c r="H49" s="26"/>
      <c r="I49" s="26"/>
      <c r="J49" s="26"/>
      <c r="K49">
        <v>0.112</v>
      </c>
      <c r="L49">
        <v>1.0900000000000001</v>
      </c>
      <c r="M49">
        <v>1.69</v>
      </c>
    </row>
    <row r="50" spans="1:20" s="143" customFormat="1" x14ac:dyDescent="0.3">
      <c r="A50" s="138"/>
      <c r="B50" s="139" t="s">
        <v>33</v>
      </c>
      <c r="C50" s="140" t="s">
        <v>64</v>
      </c>
      <c r="D50" s="140" t="s">
        <v>48</v>
      </c>
      <c r="E50" s="140" t="s">
        <v>50</v>
      </c>
      <c r="F50" s="140" t="s">
        <v>51</v>
      </c>
      <c r="G50" s="140" t="s">
        <v>54</v>
      </c>
      <c r="H50" s="141" t="s">
        <v>55</v>
      </c>
      <c r="I50" s="141" t="s">
        <v>69</v>
      </c>
      <c r="J50" s="141" t="s">
        <v>68</v>
      </c>
      <c r="K50" s="141" t="s">
        <v>62</v>
      </c>
      <c r="L50" s="141" t="s">
        <v>56</v>
      </c>
      <c r="M50" s="142" t="s">
        <v>57</v>
      </c>
      <c r="N50" s="140" t="s">
        <v>67</v>
      </c>
      <c r="O50" s="140" t="s">
        <v>66</v>
      </c>
    </row>
    <row r="51" spans="1:20" x14ac:dyDescent="0.3">
      <c r="A51" s="19" t="s">
        <v>52</v>
      </c>
      <c r="B51" s="17"/>
      <c r="C51" s="17"/>
      <c r="D51" s="17"/>
      <c r="E51" s="17"/>
      <c r="G51" s="17"/>
      <c r="H51" s="17"/>
      <c r="I51" s="17"/>
      <c r="J51" s="17"/>
      <c r="L51" s="17"/>
      <c r="M51" s="17"/>
      <c r="N51" s="17"/>
      <c r="O51" s="17"/>
      <c r="P51" s="15"/>
      <c r="Q51" s="15"/>
      <c r="R51" s="15"/>
      <c r="S51" s="15"/>
      <c r="T51" s="15"/>
    </row>
    <row r="52" spans="1:20" x14ac:dyDescent="0.3">
      <c r="A52" s="13" t="s">
        <v>35</v>
      </c>
      <c r="B52" s="16">
        <v>3342</v>
      </c>
      <c r="C52" s="16"/>
      <c r="D52" s="16"/>
      <c r="E52" s="16" t="s">
        <v>140</v>
      </c>
      <c r="F52" s="16" t="s">
        <v>65</v>
      </c>
      <c r="G52" s="16"/>
      <c r="H52" s="16"/>
      <c r="I52" s="16"/>
      <c r="J52" s="16"/>
      <c r="K52" s="15"/>
      <c r="L52" s="16"/>
      <c r="M52" s="16"/>
      <c r="N52" s="13" t="s">
        <v>36</v>
      </c>
      <c r="O52" s="13" t="s">
        <v>37</v>
      </c>
      <c r="P52" s="15"/>
      <c r="Q52" s="15"/>
      <c r="R52" s="15"/>
      <c r="S52" s="15"/>
      <c r="T52" s="15"/>
    </row>
    <row r="53" spans="1:20" x14ac:dyDescent="0.3">
      <c r="A53" s="13" t="s">
        <v>38</v>
      </c>
      <c r="B53" s="16">
        <v>1739</v>
      </c>
      <c r="C53" s="16"/>
      <c r="D53" s="16"/>
      <c r="E53" s="16" t="s">
        <v>141</v>
      </c>
      <c r="F53" s="16" t="s">
        <v>65</v>
      </c>
      <c r="G53" s="16"/>
      <c r="H53" s="16"/>
      <c r="I53" s="16"/>
      <c r="J53" s="16"/>
      <c r="K53" s="15"/>
      <c r="L53" s="16"/>
      <c r="M53" s="16"/>
      <c r="N53" s="13" t="s">
        <v>39</v>
      </c>
      <c r="O53" s="13" t="s">
        <v>37</v>
      </c>
      <c r="P53" s="15"/>
      <c r="Q53" s="15"/>
      <c r="R53" s="15"/>
      <c r="S53" s="15"/>
      <c r="T53" s="15"/>
    </row>
    <row r="54" spans="1:20" x14ac:dyDescent="0.3">
      <c r="A54" s="13" t="s">
        <v>129</v>
      </c>
      <c r="B54" s="29">
        <v>2000</v>
      </c>
      <c r="C54" s="16"/>
      <c r="D54" s="16"/>
      <c r="E54" s="16" t="s">
        <v>139</v>
      </c>
      <c r="F54" s="16" t="s">
        <v>65</v>
      </c>
      <c r="G54" s="16"/>
      <c r="H54" s="16"/>
      <c r="I54" s="16"/>
      <c r="J54" s="16"/>
      <c r="K54" s="15"/>
      <c r="L54" s="16"/>
      <c r="M54" s="16"/>
      <c r="N54" s="13"/>
      <c r="O54" s="13"/>
      <c r="P54" s="15"/>
      <c r="Q54" s="15"/>
      <c r="R54" s="15"/>
      <c r="S54" s="15"/>
      <c r="T54" s="15"/>
    </row>
    <row r="55" spans="1:20" x14ac:dyDescent="0.3">
      <c r="A55" s="13" t="s">
        <v>131</v>
      </c>
      <c r="B55" s="29">
        <v>550</v>
      </c>
      <c r="C55" s="16"/>
      <c r="D55" s="16"/>
      <c r="E55" s="16" t="s">
        <v>142</v>
      </c>
      <c r="F55" s="16" t="s">
        <v>65</v>
      </c>
      <c r="G55" s="16"/>
      <c r="H55" s="16"/>
      <c r="I55" s="16"/>
      <c r="J55" s="16"/>
      <c r="K55" s="15"/>
      <c r="L55" s="15"/>
      <c r="M55" s="15"/>
      <c r="N55" s="13"/>
      <c r="O55" s="13"/>
      <c r="P55" s="15"/>
      <c r="Q55" s="15"/>
      <c r="R55" s="15"/>
      <c r="S55" s="15"/>
      <c r="T55" s="15"/>
    </row>
    <row r="56" spans="1:20" x14ac:dyDescent="0.3">
      <c r="A56" s="13" t="s">
        <v>133</v>
      </c>
      <c r="B56" s="29">
        <v>380</v>
      </c>
      <c r="C56" s="16"/>
      <c r="D56" s="16"/>
      <c r="E56" s="16" t="s">
        <v>143</v>
      </c>
      <c r="F56" s="16" t="s">
        <v>65</v>
      </c>
      <c r="G56" s="16"/>
      <c r="H56" s="16"/>
      <c r="I56" s="16"/>
      <c r="J56" s="16"/>
      <c r="K56" s="15"/>
      <c r="L56" s="15"/>
      <c r="M56" s="15"/>
      <c r="N56" s="13"/>
      <c r="O56" s="13"/>
      <c r="P56" s="15"/>
      <c r="Q56" s="15"/>
      <c r="R56" s="15"/>
      <c r="S56" s="15"/>
      <c r="T56" s="15"/>
    </row>
    <row r="57" spans="1:20" x14ac:dyDescent="0.3">
      <c r="A57" s="13" t="s">
        <v>134</v>
      </c>
      <c r="B57" s="29">
        <v>200</v>
      </c>
      <c r="C57" s="16"/>
      <c r="D57" s="16"/>
      <c r="E57" s="16" t="s">
        <v>144</v>
      </c>
      <c r="F57" s="16" t="s">
        <v>65</v>
      </c>
      <c r="G57" s="16"/>
      <c r="H57" s="16"/>
      <c r="I57" s="16"/>
      <c r="J57" s="16"/>
      <c r="K57" s="15"/>
      <c r="L57" s="15"/>
      <c r="M57" s="15"/>
      <c r="N57" s="13"/>
      <c r="O57" s="13"/>
      <c r="P57" s="15"/>
      <c r="Q57" s="15"/>
      <c r="R57" s="15"/>
      <c r="S57" s="15"/>
      <c r="T57" s="15"/>
    </row>
    <row r="58" spans="1:20" x14ac:dyDescent="0.3">
      <c r="A58" s="13" t="s">
        <v>136</v>
      </c>
      <c r="B58" s="29">
        <v>50</v>
      </c>
      <c r="E58" t="s">
        <v>145</v>
      </c>
      <c r="F58" s="16" t="s">
        <v>65</v>
      </c>
    </row>
    <row r="59" spans="1:20" x14ac:dyDescent="0.3">
      <c r="A59" s="13" t="s">
        <v>138</v>
      </c>
      <c r="B59" s="29">
        <v>0</v>
      </c>
      <c r="E59" t="s">
        <v>146</v>
      </c>
      <c r="F59" s="16" t="s">
        <v>65</v>
      </c>
    </row>
    <row r="60" spans="1:20" ht="29" x14ac:dyDescent="0.3">
      <c r="A60" s="13" t="s">
        <v>34</v>
      </c>
      <c r="B60" s="16">
        <f>390.8*Ad_2123</f>
        <v>429.0228622680001</v>
      </c>
      <c r="C60" s="16">
        <f ca="1">RAND()</f>
        <v>0.586386172571425</v>
      </c>
      <c r="D60" s="16">
        <f t="shared" ref="D60:D72" ca="1" si="0">IF(PSA_DSA=0,B60,_xlfn.GAMMA.INV(RAND(),I60,J60))</f>
        <v>429.0228622680001</v>
      </c>
      <c r="E60" s="16" t="s">
        <v>94</v>
      </c>
      <c r="F60" t="s">
        <v>8</v>
      </c>
      <c r="G60" s="16"/>
      <c r="H60" s="16"/>
      <c r="I60" s="16">
        <v>323.31</v>
      </c>
      <c r="J60" s="16">
        <v>1.33</v>
      </c>
      <c r="K60" s="15">
        <v>23.86</v>
      </c>
      <c r="L60" s="133">
        <f>381.36*Ad_2123</f>
        <v>418.65956692560007</v>
      </c>
      <c r="M60" s="133">
        <f>466.56*Ad_2123</f>
        <v>512.19269861760006</v>
      </c>
      <c r="N60" s="13" t="s">
        <v>251</v>
      </c>
      <c r="O60" s="13" t="s">
        <v>303</v>
      </c>
      <c r="P60" s="15"/>
      <c r="Q60" s="15"/>
      <c r="R60" s="15"/>
      <c r="S60" s="15"/>
      <c r="T60" s="15"/>
    </row>
    <row r="61" spans="1:20" ht="43.5" x14ac:dyDescent="0.3">
      <c r="A61" s="13" t="s">
        <v>26</v>
      </c>
      <c r="B61" s="16">
        <f>6501*Ad_0823</f>
        <v>10365.078230981773</v>
      </c>
      <c r="C61" s="16">
        <f t="shared" ref="C61:C72" ca="1" si="1">RAND()</f>
        <v>0.98547778161025057</v>
      </c>
      <c r="D61" s="16">
        <f t="shared" ca="1" si="0"/>
        <v>10365.078230981773</v>
      </c>
      <c r="E61" s="16" t="s">
        <v>95</v>
      </c>
      <c r="F61" t="s">
        <v>8</v>
      </c>
      <c r="G61" s="16"/>
      <c r="H61" s="16"/>
      <c r="I61" s="16">
        <v>164.7</v>
      </c>
      <c r="J61" s="16">
        <v>62.93</v>
      </c>
      <c r="K61" s="16">
        <v>807.65</v>
      </c>
      <c r="L61" s="133">
        <f>5540*Ad_0823</f>
        <v>8832.877003482392</v>
      </c>
      <c r="M61" s="134">
        <f>7463*Ad_0823</f>
        <v>11898.873840611748</v>
      </c>
      <c r="N61" s="13" t="s">
        <v>250</v>
      </c>
      <c r="O61" s="13" t="s">
        <v>302</v>
      </c>
      <c r="P61" s="15"/>
      <c r="Q61" s="15"/>
      <c r="R61" s="15"/>
      <c r="S61" s="15"/>
      <c r="T61" s="15"/>
    </row>
    <row r="62" spans="1:20" ht="43.5" x14ac:dyDescent="0.3">
      <c r="A62" s="13" t="s">
        <v>27</v>
      </c>
      <c r="B62" s="16">
        <f>6035*Ad_0823</f>
        <v>9622.0961581256743</v>
      </c>
      <c r="C62" s="16">
        <f t="shared" ca="1" si="1"/>
        <v>0.55942740460242513</v>
      </c>
      <c r="D62" s="16">
        <f t="shared" ca="1" si="0"/>
        <v>9622.0961581256743</v>
      </c>
      <c r="E62" s="16" t="s">
        <v>96</v>
      </c>
      <c r="F62" t="s">
        <v>8</v>
      </c>
      <c r="G62" s="16"/>
      <c r="H62" s="16"/>
      <c r="I62" s="16">
        <v>465.91</v>
      </c>
      <c r="J62" s="16">
        <v>20.65</v>
      </c>
      <c r="K62" s="16">
        <v>445.78</v>
      </c>
      <c r="L62" s="134">
        <f>5487*Ad_0823</f>
        <v>8748.3747505609899</v>
      </c>
      <c r="M62" s="134">
        <f>6583*Ad_0823</f>
        <v>10495.817565690359</v>
      </c>
      <c r="N62" s="13" t="s">
        <v>252</v>
      </c>
      <c r="O62" s="13" t="s">
        <v>302</v>
      </c>
      <c r="P62" s="15"/>
      <c r="Q62" s="15"/>
      <c r="R62" s="15"/>
      <c r="S62" s="15"/>
      <c r="T62" s="15"/>
    </row>
    <row r="63" spans="1:20" ht="43.5" x14ac:dyDescent="0.3">
      <c r="A63" s="13" t="s">
        <v>28</v>
      </c>
      <c r="B63" s="16">
        <f>9453*Ad_0823</f>
        <v>15071.694280490803</v>
      </c>
      <c r="C63" s="16">
        <f t="shared" ca="1" si="1"/>
        <v>0.74294257176948464</v>
      </c>
      <c r="D63" s="16">
        <f t="shared" ca="1" si="0"/>
        <v>15071.694280490803</v>
      </c>
      <c r="E63" s="16"/>
      <c r="F63" t="s">
        <v>8</v>
      </c>
      <c r="G63" s="16"/>
      <c r="H63" s="16"/>
      <c r="I63" s="16">
        <v>180.13</v>
      </c>
      <c r="J63" s="16">
        <v>83.67</v>
      </c>
      <c r="K63" s="16">
        <v>1122.98</v>
      </c>
      <c r="L63" s="134">
        <f>8072*Ad_0823</f>
        <v>12869.852558142575</v>
      </c>
      <c r="M63" s="134">
        <f>10833*Ad_0823</f>
        <v>17271.94162070844</v>
      </c>
      <c r="N63" s="13" t="s">
        <v>253</v>
      </c>
      <c r="O63" s="13" t="s">
        <v>302</v>
      </c>
      <c r="P63" s="15"/>
      <c r="Q63" s="15"/>
      <c r="R63" s="15"/>
      <c r="S63" s="15"/>
      <c r="T63" s="15"/>
    </row>
    <row r="64" spans="1:20" ht="43.5" x14ac:dyDescent="0.3">
      <c r="A64" s="13" t="s">
        <v>29</v>
      </c>
      <c r="B64" s="16">
        <f>12347*Ad_0823</f>
        <v>19685.836166425466</v>
      </c>
      <c r="C64" s="16">
        <f t="shared" ca="1" si="1"/>
        <v>4.3950825874852884E-2</v>
      </c>
      <c r="D64" s="16">
        <f t="shared" ca="1" si="0"/>
        <v>19685.836166425466</v>
      </c>
      <c r="E64" s="16"/>
      <c r="F64" t="s">
        <v>8</v>
      </c>
      <c r="G64" s="16"/>
      <c r="H64" s="16"/>
      <c r="I64" s="16">
        <v>88.79</v>
      </c>
      <c r="J64" s="16">
        <v>221.7</v>
      </c>
      <c r="K64" s="16">
        <v>2089.12</v>
      </c>
      <c r="L64" s="134">
        <f>9831*Ad_0823</f>
        <v>15674.370725854764</v>
      </c>
      <c r="M64" s="134">
        <f>14862*Ad_0823</f>
        <v>23695.707224865579</v>
      </c>
      <c r="N64" s="13" t="s">
        <v>254</v>
      </c>
      <c r="O64" s="13" t="s">
        <v>302</v>
      </c>
      <c r="P64" s="15"/>
      <c r="Q64" s="15"/>
      <c r="R64" s="15"/>
      <c r="S64" s="15"/>
      <c r="T64" s="15"/>
    </row>
    <row r="65" spans="1:20" ht="43.5" x14ac:dyDescent="0.3">
      <c r="A65" s="13" t="s">
        <v>30</v>
      </c>
      <c r="B65" s="16">
        <f>16438*Ad_0823</f>
        <v>26208.453462679343</v>
      </c>
      <c r="C65" s="16">
        <f t="shared" ca="1" si="1"/>
        <v>0.8471938740271866</v>
      </c>
      <c r="D65" s="16">
        <f t="shared" ca="1" si="0"/>
        <v>26208.453462679343</v>
      </c>
      <c r="E65" s="16"/>
      <c r="F65" t="s">
        <v>8</v>
      </c>
      <c r="G65" s="16"/>
      <c r="H65" s="16"/>
      <c r="I65" s="16">
        <v>27.59</v>
      </c>
      <c r="J65" s="16">
        <v>913.51</v>
      </c>
      <c r="K65" s="15">
        <v>4798.76</v>
      </c>
      <c r="L65" s="134">
        <f>10384*Ad_0823</f>
        <v>16556.064044072409</v>
      </c>
      <c r="M65" s="134">
        <f>22496*Ad_0823</f>
        <v>35867.220409808644</v>
      </c>
      <c r="N65" s="13" t="s">
        <v>255</v>
      </c>
      <c r="O65" s="13" t="s">
        <v>304</v>
      </c>
      <c r="P65" s="15"/>
      <c r="Q65" s="15"/>
      <c r="R65" s="15"/>
      <c r="S65" s="15"/>
      <c r="T65" s="15"/>
    </row>
    <row r="66" spans="1:20" ht="16.5" customHeight="1" x14ac:dyDescent="0.3">
      <c r="A66" s="13" t="s">
        <v>44</v>
      </c>
      <c r="B66" s="66">
        <f>(150*B63+139*B64+27*B65)/(150+139+27)</f>
        <v>18052.891179427541</v>
      </c>
      <c r="C66" s="16">
        <f t="shared" ca="1" si="1"/>
        <v>0.65700838044117493</v>
      </c>
      <c r="D66" s="16">
        <f>IF(PSA_DSA=0,B66,(150*D63+139*D64+27*D65)/(150+139+27))</f>
        <v>18052.891179427541</v>
      </c>
      <c r="E66" s="16" t="s">
        <v>97</v>
      </c>
      <c r="G66" s="16"/>
      <c r="H66" s="16"/>
      <c r="I66" s="16"/>
      <c r="J66" s="16"/>
      <c r="K66" s="16"/>
      <c r="L66" s="134"/>
      <c r="M66" s="134"/>
      <c r="N66" t="s">
        <v>45</v>
      </c>
      <c r="O66" s="13"/>
      <c r="P66" s="15"/>
      <c r="Q66" s="15"/>
      <c r="R66" s="15"/>
      <c r="S66" s="15"/>
      <c r="T66" s="15"/>
    </row>
    <row r="67" spans="1:20" ht="43.5" x14ac:dyDescent="0.3">
      <c r="A67" s="13" t="s">
        <v>40</v>
      </c>
      <c r="B67" s="16">
        <f xml:space="preserve"> 35081*PPP_08*Ad_0823</f>
        <v>36915.462885387984</v>
      </c>
      <c r="C67" s="16">
        <f t="shared" ca="1" si="1"/>
        <v>0.16728207551579033</v>
      </c>
      <c r="D67" s="16">
        <f t="shared" ca="1" si="0"/>
        <v>36915.462885387984</v>
      </c>
      <c r="E67" s="16" t="s">
        <v>98</v>
      </c>
      <c r="F67" t="s">
        <v>8</v>
      </c>
      <c r="G67" s="16"/>
      <c r="H67" s="16"/>
      <c r="I67" s="16">
        <v>370.54</v>
      </c>
      <c r="J67" s="16">
        <v>99.63</v>
      </c>
      <c r="K67" s="16">
        <v>1917.74</v>
      </c>
      <c r="L67" s="134">
        <f>31509*PPP_08*Ad_0823</f>
        <v>33156.675124873582</v>
      </c>
      <c r="M67" s="134">
        <f>38653*PPP_08*Ad_0823</f>
        <v>40674.250645902386</v>
      </c>
      <c r="N67" s="13" t="s">
        <v>308</v>
      </c>
      <c r="O67" s="13" t="s">
        <v>305</v>
      </c>
      <c r="P67" s="15"/>
      <c r="Q67" s="15"/>
      <c r="R67" s="15"/>
      <c r="S67" s="15"/>
      <c r="T67" s="15"/>
    </row>
    <row r="68" spans="1:20" ht="43.5" x14ac:dyDescent="0.3">
      <c r="A68" s="13" t="s">
        <v>41</v>
      </c>
      <c r="B68" s="16">
        <f xml:space="preserve"> 34442*PPP_08*Ad_0823</f>
        <v>36243.04816563191</v>
      </c>
      <c r="C68" s="16">
        <f t="shared" ca="1" si="1"/>
        <v>0.22024314771984899</v>
      </c>
      <c r="D68" s="16">
        <f t="shared" ca="1" si="0"/>
        <v>36243.04816563191</v>
      </c>
      <c r="E68" s="16" t="s">
        <v>99</v>
      </c>
      <c r="F68" t="s">
        <v>8</v>
      </c>
      <c r="G68" s="16"/>
      <c r="H68" s="16"/>
      <c r="I68" s="16">
        <v>437.94</v>
      </c>
      <c r="J68" s="16">
        <v>82.76</v>
      </c>
      <c r="K68" s="16">
        <v>1731.87</v>
      </c>
      <c r="L68" s="134">
        <f>31203*PPP_08*Ad_0823</f>
        <v>32834.673709779112</v>
      </c>
      <c r="M68" s="134">
        <f>37654*PPP_08*Ad_0823</f>
        <v>39623.010731917537</v>
      </c>
      <c r="N68" s="13" t="s">
        <v>309</v>
      </c>
      <c r="O68" s="13" t="s">
        <v>306</v>
      </c>
      <c r="P68" s="15"/>
      <c r="Q68" s="15"/>
      <c r="R68" s="15"/>
      <c r="S68" s="15"/>
      <c r="T68" s="15"/>
    </row>
    <row r="69" spans="1:20" ht="43.5" x14ac:dyDescent="0.3">
      <c r="A69" s="13" t="s">
        <v>31</v>
      </c>
      <c r="B69" s="16">
        <f xml:space="preserve"> 9300*PPP_08*Ad_0823</f>
        <v>9786.317517576701</v>
      </c>
      <c r="C69" s="16">
        <f t="shared" ca="1" si="1"/>
        <v>0.46734583016192821</v>
      </c>
      <c r="D69" s="16">
        <f t="shared" ca="1" si="0"/>
        <v>9786.317517576701</v>
      </c>
      <c r="E69" s="16" t="s">
        <v>100</v>
      </c>
      <c r="F69" t="s">
        <v>8</v>
      </c>
      <c r="G69" s="16"/>
      <c r="H69" s="16"/>
      <c r="I69" s="16">
        <v>1276.67</v>
      </c>
      <c r="J69" s="16">
        <v>544.34</v>
      </c>
      <c r="K69" s="16">
        <v>54.72</v>
      </c>
      <c r="L69" s="134">
        <f>8300*PPP_08*Ad_0823</f>
        <v>8734.0253113856579</v>
      </c>
      <c r="M69" s="134">
        <f>10200*PPP_08*Ad_0823</f>
        <v>10733.380503148639</v>
      </c>
      <c r="N69" s="13" t="s">
        <v>310</v>
      </c>
      <c r="O69" s="13" t="s">
        <v>306</v>
      </c>
      <c r="P69" s="15"/>
      <c r="Q69" s="15"/>
      <c r="R69" s="15"/>
      <c r="S69" s="15"/>
      <c r="T69" s="15"/>
    </row>
    <row r="70" spans="1:20" ht="43.5" x14ac:dyDescent="0.3">
      <c r="A70" s="13" t="s">
        <v>42</v>
      </c>
      <c r="B70" s="16">
        <f xml:space="preserve"> 10400 *PPP_08*Ad_0823</f>
        <v>10943.838944386847</v>
      </c>
      <c r="C70" s="16">
        <f t="shared" ca="1" si="1"/>
        <v>0.63922239748211362</v>
      </c>
      <c r="D70" s="16">
        <f t="shared" ca="1" si="0"/>
        <v>10943.838944386847</v>
      </c>
      <c r="E70" s="16" t="s">
        <v>101</v>
      </c>
      <c r="F70" t="s">
        <v>8</v>
      </c>
      <c r="G70" s="16"/>
      <c r="H70" s="16"/>
      <c r="I70" s="16">
        <v>515.77</v>
      </c>
      <c r="J70" s="16">
        <v>21.22</v>
      </c>
      <c r="K70" s="16">
        <v>481.86</v>
      </c>
      <c r="L70" s="134">
        <f>9600*PPP_08*Ad_0823</f>
        <v>10102.005179434012</v>
      </c>
      <c r="M70" s="134">
        <f>11300*PPP_08*Ad_0823</f>
        <v>11890.901929958787</v>
      </c>
      <c r="N70" s="13" t="s">
        <v>311</v>
      </c>
      <c r="O70" s="13" t="s">
        <v>307</v>
      </c>
      <c r="P70" s="15"/>
      <c r="Q70" s="15"/>
      <c r="R70" s="15"/>
      <c r="S70" s="15"/>
      <c r="T70" s="15"/>
    </row>
    <row r="71" spans="1:20" x14ac:dyDescent="0.3">
      <c r="A71" s="13" t="s">
        <v>43</v>
      </c>
      <c r="B71" s="16">
        <v>5625</v>
      </c>
      <c r="C71" s="16">
        <f t="shared" ca="1" si="1"/>
        <v>0.52106872257377435</v>
      </c>
      <c r="D71" s="16">
        <f t="shared" ca="1" si="0"/>
        <v>5625</v>
      </c>
      <c r="E71" s="16" t="s">
        <v>102</v>
      </c>
      <c r="F71" t="s">
        <v>8</v>
      </c>
      <c r="G71" s="16"/>
      <c r="H71" s="16"/>
      <c r="I71" s="16">
        <v>25</v>
      </c>
      <c r="J71" s="16">
        <v>225</v>
      </c>
      <c r="K71" s="16">
        <f>B71*0.2</f>
        <v>1125</v>
      </c>
      <c r="L71" s="134"/>
      <c r="M71" s="134"/>
      <c r="N71" s="13"/>
      <c r="O71" s="13"/>
      <c r="P71" s="15"/>
      <c r="Q71" s="15"/>
      <c r="R71" s="15"/>
      <c r="S71" s="15"/>
      <c r="T71" s="15"/>
    </row>
    <row r="72" spans="1:20" x14ac:dyDescent="0.3">
      <c r="A72" s="13" t="s">
        <v>32</v>
      </c>
      <c r="B72" s="16">
        <v>2487</v>
      </c>
      <c r="C72" s="16">
        <f t="shared" ca="1" si="1"/>
        <v>0.34498691761557965</v>
      </c>
      <c r="D72" s="16">
        <f t="shared" ca="1" si="0"/>
        <v>2487</v>
      </c>
      <c r="E72" s="16" t="s">
        <v>103</v>
      </c>
      <c r="F72" t="s">
        <v>8</v>
      </c>
      <c r="G72" s="16"/>
      <c r="H72" s="16"/>
      <c r="I72" s="16">
        <v>25</v>
      </c>
      <c r="J72" s="16">
        <v>99.48</v>
      </c>
      <c r="K72" s="16">
        <f>B72*0.2</f>
        <v>497.40000000000003</v>
      </c>
      <c r="L72" s="134"/>
      <c r="M72" s="134"/>
      <c r="N72" s="13"/>
      <c r="O72" s="13"/>
      <c r="P72" s="15"/>
      <c r="Q72" s="15"/>
      <c r="R72" s="15"/>
      <c r="S72" s="15"/>
      <c r="T72" s="15"/>
    </row>
    <row r="74" spans="1:20" x14ac:dyDescent="0.3">
      <c r="A74" s="19" t="s">
        <v>63</v>
      </c>
    </row>
    <row r="75" spans="1:20" ht="15" x14ac:dyDescent="0.35">
      <c r="A75" t="s">
        <v>9</v>
      </c>
      <c r="B75">
        <v>0.7</v>
      </c>
      <c r="D75">
        <f ca="1">IF(PSA_DSA=0,B75,_xlfn.BETA.INV(RAND(),G75,H75))</f>
        <v>0.7</v>
      </c>
      <c r="E75" s="16" t="s">
        <v>104</v>
      </c>
      <c r="F75" t="s">
        <v>0</v>
      </c>
      <c r="G75">
        <v>61.87</v>
      </c>
      <c r="H75">
        <v>26.52</v>
      </c>
      <c r="K75">
        <v>4.8000000000000001E-2</v>
      </c>
      <c r="L75">
        <v>0.6</v>
      </c>
      <c r="M75">
        <v>0.79</v>
      </c>
    </row>
    <row r="76" spans="1:20" x14ac:dyDescent="0.3">
      <c r="A76" t="s">
        <v>10</v>
      </c>
      <c r="B76">
        <v>0.8</v>
      </c>
      <c r="D76">
        <f ca="1">IF(PSA_DSA=0,B76,_xlfn.BETA.INV(RAND(),G76,H76))</f>
        <v>0.8</v>
      </c>
      <c r="E76" s="16" t="s">
        <v>105</v>
      </c>
      <c r="F76" t="s">
        <v>0</v>
      </c>
      <c r="G76">
        <v>26.18</v>
      </c>
      <c r="H76">
        <v>6.55</v>
      </c>
      <c r="K76">
        <v>6.9000000000000006E-2</v>
      </c>
      <c r="L76">
        <v>0.66</v>
      </c>
      <c r="M76">
        <v>0.93</v>
      </c>
    </row>
    <row r="77" spans="1:20" x14ac:dyDescent="0.3">
      <c r="A77" s="13"/>
    </row>
    <row r="78" spans="1:20" x14ac:dyDescent="0.3">
      <c r="A78" s="13"/>
    </row>
    <row r="79" spans="1:20" x14ac:dyDescent="0.3">
      <c r="A79" s="13"/>
    </row>
    <row r="80" spans="1:20" x14ac:dyDescent="0.3">
      <c r="A80" s="13"/>
    </row>
    <row r="81" spans="1:1" x14ac:dyDescent="0.3">
      <c r="A81" s="13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6F84B-86BF-4100-9C0B-EFA1DF0D5884}">
  <sheetPr codeName="Sheet3"/>
  <dimension ref="A1:M29"/>
  <sheetViews>
    <sheetView zoomScale="62" zoomScaleNormal="62" workbookViewId="0">
      <selection activeCell="H43" sqref="H43"/>
    </sheetView>
  </sheetViews>
  <sheetFormatPr defaultColWidth="9.09765625" defaultRowHeight="14" x14ac:dyDescent="0.3"/>
  <cols>
    <col min="1" max="4" width="9.09765625" style="11"/>
    <col min="5" max="5" width="15" style="11" bestFit="1" customWidth="1"/>
    <col min="6" max="6" width="9.09765625" style="11"/>
    <col min="7" max="7" width="14.8984375" style="11" bestFit="1" customWidth="1"/>
    <col min="8" max="8" width="9.09765625" style="11"/>
    <col min="9" max="9" width="14.8984375" style="11" bestFit="1" customWidth="1"/>
    <col min="10" max="16384" width="9.09765625" style="11"/>
  </cols>
  <sheetData>
    <row r="1" spans="1:13" ht="23" x14ac:dyDescent="0.5">
      <c r="A1" s="50" t="s">
        <v>292</v>
      </c>
    </row>
    <row r="3" spans="1:13" ht="14.5" thickBot="1" x14ac:dyDescent="0.35"/>
    <row r="4" spans="1:13" x14ac:dyDescent="0.3">
      <c r="B4" s="103" t="s">
        <v>256</v>
      </c>
      <c r="C4" s="71"/>
      <c r="D4" s="71"/>
      <c r="E4" s="71"/>
      <c r="F4" s="70"/>
      <c r="I4" s="103" t="s">
        <v>269</v>
      </c>
      <c r="J4" s="71"/>
      <c r="K4" s="71"/>
      <c r="L4" s="71"/>
      <c r="M4" s="70"/>
    </row>
    <row r="5" spans="1:13" x14ac:dyDescent="0.3">
      <c r="B5" s="40"/>
      <c r="C5" s="11" t="s">
        <v>257</v>
      </c>
      <c r="F5" s="41"/>
      <c r="I5" s="40"/>
      <c r="J5" s="11" t="s">
        <v>282</v>
      </c>
      <c r="M5" s="41"/>
    </row>
    <row r="6" spans="1:13" x14ac:dyDescent="0.3">
      <c r="B6" s="40"/>
      <c r="C6" s="11" t="s">
        <v>258</v>
      </c>
      <c r="D6" s="11" t="s">
        <v>267</v>
      </c>
      <c r="E6" s="11" t="s">
        <v>268</v>
      </c>
      <c r="F6" s="41"/>
      <c r="I6" s="40"/>
      <c r="J6" s="11" t="s">
        <v>283</v>
      </c>
      <c r="M6" s="41"/>
    </row>
    <row r="7" spans="1:13" x14ac:dyDescent="0.3">
      <c r="B7" s="40" t="s">
        <v>259</v>
      </c>
      <c r="C7" s="46">
        <v>5.5999999999999999E-3</v>
      </c>
      <c r="D7" s="46">
        <v>3.0000000000000001E-3</v>
      </c>
      <c r="E7" s="148">
        <v>4.0000000000000001E-3</v>
      </c>
      <c r="F7" s="41"/>
      <c r="I7" s="40" t="s">
        <v>270</v>
      </c>
      <c r="J7" s="76">
        <v>224.8</v>
      </c>
      <c r="M7" s="41"/>
    </row>
    <row r="8" spans="1:13" x14ac:dyDescent="0.3">
      <c r="B8" s="40" t="s">
        <v>260</v>
      </c>
      <c r="C8" s="46">
        <v>2.06E-2</v>
      </c>
      <c r="D8" s="46">
        <v>2.1000000000000001E-2</v>
      </c>
      <c r="E8" s="148">
        <v>2.0899999999999998E-2</v>
      </c>
      <c r="F8" s="41"/>
      <c r="I8" s="40" t="s">
        <v>271</v>
      </c>
      <c r="J8" s="76">
        <v>232.3</v>
      </c>
      <c r="M8" s="41"/>
    </row>
    <row r="9" spans="1:13" x14ac:dyDescent="0.3">
      <c r="B9" s="40" t="s">
        <v>261</v>
      </c>
      <c r="C9" s="46">
        <v>1.2999999999999999E-2</v>
      </c>
      <c r="D9" s="46">
        <v>1.21E-2</v>
      </c>
      <c r="E9" s="148">
        <v>1.24E-2</v>
      </c>
      <c r="F9" s="41"/>
      <c r="I9" s="40" t="s">
        <v>272</v>
      </c>
      <c r="J9" s="76">
        <v>240.9</v>
      </c>
      <c r="M9" s="41"/>
    </row>
    <row r="10" spans="1:13" x14ac:dyDescent="0.3">
      <c r="B10" s="40" t="s">
        <v>262</v>
      </c>
      <c r="C10" s="46">
        <v>1.5900000000000001E-2</v>
      </c>
      <c r="D10" s="46">
        <v>1.6E-2</v>
      </c>
      <c r="E10" s="148">
        <v>1.6E-2</v>
      </c>
      <c r="F10" s="41"/>
      <c r="I10" s="40" t="s">
        <v>273</v>
      </c>
      <c r="J10" s="76">
        <v>249.8</v>
      </c>
      <c r="M10" s="41"/>
    </row>
    <row r="11" spans="1:13" x14ac:dyDescent="0.3">
      <c r="B11" s="40" t="s">
        <v>263</v>
      </c>
      <c r="C11" s="46">
        <v>1.2999999999999999E-2</v>
      </c>
      <c r="D11" s="46">
        <v>2.58E-2</v>
      </c>
      <c r="E11" s="148">
        <v>2.1399999999999999E-2</v>
      </c>
      <c r="F11" s="41"/>
      <c r="I11" s="40" t="s">
        <v>274</v>
      </c>
      <c r="J11" s="76">
        <v>257</v>
      </c>
      <c r="M11" s="41"/>
    </row>
    <row r="12" spans="1:13" x14ac:dyDescent="0.3">
      <c r="B12" s="40" t="s">
        <v>264</v>
      </c>
      <c r="C12" s="46">
        <v>8.3999999999999995E-3</v>
      </c>
      <c r="D12" s="46">
        <v>3.4099999999999998E-2</v>
      </c>
      <c r="E12" s="148">
        <v>2.4899999999999999E-2</v>
      </c>
      <c r="F12" s="41"/>
      <c r="I12" s="40" t="s">
        <v>275</v>
      </c>
      <c r="J12" s="76">
        <v>267</v>
      </c>
      <c r="M12" s="41"/>
    </row>
    <row r="13" spans="1:13" x14ac:dyDescent="0.3">
      <c r="B13" s="40" t="s">
        <v>265</v>
      </c>
      <c r="C13" s="46">
        <v>1.7000000000000001E-2</v>
      </c>
      <c r="D13" s="46">
        <v>3.0700000000000002E-2</v>
      </c>
      <c r="E13" s="148">
        <v>2.5700000000000001E-2</v>
      </c>
      <c r="F13" s="41"/>
      <c r="I13" s="40" t="s">
        <v>276</v>
      </c>
      <c r="J13" s="76">
        <v>268.60000000000002</v>
      </c>
      <c r="M13" s="41"/>
    </row>
    <row r="14" spans="1:13" ht="14.5" thickBot="1" x14ac:dyDescent="0.35">
      <c r="B14" s="43" t="s">
        <v>266</v>
      </c>
      <c r="C14" s="147">
        <v>6.3399999999999998E-2</v>
      </c>
      <c r="D14" s="147">
        <v>7.4099999999999999E-2</v>
      </c>
      <c r="E14" s="149">
        <v>7.0300000000000001E-2</v>
      </c>
      <c r="F14" s="44"/>
      <c r="I14" s="40" t="s">
        <v>277</v>
      </c>
      <c r="J14" s="76">
        <v>276.7</v>
      </c>
      <c r="M14" s="41"/>
    </row>
    <row r="15" spans="1:13" x14ac:dyDescent="0.3">
      <c r="I15" s="40" t="s">
        <v>278</v>
      </c>
      <c r="J15" s="76">
        <v>282.5</v>
      </c>
      <c r="M15" s="41"/>
    </row>
    <row r="16" spans="1:13" x14ac:dyDescent="0.3">
      <c r="B16" s="151" t="s">
        <v>284</v>
      </c>
      <c r="I16" s="40" t="s">
        <v>279</v>
      </c>
      <c r="J16" s="76">
        <v>287.3</v>
      </c>
      <c r="M16" s="41"/>
    </row>
    <row r="17" spans="2:13" x14ac:dyDescent="0.3">
      <c r="I17" s="40" t="s">
        <v>280</v>
      </c>
      <c r="J17" s="76">
        <v>290.60000000000002</v>
      </c>
      <c r="M17" s="41"/>
    </row>
    <row r="18" spans="2:13" x14ac:dyDescent="0.3">
      <c r="I18" s="40" t="s">
        <v>281</v>
      </c>
      <c r="J18" s="76">
        <v>293.10000000000002</v>
      </c>
      <c r="M18" s="41"/>
    </row>
    <row r="19" spans="2:13" ht="14.5" thickBot="1" x14ac:dyDescent="0.35">
      <c r="I19" s="43" t="s">
        <v>259</v>
      </c>
      <c r="J19" s="150">
        <v>297</v>
      </c>
      <c r="K19" s="72"/>
      <c r="L19" s="72"/>
      <c r="M19" s="44"/>
    </row>
    <row r="21" spans="2:13" ht="14.5" thickBot="1" x14ac:dyDescent="0.35"/>
    <row r="22" spans="2:13" x14ac:dyDescent="0.3">
      <c r="B22" s="103" t="s">
        <v>285</v>
      </c>
      <c r="C22" s="71"/>
      <c r="D22" s="71"/>
      <c r="E22" s="71"/>
      <c r="F22" s="154" t="s">
        <v>293</v>
      </c>
      <c r="G22" s="71"/>
      <c r="H22" s="154" t="s">
        <v>296</v>
      </c>
      <c r="I22" s="71"/>
      <c r="J22" s="152" t="s">
        <v>50</v>
      </c>
      <c r="K22" s="70"/>
    </row>
    <row r="23" spans="2:13" x14ac:dyDescent="0.3">
      <c r="B23" s="40"/>
      <c r="C23" s="11" t="s">
        <v>297</v>
      </c>
      <c r="E23" s="11" t="s">
        <v>291</v>
      </c>
      <c r="F23" s="18"/>
      <c r="K23" s="41"/>
    </row>
    <row r="24" spans="2:13" ht="14.5" x14ac:dyDescent="0.3">
      <c r="B24" s="40" t="s">
        <v>286</v>
      </c>
      <c r="C24" s="11" t="s">
        <v>287</v>
      </c>
      <c r="E24" s="11">
        <f>(1+2.57%)*(1+7.03%)</f>
        <v>1.0978067100000002</v>
      </c>
      <c r="H24" s="11" t="s">
        <v>286</v>
      </c>
      <c r="I24" s="11">
        <f>adf_2123</f>
        <v>1.0978067100000002</v>
      </c>
      <c r="J24" s="155" t="s">
        <v>300</v>
      </c>
      <c r="K24" s="41"/>
    </row>
    <row r="25" spans="2:13" ht="15" thickBot="1" x14ac:dyDescent="0.35">
      <c r="B25" s="43" t="s">
        <v>295</v>
      </c>
      <c r="C25" s="72" t="s">
        <v>298</v>
      </c>
      <c r="D25" s="72"/>
      <c r="E25" s="72">
        <f>(1+2.09%)*(1+1.24%)*(1+1.6%)*(1+2.14%)*(1+2.49%)*(1+2.57%)*(1+7.03%)</f>
        <v>1.2067915924484567</v>
      </c>
      <c r="F25" s="72" t="s">
        <v>294</v>
      </c>
      <c r="G25" s="72">
        <f>297/224.8</f>
        <v>1.3211743772241993</v>
      </c>
      <c r="H25" s="72" t="s">
        <v>299</v>
      </c>
      <c r="I25" s="72">
        <f>adf_1523*G25</f>
        <v>1.5943821305924895</v>
      </c>
      <c r="J25" s="156" t="s">
        <v>301</v>
      </c>
      <c r="K25" s="44"/>
    </row>
    <row r="27" spans="2:13" ht="14.5" thickBot="1" x14ac:dyDescent="0.35"/>
    <row r="28" spans="2:13" x14ac:dyDescent="0.3">
      <c r="B28" s="103" t="s">
        <v>288</v>
      </c>
      <c r="C28" s="71"/>
      <c r="D28" s="71"/>
      <c r="E28" s="71" t="s">
        <v>291</v>
      </c>
      <c r="F28" s="152" t="s">
        <v>50</v>
      </c>
      <c r="G28" s="70"/>
    </row>
    <row r="29" spans="2:13" ht="15" thickBot="1" x14ac:dyDescent="0.35">
      <c r="B29" s="43" t="s">
        <v>289</v>
      </c>
      <c r="C29" s="72"/>
      <c r="D29" s="72"/>
      <c r="E29" s="72">
        <v>0.66</v>
      </c>
      <c r="F29" s="153" t="s">
        <v>290</v>
      </c>
      <c r="G29" s="44"/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7F560-6E40-4650-9B30-C75836F574D4}">
  <sheetPr codeName="Sheet2"/>
  <dimension ref="A1:BB371"/>
  <sheetViews>
    <sheetView zoomScale="58" zoomScaleNormal="58" workbookViewId="0">
      <selection activeCell="D10" sqref="D10"/>
    </sheetView>
  </sheetViews>
  <sheetFormatPr defaultRowHeight="14.5" x14ac:dyDescent="0.3"/>
  <cols>
    <col min="3" max="3" width="12" customWidth="1"/>
    <col min="4" max="4" width="9.3984375" customWidth="1"/>
    <col min="5" max="5" width="16.3984375" customWidth="1"/>
    <col min="8" max="8" width="8.8984375" customWidth="1"/>
    <col min="13" max="13" width="9.3984375" bestFit="1" customWidth="1"/>
    <col min="15" max="15" width="8.8984375" bestFit="1" customWidth="1"/>
    <col min="20" max="20" width="8.8984375" bestFit="1" customWidth="1"/>
    <col min="25" max="25" width="8.8984375" bestFit="1" customWidth="1"/>
    <col min="30" max="30" width="12.8984375" bestFit="1" customWidth="1"/>
    <col min="32" max="32" width="8.8984375" bestFit="1" customWidth="1"/>
    <col min="37" max="37" width="8.8984375" bestFit="1" customWidth="1"/>
    <col min="39" max="39" width="9.3984375" bestFit="1" customWidth="1"/>
    <col min="41" max="41" width="12.8984375" bestFit="1" customWidth="1"/>
    <col min="43" max="43" width="8.8984375" style="55"/>
    <col min="45" max="45" width="8.8984375"/>
    <col min="47" max="47" width="13.8984375" style="29" bestFit="1" customWidth="1"/>
    <col min="49" max="49" width="8.8984375" style="11"/>
    <col min="51" max="51" width="13.8984375" style="11" bestFit="1" customWidth="1"/>
    <col min="53" max="53" width="16" style="11" bestFit="1" customWidth="1"/>
  </cols>
  <sheetData>
    <row r="1" spans="1:54" ht="23" x14ac:dyDescent="0.5">
      <c r="A1" s="50" t="s">
        <v>128</v>
      </c>
      <c r="B1" s="50"/>
      <c r="C1" s="50"/>
      <c r="D1" s="50"/>
    </row>
    <row r="2" spans="1:54" ht="15" thickBot="1" x14ac:dyDescent="0.35"/>
    <row r="3" spans="1:54" x14ac:dyDescent="0.3">
      <c r="B3" s="64" t="s">
        <v>109</v>
      </c>
      <c r="C3" s="30"/>
      <c r="D3" s="31"/>
    </row>
    <row r="4" spans="1:54" x14ac:dyDescent="0.3">
      <c r="B4" s="32"/>
      <c r="C4" s="157" t="s">
        <v>107</v>
      </c>
      <c r="D4" s="158" t="s">
        <v>108</v>
      </c>
      <c r="E4" s="93"/>
      <c r="F4" s="93"/>
      <c r="G4" s="96"/>
      <c r="H4" t="s">
        <v>245</v>
      </c>
    </row>
    <row r="5" spans="1:54" x14ac:dyDescent="0.3">
      <c r="B5" s="32" t="s">
        <v>110</v>
      </c>
      <c r="C5" s="29">
        <f ca="1">AY15</f>
        <v>77247.021867141855</v>
      </c>
      <c r="D5" s="145">
        <f ca="1">BA15</f>
        <v>10.182488275349186</v>
      </c>
      <c r="E5" s="29"/>
      <c r="F5" s="94"/>
      <c r="G5" s="95"/>
      <c r="H5" t="s">
        <v>180</v>
      </c>
    </row>
    <row r="6" spans="1:54" x14ac:dyDescent="0.3">
      <c r="B6" s="32" t="s">
        <v>111</v>
      </c>
      <c r="C6" s="29">
        <f ca="1">AY74</f>
        <v>76486.716311435855</v>
      </c>
      <c r="D6" s="145">
        <f ca="1">BA74</f>
        <v>10.155756221414322</v>
      </c>
      <c r="E6" s="29"/>
      <c r="F6" s="94"/>
      <c r="G6" s="97"/>
      <c r="H6" t="s">
        <v>120</v>
      </c>
    </row>
    <row r="7" spans="1:54" x14ac:dyDescent="0.3">
      <c r="B7" s="32" t="s">
        <v>112</v>
      </c>
      <c r="C7" s="29">
        <f ca="1">AY136</f>
        <v>76866.158693589023</v>
      </c>
      <c r="D7" s="145">
        <f ca="1">BA136</f>
        <v>10.136717602123875</v>
      </c>
      <c r="E7" s="29"/>
      <c r="G7" s="75"/>
      <c r="H7" s="75"/>
    </row>
    <row r="8" spans="1:54" x14ac:dyDescent="0.3">
      <c r="B8" s="32" t="s">
        <v>113</v>
      </c>
      <c r="C8" s="29">
        <f ca="1">AY196</f>
        <v>76800.673516583702</v>
      </c>
      <c r="D8" s="145">
        <f ca="1">BA196</f>
        <v>10.1282158305509</v>
      </c>
      <c r="E8" s="29"/>
    </row>
    <row r="9" spans="1:54" x14ac:dyDescent="0.3">
      <c r="B9" s="32" t="s">
        <v>114</v>
      </c>
      <c r="C9" s="29">
        <f ca="1">AY256</f>
        <v>77174.378659590715</v>
      </c>
      <c r="D9" s="145">
        <f ca="1">BA256</f>
        <v>10.108368874331893</v>
      </c>
      <c r="E9" s="29"/>
    </row>
    <row r="10" spans="1:54" ht="15" thickBot="1" x14ac:dyDescent="0.35">
      <c r="B10" s="33" t="s">
        <v>115</v>
      </c>
      <c r="C10" s="34">
        <f ca="1">AY315</f>
        <v>77596.609324305449</v>
      </c>
      <c r="D10" s="146">
        <f ca="1">BA315</f>
        <v>10.086905244255766</v>
      </c>
      <c r="E10" s="29"/>
    </row>
    <row r="13" spans="1:54" x14ac:dyDescent="0.3">
      <c r="AO13" s="10"/>
      <c r="AP13" s="10"/>
      <c r="AR13" s="10"/>
      <c r="AT13" s="10"/>
    </row>
    <row r="14" spans="1:54" ht="15" thickBot="1" x14ac:dyDescent="0.35">
      <c r="AF14" s="11"/>
    </row>
    <row r="15" spans="1:54" ht="15" thickBot="1" x14ac:dyDescent="0.35">
      <c r="AJ15" s="85" t="s">
        <v>106</v>
      </c>
      <c r="AK15" s="89">
        <f ca="1">SUM(AK17:AK69)</f>
        <v>1</v>
      </c>
      <c r="AL15" s="85"/>
      <c r="AM15" s="85"/>
      <c r="AN15" s="85"/>
      <c r="AO15" s="85"/>
      <c r="AP15" s="85"/>
      <c r="AQ15" s="87"/>
      <c r="AR15" s="85"/>
      <c r="AS15" s="85"/>
      <c r="AT15" s="85"/>
      <c r="AU15" s="88"/>
      <c r="AV15" s="85"/>
      <c r="AW15" s="86"/>
      <c r="AX15" s="85"/>
      <c r="AY15" s="90">
        <f ca="1">SUM(AY17:AY69)</f>
        <v>77247.021867141855</v>
      </c>
      <c r="AZ15" s="85"/>
      <c r="BA15" s="91">
        <f ca="1">SUM(BA17:BA69)</f>
        <v>10.182488275349186</v>
      </c>
      <c r="BB15" s="85"/>
    </row>
    <row r="16" spans="1:54" ht="15" thickBot="1" x14ac:dyDescent="0.35"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 t="s">
        <v>196</v>
      </c>
      <c r="AG16" s="11"/>
      <c r="AH16" s="11"/>
      <c r="AI16" s="11"/>
      <c r="AJ16" s="11"/>
      <c r="AK16" s="195" t="s">
        <v>197</v>
      </c>
      <c r="AL16" s="193"/>
      <c r="AM16" s="196" t="s">
        <v>198</v>
      </c>
      <c r="AN16" s="196"/>
      <c r="AO16" s="193" t="s">
        <v>199</v>
      </c>
      <c r="AP16" s="193"/>
      <c r="AQ16" s="197" t="s">
        <v>216</v>
      </c>
      <c r="AR16" s="197"/>
      <c r="AS16" s="193" t="s">
        <v>217</v>
      </c>
      <c r="AT16" s="193"/>
      <c r="AU16" s="198" t="s">
        <v>237</v>
      </c>
      <c r="AV16" s="198"/>
      <c r="AW16" s="193" t="s">
        <v>238</v>
      </c>
      <c r="AX16" s="193"/>
      <c r="AY16" s="193" t="s">
        <v>239</v>
      </c>
      <c r="AZ16" s="193"/>
      <c r="BA16" s="193" t="s">
        <v>195</v>
      </c>
      <c r="BB16" s="194"/>
    </row>
    <row r="17" spans="9:53" x14ac:dyDescent="0.3"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76">
        <f ca="1">1 - Prob_Min1y_lar16_mtc</f>
        <v>0.97</v>
      </c>
      <c r="AG17" s="11"/>
      <c r="AH17" s="11"/>
      <c r="AI17" s="78">
        <f ca="1">U_lar16*((365-30)/365)</f>
        <v>0.6424657534246575</v>
      </c>
      <c r="AJ17" s="11"/>
      <c r="AK17" s="11">
        <f ca="1">O26*T21*Y19*AF17</f>
        <v>7.5205457999999989E-2</v>
      </c>
      <c r="AL17" s="11"/>
      <c r="AM17" s="67">
        <f ca="1">M43+R25+W20+AD18</f>
        <v>60739.376927083526</v>
      </c>
      <c r="AN17" s="11"/>
      <c r="AO17" s="79">
        <f ca="1">AK17*AM17</f>
        <v>4567.9326604359485</v>
      </c>
      <c r="AP17" s="68"/>
      <c r="AQ17" s="69">
        <f ca="1">AD19+AI17</f>
        <v>0.7</v>
      </c>
      <c r="AR17" s="68"/>
      <c r="AS17" s="80">
        <f ca="1">AK17*AQ17</f>
        <v>5.2643820599999988E-2</v>
      </c>
      <c r="AT17" s="68"/>
      <c r="AU17" s="81">
        <f ca="1">AK17*Cst_lar16_life</f>
        <v>3291.0569468465683</v>
      </c>
      <c r="AW17" s="80">
        <f ca="1">AK17*QALY_lar16_life</f>
        <v>0.40955375338535066</v>
      </c>
      <c r="AY17" s="82">
        <f ca="1">AU17+AO17</f>
        <v>7858.9896072825168</v>
      </c>
      <c r="BA17" s="83">
        <f ca="1">AW17+AS17</f>
        <v>0.46219757398535066</v>
      </c>
    </row>
    <row r="18" spans="9:53" x14ac:dyDescent="0.3"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 t="s">
        <v>200</v>
      </c>
      <c r="Z18" s="11"/>
      <c r="AA18" s="11"/>
      <c r="AB18" s="11"/>
      <c r="AC18" s="11"/>
      <c r="AD18" s="77">
        <f ca="1">Cst_post_lar16_mtc</f>
        <v>36915.462885387984</v>
      </c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80"/>
      <c r="AP18" s="11"/>
      <c r="AQ18" s="69"/>
      <c r="AR18" s="11"/>
      <c r="AS18" s="80"/>
      <c r="AT18" s="11"/>
      <c r="AU18" s="81"/>
      <c r="AW18" s="80"/>
      <c r="AY18" s="83"/>
      <c r="BA18" s="83"/>
    </row>
    <row r="19" spans="9:53" x14ac:dyDescent="0.3"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76">
        <f ca="1">1 - Prob_Min30_lar16_mtc</f>
        <v>0.9</v>
      </c>
      <c r="Z19" s="11"/>
      <c r="AA19" s="11"/>
      <c r="AB19" s="11"/>
      <c r="AC19" s="11"/>
      <c r="AD19" s="78">
        <f ca="1">U_lar16*(30/365)</f>
        <v>5.7534246575342458E-2</v>
      </c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80"/>
      <c r="AP19" s="11"/>
      <c r="AQ19" s="69"/>
      <c r="AR19" s="11"/>
      <c r="AS19" s="80"/>
      <c r="AT19" s="11"/>
      <c r="AU19" s="81"/>
      <c r="AW19" s="80"/>
      <c r="AY19" s="83"/>
      <c r="BA19" s="83"/>
    </row>
    <row r="20" spans="9:53" x14ac:dyDescent="0.3"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 t="s">
        <v>219</v>
      </c>
      <c r="U20" s="11"/>
      <c r="V20" s="11"/>
      <c r="W20" s="77">
        <f>Cst_lar16_MTC</f>
        <v>3342</v>
      </c>
      <c r="X20" s="11"/>
      <c r="Y20" s="11"/>
      <c r="Z20" s="11"/>
      <c r="AA20" s="11"/>
      <c r="AB20" s="11"/>
      <c r="AC20" s="11"/>
      <c r="AD20" s="11"/>
      <c r="AE20" s="11"/>
      <c r="AF20" s="11" t="s">
        <v>201</v>
      </c>
      <c r="AG20" s="11"/>
      <c r="AH20" s="11"/>
      <c r="AI20" s="11"/>
      <c r="AJ20" s="11"/>
      <c r="AK20" s="11"/>
      <c r="AL20" s="11"/>
      <c r="AM20" s="11"/>
      <c r="AN20" s="11"/>
      <c r="AO20" s="80"/>
      <c r="AP20" s="11"/>
      <c r="AQ20" s="69"/>
      <c r="AR20" s="11"/>
      <c r="AS20" s="80"/>
      <c r="AT20" s="11"/>
      <c r="AU20" s="81"/>
      <c r="AW20" s="80"/>
      <c r="AY20" s="83"/>
      <c r="BA20" s="83"/>
    </row>
    <row r="21" spans="9:53" x14ac:dyDescent="0.3"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76">
        <f ca="1">Prob_R1_sen</f>
        <v>0.95</v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76">
        <f ca="1">Prob_Min1y_lar16_mtc</f>
        <v>0.03</v>
      </c>
      <c r="AG21" s="11"/>
      <c r="AH21" s="11"/>
      <c r="AI21" s="11"/>
      <c r="AJ21" s="11"/>
      <c r="AK21" s="11">
        <f ca="1">O26*T21*Y19*AF21</f>
        <v>2.3259419999999997E-3</v>
      </c>
      <c r="AL21" s="11"/>
      <c r="AM21" s="67">
        <f ca="1">M43+R25+W20+AD18</f>
        <v>60739.376927083526</v>
      </c>
      <c r="AN21" s="11"/>
      <c r="AO21" s="79">
        <f ca="1">AK21*AM21</f>
        <v>141.2762678485345</v>
      </c>
      <c r="AP21" s="68"/>
      <c r="AQ21" s="69">
        <f ca="1">AD19</f>
        <v>5.7534246575342458E-2</v>
      </c>
      <c r="AR21" s="68"/>
      <c r="AS21" s="80">
        <f ca="1">AK21*AQ21</f>
        <v>1.3382132054794518E-4</v>
      </c>
      <c r="AT21" s="68"/>
      <c r="AU21" s="81">
        <v>0</v>
      </c>
      <c r="AW21" s="80">
        <v>0</v>
      </c>
      <c r="AY21" s="84">
        <f ca="1">AW21+AO21</f>
        <v>141.2762678485345</v>
      </c>
      <c r="BA21" s="83">
        <f ca="1">AW21+AS21</f>
        <v>1.3382132054794518E-4</v>
      </c>
    </row>
    <row r="22" spans="9:53" x14ac:dyDescent="0.3"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 t="s">
        <v>202</v>
      </c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80"/>
      <c r="AP22" s="11"/>
      <c r="AQ22" s="69"/>
      <c r="AR22" s="11"/>
      <c r="AS22" s="80"/>
      <c r="AT22" s="11"/>
      <c r="AU22" s="81"/>
      <c r="AW22" s="80"/>
      <c r="AY22" s="83"/>
      <c r="BA22" s="83"/>
    </row>
    <row r="23" spans="9:53" x14ac:dyDescent="0.3"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76">
        <f ca="1">Prob_Min30_lar16_mtc</f>
        <v>0.1</v>
      </c>
      <c r="Z23" s="11"/>
      <c r="AA23" s="11"/>
      <c r="AB23" s="11"/>
      <c r="AC23" s="11"/>
      <c r="AD23" s="11">
        <v>0</v>
      </c>
      <c r="AE23" s="11"/>
      <c r="AF23" s="11"/>
      <c r="AG23" s="11"/>
      <c r="AH23" s="11"/>
      <c r="AI23" s="11"/>
      <c r="AJ23" s="11"/>
      <c r="AK23" s="11">
        <f ca="1">O26*T21*Y23</f>
        <v>8.6145999999999983E-3</v>
      </c>
      <c r="AL23" s="11"/>
      <c r="AM23" s="67">
        <f ca="1">M43+R25+W20</f>
        <v>23823.914041695542</v>
      </c>
      <c r="AN23" s="11"/>
      <c r="AO23" s="79">
        <f ca="1">AK23*AM23</f>
        <v>205.23348990359037</v>
      </c>
      <c r="AP23" s="68"/>
      <c r="AQ23" s="69">
        <f>AD23</f>
        <v>0</v>
      </c>
      <c r="AR23" s="68"/>
      <c r="AS23" s="80">
        <f ca="1">AK23*AQ23</f>
        <v>0</v>
      </c>
      <c r="AT23" s="68"/>
      <c r="AU23" s="81">
        <v>0</v>
      </c>
      <c r="AW23" s="80">
        <v>0</v>
      </c>
      <c r="AY23" s="82">
        <f ca="1">AU23+AO23</f>
        <v>205.23348990359037</v>
      </c>
      <c r="BA23" s="83">
        <f ca="1">AW23+AS23</f>
        <v>0</v>
      </c>
    </row>
    <row r="24" spans="9:53" x14ac:dyDescent="0.3">
      <c r="I24" s="11"/>
      <c r="J24" s="11"/>
      <c r="K24" s="11"/>
      <c r="L24" s="11"/>
      <c r="M24" s="11"/>
      <c r="N24" s="11"/>
      <c r="O24" s="11" t="s">
        <v>203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80"/>
      <c r="AP24" s="11"/>
      <c r="AQ24" s="69"/>
      <c r="AR24" s="11"/>
      <c r="AS24" s="80"/>
      <c r="AT24" s="11"/>
      <c r="AU24" s="81"/>
      <c r="AW24" s="80"/>
      <c r="AY24" s="83"/>
      <c r="BA24" s="83"/>
    </row>
    <row r="25" spans="9:53" x14ac:dyDescent="0.3">
      <c r="I25" s="11"/>
      <c r="J25" s="11"/>
      <c r="K25" s="11"/>
      <c r="L25" s="11"/>
      <c r="M25" s="11"/>
      <c r="N25" s="11"/>
      <c r="O25" s="11" t="s">
        <v>204</v>
      </c>
      <c r="P25" s="11"/>
      <c r="Q25" s="11"/>
      <c r="R25" s="77">
        <f>Cst_lar16_hosp</f>
        <v>18052.891179427541</v>
      </c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 t="s">
        <v>205</v>
      </c>
      <c r="AG25" s="11"/>
      <c r="AH25" s="11"/>
      <c r="AI25" s="11"/>
      <c r="AJ25" s="11"/>
      <c r="AK25" s="11"/>
      <c r="AL25" s="11"/>
      <c r="AM25" s="11"/>
      <c r="AN25" s="11"/>
      <c r="AO25" s="80"/>
      <c r="AP25" s="11"/>
      <c r="AQ25" s="69"/>
      <c r="AR25" s="11"/>
      <c r="AS25" s="80"/>
      <c r="AT25" s="11"/>
      <c r="AU25" s="81"/>
      <c r="AW25" s="80"/>
      <c r="AY25" s="83"/>
      <c r="BA25" s="83"/>
    </row>
    <row r="26" spans="9:53" x14ac:dyDescent="0.3">
      <c r="I26" s="11"/>
      <c r="J26" s="11"/>
      <c r="K26" s="11"/>
      <c r="L26" s="11"/>
      <c r="M26" s="11"/>
      <c r="N26" s="11"/>
      <c r="O26" s="76">
        <f>Prob_ISS_lag16</f>
        <v>9.0679999999999997E-2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76">
        <f ca="1">(1 - Prob_Min1y_lar16_mtc * RR_Min1y_lar16_local)</f>
        <v>0.95079999999999998</v>
      </c>
      <c r="AG26" s="11"/>
      <c r="AH26" s="11"/>
      <c r="AI26" s="78">
        <f ca="1">U_lar16*((365-30)/365)</f>
        <v>0.6424657534246575</v>
      </c>
      <c r="AJ26" s="11"/>
      <c r="AK26" s="11">
        <f ca="1">O26*T30*Y28*AF26</f>
        <v>3.8259478900000035E-3</v>
      </c>
      <c r="AL26" s="11"/>
      <c r="AM26" s="67">
        <f ca="1">M43+R25+AD27</f>
        <v>56724.962207327451</v>
      </c>
      <c r="AN26" s="11"/>
      <c r="AO26" s="79">
        <f ca="1">AK26*AM26</f>
        <v>217.02674946745441</v>
      </c>
      <c r="AP26" s="68"/>
      <c r="AQ26" s="69">
        <f ca="1">AD28+AI26</f>
        <v>0.7</v>
      </c>
      <c r="AR26" s="68"/>
      <c r="AS26" s="80">
        <f ca="1">AK26*AQ26</f>
        <v>2.6781635230000021E-3</v>
      </c>
      <c r="AT26" s="68"/>
      <c r="AU26" s="81">
        <f ca="1">AK26*Cst_lar16_life</f>
        <v>167.42684263231908</v>
      </c>
      <c r="AW26" s="80">
        <f ca="1">AK26*QALY_lar16_life</f>
        <v>2.0835340416466373E-2</v>
      </c>
      <c r="AY26" s="82">
        <f ca="1">AU26+AO26</f>
        <v>384.45359209977346</v>
      </c>
      <c r="BA26" s="83">
        <f ca="1">AW26+AS26</f>
        <v>2.3513503939466374E-2</v>
      </c>
    </row>
    <row r="27" spans="9:53" x14ac:dyDescent="0.3"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 t="s">
        <v>206</v>
      </c>
      <c r="Z27" s="11"/>
      <c r="AA27" s="11"/>
      <c r="AB27" s="11"/>
      <c r="AC27" s="11"/>
      <c r="AD27" s="77">
        <f ca="1">Cst_post_lar16_local</f>
        <v>36243.04816563191</v>
      </c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80"/>
      <c r="AP27" s="11"/>
      <c r="AQ27" s="69"/>
      <c r="AR27" s="11"/>
      <c r="AS27" s="80"/>
      <c r="AT27" s="11"/>
      <c r="AU27" s="81"/>
      <c r="AW27" s="80"/>
      <c r="AY27" s="83"/>
      <c r="BA27" s="83"/>
    </row>
    <row r="28" spans="9:53" x14ac:dyDescent="0.3"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76">
        <f ca="1">(1 - Prob_Min30_lar16_mtc * RR_Min30_lar16_local)</f>
        <v>0.88749999999999996</v>
      </c>
      <c r="Z28" s="11"/>
      <c r="AA28" s="11"/>
      <c r="AB28" s="11"/>
      <c r="AC28" s="11"/>
      <c r="AD28" s="78">
        <f ca="1">U_lar16*(30/365)</f>
        <v>5.7534246575342458E-2</v>
      </c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80"/>
      <c r="AP28" s="11"/>
      <c r="AQ28" s="69"/>
      <c r="AR28" s="11"/>
      <c r="AS28" s="80"/>
      <c r="AT28" s="11"/>
      <c r="AU28" s="81"/>
      <c r="AW28" s="80"/>
      <c r="AY28" s="83"/>
      <c r="BA28" s="83"/>
    </row>
    <row r="29" spans="9:53" x14ac:dyDescent="0.3"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 t="s">
        <v>220</v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 t="s">
        <v>207</v>
      </c>
      <c r="AG29" s="11"/>
      <c r="AH29" s="11"/>
      <c r="AI29" s="11"/>
      <c r="AJ29" s="11"/>
      <c r="AK29" s="11"/>
      <c r="AL29" s="11"/>
      <c r="AM29" s="11"/>
      <c r="AN29" s="11"/>
      <c r="AO29" s="80"/>
      <c r="AP29" s="11"/>
      <c r="AQ29" s="69"/>
      <c r="AR29" s="11"/>
      <c r="AS29" s="80"/>
      <c r="AT29" s="11"/>
      <c r="AU29" s="81"/>
      <c r="AW29" s="80"/>
      <c r="AY29" s="83"/>
      <c r="BA29" s="83"/>
    </row>
    <row r="30" spans="9:53" x14ac:dyDescent="0.3"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76">
        <f ca="1">(1- Prob_R1_sen)</f>
        <v>5.0000000000000044E-2</v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76">
        <f ca="1">Prob_Min1y_lar16_mtc * RR_Min1y_lar16_local</f>
        <v>4.9199999999999994E-2</v>
      </c>
      <c r="AG30" s="11"/>
      <c r="AH30" s="11"/>
      <c r="AI30" s="11"/>
      <c r="AJ30" s="11"/>
      <c r="AK30" s="11">
        <f ca="1">O26*T30*Y28*AF30</f>
        <v>1.9797711000000016E-4</v>
      </c>
      <c r="AL30" s="11"/>
      <c r="AM30" s="67">
        <f ca="1">M43+R25+AD27</f>
        <v>56724.962207327451</v>
      </c>
      <c r="AN30" s="11"/>
      <c r="AO30" s="79">
        <f ca="1">AK30*AM30</f>
        <v>11.230244082665919</v>
      </c>
      <c r="AP30" s="68"/>
      <c r="AQ30" s="69">
        <f ca="1">AD28</f>
        <v>5.7534246575342458E-2</v>
      </c>
      <c r="AR30" s="68"/>
      <c r="AS30" s="80">
        <f t="shared" ref="AS30:AS69" ca="1" si="0">AK30*AQ30</f>
        <v>1.1390463863013707E-5</v>
      </c>
      <c r="AT30" s="68"/>
      <c r="AU30" s="81">
        <v>0</v>
      </c>
      <c r="AW30" s="80">
        <v>0</v>
      </c>
      <c r="AY30" s="82">
        <f ca="1">AU30+AO30</f>
        <v>11.230244082665919</v>
      </c>
      <c r="BA30" s="83">
        <f ca="1">AW30+AS30</f>
        <v>1.1390463863013707E-5</v>
      </c>
    </row>
    <row r="31" spans="9:53" x14ac:dyDescent="0.3"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 t="s">
        <v>208</v>
      </c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80"/>
      <c r="AP31" s="11"/>
      <c r="AQ31" s="69"/>
      <c r="AR31" s="11"/>
      <c r="AS31" s="80"/>
      <c r="AT31" s="11"/>
      <c r="AU31" s="81"/>
      <c r="AW31" s="80"/>
      <c r="AY31" s="83"/>
      <c r="BA31" s="83"/>
    </row>
    <row r="32" spans="9:53" x14ac:dyDescent="0.3"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76">
        <f ca="1" xml:space="preserve"> Prob_Min30_lar16_mtc * RR_Min30_lar16_local</f>
        <v>0.1125</v>
      </c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>
        <f ca="1">O26*T30*Y32</f>
        <v>5.1007500000000046E-4</v>
      </c>
      <c r="AL32" s="11"/>
      <c r="AM32" s="67">
        <f ca="1">M43+R25</f>
        <v>20481.914041695542</v>
      </c>
      <c r="AN32" s="11"/>
      <c r="AO32" s="79">
        <f ca="1">AK32*AM32</f>
        <v>10.447312304817864</v>
      </c>
      <c r="AP32" s="68"/>
      <c r="AQ32" s="69">
        <f>0</f>
        <v>0</v>
      </c>
      <c r="AR32" s="68"/>
      <c r="AS32" s="80">
        <f t="shared" ca="1" si="0"/>
        <v>0</v>
      </c>
      <c r="AT32" s="68"/>
      <c r="AU32" s="81">
        <v>0</v>
      </c>
      <c r="AW32" s="80">
        <v>0</v>
      </c>
      <c r="AY32" s="82">
        <f ca="1">AU32+AO32</f>
        <v>10.447312304817864</v>
      </c>
      <c r="BA32" s="83">
        <f ca="1">AW32+AS32</f>
        <v>0</v>
      </c>
    </row>
    <row r="33" spans="9:53" x14ac:dyDescent="0.3"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80"/>
      <c r="AP33" s="11"/>
      <c r="AQ33" s="69"/>
      <c r="AR33" s="11"/>
      <c r="AS33" s="80"/>
      <c r="AT33" s="11"/>
      <c r="AU33" s="81"/>
      <c r="AW33" s="80"/>
      <c r="AY33" s="83"/>
      <c r="BA33" s="83"/>
    </row>
    <row r="34" spans="9:53" x14ac:dyDescent="0.3"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 t="s">
        <v>196</v>
      </c>
      <c r="AG34" s="11"/>
      <c r="AH34" s="11"/>
      <c r="AI34" s="11"/>
      <c r="AJ34" s="11"/>
      <c r="AK34" s="11"/>
      <c r="AL34" s="11"/>
      <c r="AM34" s="11"/>
      <c r="AN34" s="11"/>
      <c r="AO34" s="80"/>
      <c r="AP34" s="11"/>
      <c r="AQ34" s="69"/>
      <c r="AR34" s="11"/>
      <c r="AS34" s="80"/>
      <c r="AT34" s="11"/>
      <c r="AU34" s="81"/>
      <c r="AW34" s="80"/>
      <c r="AY34" s="83"/>
      <c r="BA34" s="83"/>
    </row>
    <row r="35" spans="9:53" x14ac:dyDescent="0.3"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76">
        <f ca="1">(1 - Prob_Min1y_sma16)</f>
        <v>0.98299999999999998</v>
      </c>
      <c r="AG35" s="11"/>
      <c r="AH35" s="11"/>
      <c r="AI35" s="78">
        <f ca="1">U_sma16*((365-30)/365)</f>
        <v>0.73424657534246585</v>
      </c>
      <c r="AJ35" s="11"/>
      <c r="AK35" s="11">
        <f ca="1">O44*T39*Y37*AF35</f>
        <v>0.11588406128000001</v>
      </c>
      <c r="AL35" s="11"/>
      <c r="AM35" s="67">
        <f ca="1">M43+R43+W38+AD36</f>
        <v>52308.581905781655</v>
      </c>
      <c r="AN35" s="11"/>
      <c r="AO35" s="79">
        <f ca="1">AK35*AM35</f>
        <v>6061.7309110395008</v>
      </c>
      <c r="AP35" s="68"/>
      <c r="AQ35" s="69">
        <f ca="1">AD37+AI35</f>
        <v>0.8</v>
      </c>
      <c r="AR35" s="68"/>
      <c r="AS35" s="80">
        <f t="shared" ca="1" si="0"/>
        <v>9.2707249024000016E-2</v>
      </c>
      <c r="AT35" s="68"/>
      <c r="AU35" s="81">
        <f ca="1">AK35*Cst_sma16_life</f>
        <v>3676.8187891568705</v>
      </c>
      <c r="AW35" s="80">
        <f ca="1">AK35*QALY_sma16_life</f>
        <v>1.1827322200745864</v>
      </c>
      <c r="AY35" s="82">
        <f ca="1">AU35+AO35</f>
        <v>9738.5497001963704</v>
      </c>
      <c r="BA35" s="83">
        <f ca="1">AW35+AS35</f>
        <v>1.2754394690985864</v>
      </c>
    </row>
    <row r="36" spans="9:53" x14ac:dyDescent="0.3"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 t="s">
        <v>200</v>
      </c>
      <c r="Z36" s="11"/>
      <c r="AA36" s="11"/>
      <c r="AB36" s="11"/>
      <c r="AC36" s="11"/>
      <c r="AD36" s="77">
        <f ca="1">Cst_post_lar16_mtc</f>
        <v>36915.462885387984</v>
      </c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80"/>
      <c r="AP36" s="11"/>
      <c r="AQ36" s="69"/>
      <c r="AR36" s="11"/>
      <c r="AS36" s="80"/>
      <c r="AT36" s="11"/>
      <c r="AU36" s="81"/>
      <c r="AW36" s="80"/>
      <c r="AY36" s="83"/>
      <c r="BA36" s="83"/>
    </row>
    <row r="37" spans="9:53" x14ac:dyDescent="0.3"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76">
        <f ca="1">(1 - Prob_Min30_sma16)</f>
        <v>0.98799999999999999</v>
      </c>
      <c r="Z37" s="11"/>
      <c r="AA37" s="11"/>
      <c r="AB37" s="11"/>
      <c r="AC37" s="11"/>
      <c r="AD37" s="78">
        <f ca="1">U_sma16*(30/365)</f>
        <v>6.575342465753424E-2</v>
      </c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80"/>
      <c r="AP37" s="11"/>
      <c r="AQ37" s="69"/>
      <c r="AR37" s="11"/>
      <c r="AS37" s="80"/>
      <c r="AT37" s="11"/>
      <c r="AU37" s="81"/>
      <c r="AW37" s="80"/>
      <c r="AY37" s="83"/>
      <c r="BA37" s="83"/>
    </row>
    <row r="38" spans="9:53" x14ac:dyDescent="0.3"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 t="s">
        <v>219</v>
      </c>
      <c r="U38" s="11"/>
      <c r="V38" s="11"/>
      <c r="W38" s="77">
        <f>Cst_lar16_MTC</f>
        <v>3342</v>
      </c>
      <c r="X38" s="11"/>
      <c r="Y38" s="11"/>
      <c r="Z38" s="11"/>
      <c r="AA38" s="11"/>
      <c r="AB38" s="11"/>
      <c r="AC38" s="11"/>
      <c r="AD38" s="11"/>
      <c r="AE38" s="11"/>
      <c r="AF38" s="11" t="s">
        <v>201</v>
      </c>
      <c r="AG38" s="11"/>
      <c r="AH38" s="11"/>
      <c r="AI38" s="11"/>
      <c r="AJ38" s="11"/>
      <c r="AK38" s="11"/>
      <c r="AL38" s="11"/>
      <c r="AM38" s="11"/>
      <c r="AN38" s="11"/>
      <c r="AO38" s="80"/>
      <c r="AP38" s="11"/>
      <c r="AQ38" s="69"/>
      <c r="AR38" s="11"/>
      <c r="AS38" s="80"/>
      <c r="AT38" s="11"/>
      <c r="AU38" s="81"/>
      <c r="AW38" s="80"/>
      <c r="AY38" s="83"/>
      <c r="BA38" s="83"/>
    </row>
    <row r="39" spans="9:53" x14ac:dyDescent="0.3"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76">
        <f ca="1">(1-Prob_R1_spe)</f>
        <v>0.8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76">
        <f ca="1">Prob_Min1y_sma16</f>
        <v>1.7000000000000001E-2</v>
      </c>
      <c r="AG39" s="11"/>
      <c r="AH39" s="11"/>
      <c r="AI39" s="11"/>
      <c r="AJ39" s="11"/>
      <c r="AK39" s="11">
        <f ca="1">O44*T39*Y37*AF39</f>
        <v>2.0040987200000003E-3</v>
      </c>
      <c r="AL39" s="11"/>
      <c r="AM39" s="67">
        <f ca="1">M43+R43+W38+AD36</f>
        <v>52308.581905781655</v>
      </c>
      <c r="AN39" s="11"/>
      <c r="AO39" s="79">
        <f ca="1">AK39*AM39</f>
        <v>104.83156204239219</v>
      </c>
      <c r="AP39" s="68"/>
      <c r="AQ39" s="69">
        <f ca="1">AD37</f>
        <v>6.575342465753424E-2</v>
      </c>
      <c r="AR39" s="68"/>
      <c r="AS39" s="80">
        <f t="shared" ca="1" si="0"/>
        <v>1.3177635419178084E-4</v>
      </c>
      <c r="AT39" s="68"/>
      <c r="AU39" s="81">
        <v>0</v>
      </c>
      <c r="AW39" s="80">
        <v>0</v>
      </c>
      <c r="AY39" s="82">
        <f ca="1">AU39+AO39</f>
        <v>104.83156204239219</v>
      </c>
      <c r="BA39" s="83">
        <f ca="1">AW39+AS39</f>
        <v>1.3177635419178084E-4</v>
      </c>
    </row>
    <row r="40" spans="9:53" x14ac:dyDescent="0.3"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 t="s">
        <v>202</v>
      </c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80"/>
      <c r="AP40" s="11"/>
      <c r="AQ40" s="69"/>
      <c r="AR40" s="11"/>
      <c r="AS40" s="80"/>
      <c r="AT40" s="11"/>
      <c r="AU40" s="81"/>
      <c r="AW40" s="80"/>
      <c r="AY40" s="83"/>
      <c r="BA40" s="83"/>
    </row>
    <row r="41" spans="9:53" x14ac:dyDescent="0.3"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76">
        <f ca="1">Prob_Min30_sma16</f>
        <v>1.2E-2</v>
      </c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>
        <f ca="1">O44*T39*Y41</f>
        <v>1.4318400000000002E-3</v>
      </c>
      <c r="AL41" s="11"/>
      <c r="AM41" s="67">
        <f ca="1">M43+R43+W38</f>
        <v>15393.119020393675</v>
      </c>
      <c r="AN41" s="11"/>
      <c r="AO41" s="79">
        <f ca="1">AK41*AM41</f>
        <v>22.040483538160483</v>
      </c>
      <c r="AP41" s="68"/>
      <c r="AQ41" s="69">
        <v>0</v>
      </c>
      <c r="AR41" s="68"/>
      <c r="AS41" s="80">
        <v>0</v>
      </c>
      <c r="AT41" s="68"/>
      <c r="AU41" s="81">
        <v>0</v>
      </c>
      <c r="AW41" s="80">
        <v>0</v>
      </c>
      <c r="AY41" s="82">
        <f ca="1">AU41+AO41</f>
        <v>22.040483538160483</v>
      </c>
      <c r="BA41" s="83">
        <f>AW41+AS41</f>
        <v>0</v>
      </c>
    </row>
    <row r="42" spans="9:53" x14ac:dyDescent="0.3">
      <c r="I42" s="11"/>
      <c r="J42" s="11"/>
      <c r="K42" s="11"/>
      <c r="L42" s="11"/>
      <c r="M42" s="11"/>
      <c r="N42" s="11"/>
      <c r="O42" s="11" t="s">
        <v>209</v>
      </c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80"/>
      <c r="AP42" s="11"/>
      <c r="AQ42" s="69"/>
      <c r="AR42" s="11"/>
      <c r="AS42" s="80"/>
      <c r="AT42" s="11"/>
      <c r="AU42" s="81"/>
      <c r="AW42" s="80"/>
      <c r="AY42" s="83"/>
      <c r="BA42" s="83"/>
    </row>
    <row r="43" spans="9:53" x14ac:dyDescent="0.3">
      <c r="I43" s="11"/>
      <c r="J43" s="11" t="s">
        <v>210</v>
      </c>
      <c r="K43" s="11"/>
      <c r="L43" s="11"/>
      <c r="M43" s="92">
        <f ca="1">Cst_R1+Cst_amb</f>
        <v>2429.0228622680002</v>
      </c>
      <c r="N43" s="11"/>
      <c r="O43" s="11" t="s">
        <v>211</v>
      </c>
      <c r="P43" s="11"/>
      <c r="Q43" s="11"/>
      <c r="R43" s="77">
        <f ca="1">Cst_btw916_hosp</f>
        <v>9622.0961581256743</v>
      </c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 t="s">
        <v>205</v>
      </c>
      <c r="AG43" s="11"/>
      <c r="AH43" s="11"/>
      <c r="AI43" s="11"/>
      <c r="AJ43" s="11"/>
      <c r="AK43" s="11"/>
      <c r="AL43" s="11"/>
      <c r="AM43" s="11"/>
      <c r="AN43" s="11"/>
      <c r="AO43" s="80"/>
      <c r="AP43" s="11"/>
      <c r="AQ43" s="69"/>
      <c r="AR43" s="11"/>
      <c r="AS43" s="80"/>
      <c r="AT43" s="11"/>
      <c r="AU43" s="81"/>
      <c r="AW43" s="80"/>
      <c r="AY43" s="83"/>
      <c r="BA43" s="83"/>
    </row>
    <row r="44" spans="9:53" x14ac:dyDescent="0.3">
      <c r="I44" s="11"/>
      <c r="J44" s="11" t="s">
        <v>212</v>
      </c>
      <c r="K44" s="11"/>
      <c r="L44" s="11"/>
      <c r="M44" s="11"/>
      <c r="N44" s="11"/>
      <c r="O44" s="76">
        <f>Prob_ISS_btw916</f>
        <v>0.14915</v>
      </c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76">
        <f ca="1">(1 - Prob_Min1y_sma16 * RR_Min1y_lar16_local)</f>
        <v>0.97211999999999998</v>
      </c>
      <c r="AG44" s="11"/>
      <c r="AH44" s="11"/>
      <c r="AI44" s="78">
        <f ca="1">U_sma16*((365-30)/365)</f>
        <v>0.73424657534246585</v>
      </c>
      <c r="AJ44" s="11"/>
      <c r="AK44" s="11">
        <f ca="1">O44*T48*Y46*AF44</f>
        <v>2.8606862015400001E-2</v>
      </c>
      <c r="AL44" s="11"/>
      <c r="AM44" s="67">
        <f ca="1">M43+R43+AD45</f>
        <v>48294.167186025588</v>
      </c>
      <c r="AN44" s="11"/>
      <c r="AO44" s="79">
        <f ca="1">AK44*AM44</f>
        <v>1381.5445768392926</v>
      </c>
      <c r="AP44" s="68"/>
      <c r="AQ44" s="69">
        <f ca="1">AD46+AI44</f>
        <v>0.8</v>
      </c>
      <c r="AR44" s="68"/>
      <c r="AS44" s="80">
        <f t="shared" ca="1" si="0"/>
        <v>2.2885489612320002E-2</v>
      </c>
      <c r="AT44" s="68"/>
      <c r="AU44" s="81">
        <f ca="1">AK44*Cst_sma16_life</f>
        <v>907.65068634329714</v>
      </c>
      <c r="AW44" s="80">
        <f ca="1">AK44*QALY_sma16_life</f>
        <v>0.29196644514460707</v>
      </c>
      <c r="AY44" s="82">
        <f ca="1">AU44+AO44</f>
        <v>2289.1952631825898</v>
      </c>
      <c r="BA44" s="83">
        <f ca="1">AW44+AS44</f>
        <v>0.31485193475692708</v>
      </c>
    </row>
    <row r="45" spans="9:53" x14ac:dyDescent="0.3">
      <c r="I45" s="11"/>
      <c r="J45" s="11" t="s">
        <v>213</v>
      </c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 t="s">
        <v>206</v>
      </c>
      <c r="Z45" s="11"/>
      <c r="AA45" s="11"/>
      <c r="AB45" s="11"/>
      <c r="AC45" s="11"/>
      <c r="AD45" s="77">
        <f ca="1">Cst_post_lar16_local</f>
        <v>36243.04816563191</v>
      </c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80"/>
      <c r="AP45" s="11"/>
      <c r="AQ45" s="69"/>
      <c r="AR45" s="11"/>
      <c r="AS45" s="80"/>
      <c r="AT45" s="11"/>
      <c r="AU45" s="81"/>
      <c r="AW45" s="80"/>
      <c r="AY45" s="83"/>
      <c r="BA45" s="83"/>
    </row>
    <row r="46" spans="9:53" x14ac:dyDescent="0.3"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76">
        <f ca="1">(1 - Prob_Min30_sma16 * RR_Min30_lar16_local)</f>
        <v>0.98650000000000004</v>
      </c>
      <c r="Z46" s="11"/>
      <c r="AA46" s="11"/>
      <c r="AB46" s="11"/>
      <c r="AC46" s="11"/>
      <c r="AD46" s="78">
        <f ca="1">U_sma16*(30/365)</f>
        <v>6.575342465753424E-2</v>
      </c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80"/>
      <c r="AP46" s="11"/>
      <c r="AQ46" s="69"/>
      <c r="AR46" s="11"/>
      <c r="AS46" s="80"/>
      <c r="AT46" s="11"/>
      <c r="AU46" s="81"/>
      <c r="AW46" s="80"/>
      <c r="AY46" s="83"/>
      <c r="BA46" s="83"/>
    </row>
    <row r="47" spans="9:53" x14ac:dyDescent="0.3"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 t="s">
        <v>220</v>
      </c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 t="s">
        <v>207</v>
      </c>
      <c r="AG47" s="11"/>
      <c r="AH47" s="11"/>
      <c r="AI47" s="11"/>
      <c r="AJ47" s="11"/>
      <c r="AK47" s="11"/>
      <c r="AL47" s="11"/>
      <c r="AM47" s="11"/>
      <c r="AN47" s="11"/>
      <c r="AO47" s="80"/>
      <c r="AP47" s="11"/>
      <c r="AQ47" s="69"/>
      <c r="AR47" s="11"/>
      <c r="AS47" s="80"/>
      <c r="AT47" s="11"/>
      <c r="AU47" s="81"/>
      <c r="AW47" s="80"/>
      <c r="AY47" s="83"/>
      <c r="BA47" s="83"/>
    </row>
    <row r="48" spans="9:53" x14ac:dyDescent="0.3"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76">
        <f ca="1">Prob_R1_spe</f>
        <v>0.2</v>
      </c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76">
        <f ca="1">Prob_Min1y_sma16 * RR_Min1y_lar16_local</f>
        <v>2.7880000000000002E-2</v>
      </c>
      <c r="AG48" s="11"/>
      <c r="AH48" s="11"/>
      <c r="AI48" s="11"/>
      <c r="AJ48" s="11"/>
      <c r="AK48" s="11">
        <f ca="1">O44*T48*Y46*AF48</f>
        <v>8.2043298460000012E-4</v>
      </c>
      <c r="AL48" s="11"/>
      <c r="AM48" s="67">
        <f ca="1">M43+R43+AD45</f>
        <v>48294.167186025588</v>
      </c>
      <c r="AN48" s="11"/>
      <c r="AO48" s="79">
        <f ca="1">AK48*AM48</f>
        <v>39.622127723202361</v>
      </c>
      <c r="AP48" s="68"/>
      <c r="AQ48" s="69">
        <f ca="1">AD46</f>
        <v>6.575342465753424E-2</v>
      </c>
      <c r="AR48" s="68"/>
      <c r="AS48" s="80">
        <f t="shared" ca="1" si="0"/>
        <v>5.3946278439452059E-5</v>
      </c>
      <c r="AT48" s="68"/>
      <c r="AU48" s="81">
        <v>0</v>
      </c>
      <c r="AW48" s="80">
        <v>0</v>
      </c>
      <c r="AY48" s="82">
        <f ca="1">AU48+AO48</f>
        <v>39.622127723202361</v>
      </c>
      <c r="BA48" s="83">
        <f ca="1">AW48+AS48</f>
        <v>5.3946278439452059E-5</v>
      </c>
    </row>
    <row r="49" spans="9:53" x14ac:dyDescent="0.3"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 t="s">
        <v>208</v>
      </c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80"/>
      <c r="AP49" s="11"/>
      <c r="AQ49" s="69"/>
      <c r="AR49" s="11"/>
      <c r="AS49" s="80"/>
      <c r="AT49" s="11"/>
      <c r="AU49" s="81"/>
      <c r="AW49" s="80"/>
      <c r="AY49" s="83"/>
      <c r="BA49" s="83"/>
    </row>
    <row r="50" spans="9:53" x14ac:dyDescent="0.3"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76">
        <f ca="1">Prob_Min30_sma16 * RR_Min30_lar16_local</f>
        <v>1.35E-2</v>
      </c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>
        <f ca="1">O44*T48*Y50</f>
        <v>4.02705E-4</v>
      </c>
      <c r="AL50" s="11"/>
      <c r="AM50" s="67">
        <f ca="1">M43+R43</f>
        <v>12051.119020393675</v>
      </c>
      <c r="AN50" s="11"/>
      <c r="AO50" s="79">
        <f ca="1">AK50*AM50</f>
        <v>4.853045885107635</v>
      </c>
      <c r="AP50" s="68"/>
      <c r="AQ50" s="69">
        <f>0</f>
        <v>0</v>
      </c>
      <c r="AR50" s="68"/>
      <c r="AS50" s="80">
        <f t="shared" ca="1" si="0"/>
        <v>0</v>
      </c>
      <c r="AT50" s="68"/>
      <c r="AU50" s="81">
        <v>0</v>
      </c>
      <c r="AW50" s="80">
        <v>0</v>
      </c>
      <c r="AY50" s="82">
        <f ca="1">AU50+AO50</f>
        <v>4.853045885107635</v>
      </c>
      <c r="BA50" s="83">
        <f ca="1">AW50+AS50</f>
        <v>0</v>
      </c>
    </row>
    <row r="51" spans="9:53" x14ac:dyDescent="0.3"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80"/>
      <c r="AP51" s="11"/>
      <c r="AQ51" s="69"/>
      <c r="AR51" s="11"/>
      <c r="AS51" s="80"/>
      <c r="AT51" s="11"/>
      <c r="AU51" s="81"/>
      <c r="AW51" s="80"/>
      <c r="AY51" s="83"/>
      <c r="BA51" s="83"/>
    </row>
    <row r="52" spans="9:53" x14ac:dyDescent="0.3"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80"/>
      <c r="AP52" s="11"/>
      <c r="AQ52" s="69"/>
      <c r="AR52" s="11"/>
      <c r="AS52" s="80"/>
      <c r="AT52" s="11"/>
      <c r="AU52" s="81"/>
      <c r="AW52" s="80"/>
      <c r="AY52" s="83"/>
      <c r="BA52" s="83"/>
    </row>
    <row r="53" spans="9:53" x14ac:dyDescent="0.3"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 t="s">
        <v>196</v>
      </c>
      <c r="AG53" s="11"/>
      <c r="AH53" s="11"/>
      <c r="AI53" s="11"/>
      <c r="AJ53" s="11"/>
      <c r="AK53" s="11"/>
      <c r="AL53" s="11"/>
      <c r="AM53" s="11"/>
      <c r="AN53" s="11"/>
      <c r="AO53" s="80"/>
      <c r="AP53" s="11"/>
      <c r="AQ53" s="69"/>
      <c r="AR53" s="11"/>
      <c r="AS53" s="80"/>
      <c r="AT53" s="11"/>
      <c r="AU53" s="81"/>
      <c r="AW53" s="80"/>
      <c r="AY53" s="83"/>
      <c r="BA53" s="83"/>
    </row>
    <row r="54" spans="9:53" x14ac:dyDescent="0.3"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76">
        <f ca="1">(1 - Prob_Min1y_sma16)</f>
        <v>0.98299999999999998</v>
      </c>
      <c r="AG54" s="11"/>
      <c r="AH54" s="11"/>
      <c r="AI54" s="78">
        <f ca="1">U_sma16*((365-30)/365)</f>
        <v>0.73424657534246585</v>
      </c>
      <c r="AJ54" s="11"/>
      <c r="AK54" s="11">
        <f ca="1">O63*T58*Y56*AF54</f>
        <v>0.59062411574399998</v>
      </c>
      <c r="AL54" s="11"/>
      <c r="AM54" s="67">
        <f ca="1">M42+M43+W57+AD55</f>
        <v>42686.485747655985</v>
      </c>
      <c r="AN54" s="11"/>
      <c r="AO54" s="79">
        <f ca="1">AK54*AM54</f>
        <v>25211.667898928175</v>
      </c>
      <c r="AP54" s="68"/>
      <c r="AQ54" s="69">
        <f ca="1">AD56+AI54</f>
        <v>0.8</v>
      </c>
      <c r="AR54" s="68"/>
      <c r="AS54" s="80">
        <f t="shared" ca="1" si="0"/>
        <v>0.47249929259520002</v>
      </c>
      <c r="AT54" s="68"/>
      <c r="AU54" s="81">
        <f ca="1">AK54*Cst_sma16_life</f>
        <v>18739.573174343801</v>
      </c>
      <c r="AW54" s="80">
        <f ca="1">AK54*QALY_sma16_life</f>
        <v>6.0280090629171861</v>
      </c>
      <c r="AY54" s="82">
        <f ca="1">AU54+AO54</f>
        <v>43951.241073271973</v>
      </c>
      <c r="BA54" s="83">
        <f ca="1">AW54+AS54</f>
        <v>6.5005083555123857</v>
      </c>
    </row>
    <row r="55" spans="9:53" x14ac:dyDescent="0.3"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 t="s">
        <v>200</v>
      </c>
      <c r="Z55" s="11"/>
      <c r="AA55" s="11"/>
      <c r="AB55" s="11"/>
      <c r="AC55" s="11"/>
      <c r="AD55" s="77">
        <f ca="1">Cst_post_lar16_mtc</f>
        <v>36915.462885387984</v>
      </c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80"/>
      <c r="AP55" s="11"/>
      <c r="AQ55" s="69"/>
      <c r="AR55" s="11"/>
      <c r="AS55" s="80"/>
      <c r="AT55" s="11"/>
      <c r="AU55" s="81"/>
      <c r="AW55" s="80"/>
      <c r="AY55" s="83"/>
      <c r="BA55" s="83"/>
    </row>
    <row r="56" spans="9:53" x14ac:dyDescent="0.3"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76">
        <f ca="1">(1 - Prob_Min30_sma16)</f>
        <v>0.98799999999999999</v>
      </c>
      <c r="Z56" s="11"/>
      <c r="AA56" s="11"/>
      <c r="AB56" s="11"/>
      <c r="AC56" s="11"/>
      <c r="AD56" s="78">
        <f ca="1">U_sma16*(30/365)</f>
        <v>6.575342465753424E-2</v>
      </c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80"/>
      <c r="AP56" s="11"/>
      <c r="AQ56" s="69"/>
      <c r="AR56" s="11"/>
      <c r="AS56" s="80"/>
      <c r="AT56" s="11"/>
      <c r="AU56" s="81"/>
      <c r="AW56" s="80"/>
      <c r="AY56" s="83"/>
      <c r="BA56" s="83"/>
    </row>
    <row r="57" spans="9:53" x14ac:dyDescent="0.3"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 t="s">
        <v>219</v>
      </c>
      <c r="U57" s="11"/>
      <c r="V57" s="11"/>
      <c r="W57" s="77">
        <f>Cst_lar16_MTC</f>
        <v>3342</v>
      </c>
      <c r="X57" s="11"/>
      <c r="Y57" s="11"/>
      <c r="Z57" s="11"/>
      <c r="AA57" s="11"/>
      <c r="AB57" s="11"/>
      <c r="AC57" s="11"/>
      <c r="AD57" s="11"/>
      <c r="AE57" s="11"/>
      <c r="AF57" s="11" t="s">
        <v>201</v>
      </c>
      <c r="AG57" s="11"/>
      <c r="AH57" s="11"/>
      <c r="AI57" s="11"/>
      <c r="AJ57" s="11"/>
      <c r="AK57" s="11"/>
      <c r="AL57" s="11"/>
      <c r="AM57" s="11"/>
      <c r="AN57" s="11"/>
      <c r="AO57" s="80"/>
      <c r="AP57" s="11"/>
      <c r="AQ57" s="69"/>
      <c r="AR57" s="11"/>
      <c r="AS57" s="80"/>
      <c r="AT57" s="11"/>
      <c r="AU57" s="81"/>
      <c r="AW57" s="80"/>
      <c r="AY57" s="83"/>
      <c r="BA57" s="83"/>
    </row>
    <row r="58" spans="9:53" x14ac:dyDescent="0.3"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76">
        <f ca="1">(1-Prob_R1_spe)</f>
        <v>0.8</v>
      </c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76">
        <f ca="1">Prob_Min1y_sma16</f>
        <v>1.7000000000000001E-2</v>
      </c>
      <c r="AG58" s="11"/>
      <c r="AH58" s="11"/>
      <c r="AI58" s="11"/>
      <c r="AJ58" s="11"/>
      <c r="AK58" s="11">
        <f ca="1">O63*T58*Y56*AF58</f>
        <v>1.0214252256000001E-2</v>
      </c>
      <c r="AL58" s="11"/>
      <c r="AM58" s="67">
        <f ca="1">M42+M43+W57+AD55</f>
        <v>42686.485747655985</v>
      </c>
      <c r="AN58" s="11"/>
      <c r="AO58" s="79">
        <f ca="1">AK58*AM58</f>
        <v>436.01053334870704</v>
      </c>
      <c r="AP58" s="68"/>
      <c r="AQ58" s="69">
        <f ca="1">AD56</f>
        <v>6.575342465753424E-2</v>
      </c>
      <c r="AR58" s="68"/>
      <c r="AS58" s="80">
        <f t="shared" ca="1" si="0"/>
        <v>6.7162206614794517E-4</v>
      </c>
      <c r="AT58" s="68"/>
      <c r="AU58" s="81">
        <v>0</v>
      </c>
      <c r="AW58" s="80">
        <v>0</v>
      </c>
      <c r="AY58" s="82">
        <f ca="1">AU58+AO58</f>
        <v>436.01053334870704</v>
      </c>
      <c r="BA58" s="83">
        <f ca="1">AW58+AS58</f>
        <v>6.7162206614794517E-4</v>
      </c>
    </row>
    <row r="59" spans="9:53" x14ac:dyDescent="0.3">
      <c r="I59" s="11"/>
      <c r="J59" s="11"/>
      <c r="K59" s="11"/>
      <c r="L59" s="11"/>
      <c r="M59" s="65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 t="s">
        <v>202</v>
      </c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80"/>
      <c r="AP59" s="11"/>
      <c r="AQ59" s="69"/>
      <c r="AR59" s="11"/>
      <c r="AS59" s="80"/>
      <c r="AT59" s="11"/>
      <c r="AU59" s="81"/>
      <c r="AW59" s="80"/>
      <c r="AY59" s="83"/>
      <c r="BA59" s="83"/>
    </row>
    <row r="60" spans="9:53" x14ac:dyDescent="0.3">
      <c r="I60" s="11"/>
      <c r="J60" s="11"/>
      <c r="K60" s="11"/>
      <c r="L60" s="11"/>
      <c r="M60" s="65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76">
        <f ca="1">Prob_Min30_sma16</f>
        <v>1.2E-2</v>
      </c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>
        <f ca="1">O63*T58*Y60</f>
        <v>7.2976320000000001E-3</v>
      </c>
      <c r="AL60" s="11"/>
      <c r="AM60" s="67">
        <f ca="1">M42+M43+W57</f>
        <v>5771.0228622680006</v>
      </c>
      <c r="AN60" s="11"/>
      <c r="AO60" s="79">
        <f ca="1">AK60*AM60</f>
        <v>42.114801112418554</v>
      </c>
      <c r="AP60" s="68"/>
      <c r="AQ60" s="69">
        <f>0</f>
        <v>0</v>
      </c>
      <c r="AR60" s="68"/>
      <c r="AS60" s="80">
        <f t="shared" ca="1" si="0"/>
        <v>0</v>
      </c>
      <c r="AT60" s="68"/>
      <c r="AU60" s="81">
        <v>0</v>
      </c>
      <c r="AW60" s="80">
        <v>0</v>
      </c>
      <c r="AY60" s="82">
        <f ca="1">AU60+AO60</f>
        <v>42.114801112418554</v>
      </c>
      <c r="BA60" s="83">
        <f ca="1">AW60+AS60</f>
        <v>0</v>
      </c>
    </row>
    <row r="61" spans="9:53" x14ac:dyDescent="0.3">
      <c r="I61" s="11"/>
      <c r="J61" s="11"/>
      <c r="K61" s="11"/>
      <c r="L61" s="11"/>
      <c r="M61" s="65"/>
      <c r="N61" s="11"/>
      <c r="O61" s="11" t="s">
        <v>214</v>
      </c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80"/>
      <c r="AP61" s="11"/>
      <c r="AQ61" s="69"/>
      <c r="AR61" s="11"/>
      <c r="AS61" s="80"/>
      <c r="AT61" s="11"/>
      <c r="AU61" s="81"/>
      <c r="AW61" s="80"/>
      <c r="AY61" s="83"/>
      <c r="BA61" s="83"/>
    </row>
    <row r="62" spans="9:53" x14ac:dyDescent="0.3">
      <c r="I62" s="11"/>
      <c r="J62" s="11"/>
      <c r="K62" s="11"/>
      <c r="L62" s="11"/>
      <c r="M62" s="65"/>
      <c r="N62" s="11"/>
      <c r="O62" s="11" t="s">
        <v>215</v>
      </c>
      <c r="P62" s="11"/>
      <c r="Q62" s="11"/>
      <c r="R62" s="77">
        <f ca="1">Cst_sma9_hosp</f>
        <v>10365.078230981773</v>
      </c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 t="s">
        <v>205</v>
      </c>
      <c r="AG62" s="11"/>
      <c r="AH62" s="11"/>
      <c r="AI62" s="11"/>
      <c r="AJ62" s="11"/>
      <c r="AK62" s="11"/>
      <c r="AL62" s="11"/>
      <c r="AM62" s="11"/>
      <c r="AN62" s="11"/>
      <c r="AO62" s="80"/>
      <c r="AP62" s="11"/>
      <c r="AQ62" s="69"/>
      <c r="AR62" s="11"/>
      <c r="AS62" s="80"/>
      <c r="AT62" s="11"/>
      <c r="AU62" s="81"/>
      <c r="AW62" s="80"/>
      <c r="AY62" s="83"/>
      <c r="BA62" s="83"/>
    </row>
    <row r="63" spans="9:53" x14ac:dyDescent="0.3">
      <c r="I63" s="11"/>
      <c r="J63" s="11"/>
      <c r="K63" s="11"/>
      <c r="L63" s="11"/>
      <c r="M63" s="65"/>
      <c r="N63" s="11"/>
      <c r="O63" s="76">
        <f>Prob_ISS_sma9</f>
        <v>0.76017000000000001</v>
      </c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76">
        <f ca="1">(1 - Prob_Min1y_sma16 * RR_Min1y_lar16_local)</f>
        <v>0.97211999999999998</v>
      </c>
      <c r="AG63" s="11"/>
      <c r="AH63" s="11"/>
      <c r="AI63" s="78">
        <f ca="1">U_sma16*((365-30)/365)</f>
        <v>0.73424657534246585</v>
      </c>
      <c r="AJ63" s="11"/>
      <c r="AK63" s="11">
        <f ca="1">O63*T67*Y65*AF63</f>
        <v>0.14580005563692</v>
      </c>
      <c r="AL63" s="11"/>
      <c r="AM63" s="67">
        <f ca="1">M43+R62+AD64</f>
        <v>49037.149258881684</v>
      </c>
      <c r="AN63" s="11"/>
      <c r="AO63" s="79">
        <f ca="1">AK63*AM63</f>
        <v>7149.6190902209</v>
      </c>
      <c r="AP63" s="11"/>
      <c r="AQ63" s="69">
        <f ca="1">AD65+AI63</f>
        <v>0.8</v>
      </c>
      <c r="AR63" s="11"/>
      <c r="AS63" s="80">
        <f t="shared" ca="1" si="0"/>
        <v>0.11664004450953601</v>
      </c>
      <c r="AT63" s="11"/>
      <c r="AU63" s="81">
        <f ca="1">AK63*Cst_sma16_life</f>
        <v>4626.0061832891997</v>
      </c>
      <c r="AW63" s="80">
        <f ca="1">AK63*QALY_sma16_life</f>
        <v>1.488059890080965</v>
      </c>
      <c r="AY63" s="82">
        <f ca="1">AU63+AO63</f>
        <v>11775.625273510101</v>
      </c>
      <c r="BA63" s="83">
        <f ca="1">AW63+AS63</f>
        <v>1.6046999345905009</v>
      </c>
    </row>
    <row r="64" spans="9:53" x14ac:dyDescent="0.3">
      <c r="I64" s="11"/>
      <c r="J64" s="11"/>
      <c r="K64" s="11"/>
      <c r="L64" s="11"/>
      <c r="M64" s="65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 t="s">
        <v>206</v>
      </c>
      <c r="Z64" s="11"/>
      <c r="AA64" s="11"/>
      <c r="AB64" s="11"/>
      <c r="AC64" s="11"/>
      <c r="AD64" s="77">
        <f ca="1">Cst_post_lar16_local</f>
        <v>36243.04816563191</v>
      </c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80"/>
      <c r="AP64" s="11"/>
      <c r="AQ64" s="69"/>
      <c r="AR64" s="11"/>
      <c r="AS64" s="80"/>
      <c r="AT64" s="11"/>
      <c r="AU64" s="81"/>
      <c r="AW64" s="80"/>
      <c r="AY64" s="83"/>
      <c r="BA64" s="83"/>
    </row>
    <row r="65" spans="9:54" x14ac:dyDescent="0.3">
      <c r="I65" s="11"/>
      <c r="J65" s="11"/>
      <c r="K65" s="11"/>
      <c r="L65" s="11"/>
      <c r="M65" s="65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76">
        <f ca="1">(1 - Prob_Min30_sma16 * RR_Min30_lar16_local)</f>
        <v>0.98650000000000004</v>
      </c>
      <c r="Z65" s="11"/>
      <c r="AA65" s="11"/>
      <c r="AB65" s="11"/>
      <c r="AC65" s="11"/>
      <c r="AD65" s="78">
        <f ca="1">U_sma16*(30/365)</f>
        <v>6.575342465753424E-2</v>
      </c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80"/>
      <c r="AP65" s="11"/>
      <c r="AQ65" s="69"/>
      <c r="AR65" s="11"/>
      <c r="AS65" s="80"/>
      <c r="AT65" s="11"/>
      <c r="AU65" s="81"/>
      <c r="AW65" s="80"/>
      <c r="AY65" s="83"/>
      <c r="BA65" s="83"/>
    </row>
    <row r="66" spans="9:54" x14ac:dyDescent="0.3">
      <c r="I66" s="11"/>
      <c r="J66" s="11"/>
      <c r="K66" s="11"/>
      <c r="L66" s="11"/>
      <c r="M66" s="65"/>
      <c r="N66" s="11"/>
      <c r="O66" s="11"/>
      <c r="P66" s="11"/>
      <c r="Q66" s="11"/>
      <c r="R66" s="11"/>
      <c r="S66" s="11"/>
      <c r="T66" s="11" t="s">
        <v>220</v>
      </c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 t="s">
        <v>207</v>
      </c>
      <c r="AG66" s="11"/>
      <c r="AH66" s="11"/>
      <c r="AI66" s="11"/>
      <c r="AJ66" s="11"/>
      <c r="AK66" s="11"/>
      <c r="AL66" s="11"/>
      <c r="AM66" s="11"/>
      <c r="AN66" s="11"/>
      <c r="AO66" s="80"/>
      <c r="AP66" s="11"/>
      <c r="AQ66" s="69"/>
      <c r="AR66" s="11"/>
      <c r="AS66" s="80"/>
      <c r="AT66" s="11"/>
      <c r="AU66" s="81"/>
      <c r="AW66" s="80"/>
      <c r="AY66" s="83"/>
      <c r="BA66" s="83"/>
    </row>
    <row r="67" spans="9:54" x14ac:dyDescent="0.3">
      <c r="I67" s="11"/>
      <c r="J67" s="11"/>
      <c r="K67" s="11"/>
      <c r="L67" s="11"/>
      <c r="M67" s="65"/>
      <c r="N67" s="11"/>
      <c r="O67" s="11"/>
      <c r="P67" s="11"/>
      <c r="Q67" s="11"/>
      <c r="R67" s="11"/>
      <c r="S67" s="11"/>
      <c r="T67" s="76">
        <f ca="1" xml:space="preserve"> Prob_R1_spe</f>
        <v>0.2</v>
      </c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76">
        <f ca="1">Prob_Min1y_sma16 * RR_Min1y_lar16_local</f>
        <v>2.7880000000000002E-2</v>
      </c>
      <c r="AG67" s="11"/>
      <c r="AH67" s="11"/>
      <c r="AI67" s="11"/>
      <c r="AJ67" s="11"/>
      <c r="AK67" s="11">
        <f ca="1">O63*T67*Y65*AF67</f>
        <v>4.1814853630800005E-3</v>
      </c>
      <c r="AL67" s="11"/>
      <c r="AM67" s="67">
        <f ca="1">M43+R62+AD64</f>
        <v>49037.149258881684</v>
      </c>
      <c r="AN67" s="11"/>
      <c r="AO67" s="79">
        <f ca="1">AK67*AM67</f>
        <v>205.04812187318305</v>
      </c>
      <c r="AP67" s="11"/>
      <c r="AQ67" s="69">
        <f ca="1">AD65</f>
        <v>6.575342465753424E-2</v>
      </c>
      <c r="AR67" s="11"/>
      <c r="AS67" s="80">
        <f t="shared" ca="1" si="0"/>
        <v>2.7494698277786303E-4</v>
      </c>
      <c r="AT67" s="11"/>
      <c r="AU67" s="81">
        <v>0</v>
      </c>
      <c r="AW67" s="80">
        <v>0</v>
      </c>
      <c r="AY67" s="82">
        <f ca="1">AU67+AO67</f>
        <v>205.04812187318305</v>
      </c>
      <c r="BA67" s="83">
        <f ca="1">AW67+AS67</f>
        <v>2.7494698277786303E-4</v>
      </c>
    </row>
    <row r="68" spans="9:54" x14ac:dyDescent="0.3">
      <c r="I68" s="11"/>
      <c r="J68" s="11"/>
      <c r="K68" s="11"/>
      <c r="L68" s="11"/>
      <c r="M68" s="65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 t="s">
        <v>208</v>
      </c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80"/>
      <c r="AP68" s="11"/>
      <c r="AQ68" s="69"/>
      <c r="AR68" s="11"/>
      <c r="AS68" s="80"/>
      <c r="AT68" s="11"/>
      <c r="AU68" s="81"/>
      <c r="AW68" s="80"/>
      <c r="AY68" s="83"/>
      <c r="BA68" s="83"/>
    </row>
    <row r="69" spans="9:54" x14ac:dyDescent="0.3">
      <c r="I69" s="11"/>
      <c r="J69" s="11"/>
      <c r="K69" s="11"/>
      <c r="L69" s="11"/>
      <c r="M69" s="65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76">
        <f ca="1">Prob_Min30_sma16 * RR_Min30_lar16_local</f>
        <v>1.35E-2</v>
      </c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>
        <f ca="1">O63*T67*Y69</f>
        <v>2.052459E-3</v>
      </c>
      <c r="AL69" s="11"/>
      <c r="AM69" s="67">
        <f ca="1">M43+R62</f>
        <v>12794.101093249774</v>
      </c>
      <c r="AN69" s="11"/>
      <c r="AO69" s="79">
        <f ca="1">AK69*AM69</f>
        <v>26.259367935750337</v>
      </c>
      <c r="AP69" s="11"/>
      <c r="AQ69" s="69">
        <f>0</f>
        <v>0</v>
      </c>
      <c r="AR69" s="11"/>
      <c r="AS69" s="80">
        <f t="shared" ca="1" si="0"/>
        <v>0</v>
      </c>
      <c r="AT69" s="11"/>
      <c r="AU69" s="81">
        <v>0</v>
      </c>
      <c r="AW69" s="80">
        <v>0</v>
      </c>
      <c r="AY69" s="82">
        <f ca="1">AU69+AO69</f>
        <v>26.259367935750337</v>
      </c>
      <c r="BA69" s="83">
        <f ca="1">AW69+AS69</f>
        <v>0</v>
      </c>
    </row>
    <row r="70" spans="9:54" x14ac:dyDescent="0.3"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69"/>
      <c r="AR70" s="11"/>
      <c r="AS70" s="11"/>
      <c r="AT70" s="11"/>
      <c r="AU70" s="36"/>
    </row>
    <row r="71" spans="9:54" x14ac:dyDescent="0.3"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69"/>
      <c r="AR71" s="11"/>
      <c r="AS71" s="11"/>
      <c r="AT71" s="11"/>
      <c r="AU71" s="36"/>
    </row>
    <row r="72" spans="9:54" x14ac:dyDescent="0.3"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69"/>
      <c r="AR72" s="11"/>
      <c r="AS72" s="11"/>
      <c r="AT72" s="11"/>
      <c r="AU72" s="36"/>
      <c r="AY72" s="36"/>
    </row>
    <row r="73" spans="9:54" ht="15" thickBot="1" x14ac:dyDescent="0.35">
      <c r="AF73" s="11"/>
    </row>
    <row r="74" spans="9:54" ht="15" thickBot="1" x14ac:dyDescent="0.35">
      <c r="AJ74" s="85" t="s">
        <v>106</v>
      </c>
      <c r="AK74" s="89">
        <f ca="1">SUM(AK76:AK128)</f>
        <v>1</v>
      </c>
      <c r="AL74" s="85"/>
      <c r="AM74" s="85"/>
      <c r="AN74" s="85"/>
      <c r="AO74" s="85"/>
      <c r="AP74" s="85"/>
      <c r="AQ74" s="87"/>
      <c r="AR74" s="85"/>
      <c r="AS74" s="85"/>
      <c r="AT74" s="85"/>
      <c r="AU74" s="88"/>
      <c r="AV74" s="85"/>
      <c r="AW74" s="86"/>
      <c r="AX74" s="85"/>
      <c r="AY74" s="90">
        <f ca="1">SUM(AY76:AY128)</f>
        <v>76486.716311435855</v>
      </c>
      <c r="AZ74" s="85"/>
      <c r="BA74" s="91">
        <f ca="1">SUM(BA76:BA128)</f>
        <v>10.155756221414322</v>
      </c>
      <c r="BB74" s="85"/>
    </row>
    <row r="75" spans="9:54" ht="15" thickBot="1" x14ac:dyDescent="0.35"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 t="s">
        <v>196</v>
      </c>
      <c r="AG75" s="11"/>
      <c r="AH75" s="11"/>
      <c r="AI75" s="11"/>
      <c r="AJ75" s="11"/>
      <c r="AK75" s="195" t="s">
        <v>197</v>
      </c>
      <c r="AL75" s="193"/>
      <c r="AM75" s="196" t="s">
        <v>198</v>
      </c>
      <c r="AN75" s="196"/>
      <c r="AO75" s="193" t="s">
        <v>199</v>
      </c>
      <c r="AP75" s="193"/>
      <c r="AQ75" s="197" t="s">
        <v>216</v>
      </c>
      <c r="AR75" s="197"/>
      <c r="AS75" s="193" t="s">
        <v>217</v>
      </c>
      <c r="AT75" s="193"/>
      <c r="AU75" s="198" t="s">
        <v>237</v>
      </c>
      <c r="AV75" s="198"/>
      <c r="AW75" s="193" t="s">
        <v>238</v>
      </c>
      <c r="AX75" s="193"/>
      <c r="AY75" s="193" t="s">
        <v>239</v>
      </c>
      <c r="AZ75" s="193"/>
      <c r="BA75" s="193" t="s">
        <v>195</v>
      </c>
      <c r="BB75" s="194"/>
    </row>
    <row r="76" spans="9:54" x14ac:dyDescent="0.3"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76">
        <f ca="1">1 - Prob_Min1y_lar16_mtc</f>
        <v>0.97</v>
      </c>
      <c r="AG76" s="11"/>
      <c r="AH76" s="11"/>
      <c r="AI76" s="78">
        <f ca="1">U_lar16*((365-30)/365)</f>
        <v>0.6424657534246575</v>
      </c>
      <c r="AJ76" s="11"/>
      <c r="AK76" s="11">
        <f ca="1">O85*T80*Y78*AF76</f>
        <v>6.3330912000000003E-2</v>
      </c>
      <c r="AL76" s="11"/>
      <c r="AM76" s="67">
        <f ca="1">M102+R84+W79+AD77</f>
        <v>59289.376927083526</v>
      </c>
      <c r="AN76" s="11"/>
      <c r="AO76" s="79">
        <f ca="1">AK76*AM76</f>
        <v>3754.8503127039576</v>
      </c>
      <c r="AP76" s="68"/>
      <c r="AQ76" s="69">
        <f ca="1">AD78+AI76</f>
        <v>0.7</v>
      </c>
      <c r="AR76" s="68"/>
      <c r="AS76" s="80">
        <f ca="1">AK76*AQ76</f>
        <v>4.4331638399999998E-2</v>
      </c>
      <c r="AT76" s="68"/>
      <c r="AU76" s="81">
        <f ca="1">AK76*Cst_lar16_life</f>
        <v>2771.4163762918474</v>
      </c>
      <c r="AW76" s="80">
        <f ca="1">AK76*QALY_lar16_life</f>
        <v>0.3448873712718743</v>
      </c>
      <c r="AY76" s="82">
        <f ca="1">AU76+AO76</f>
        <v>6526.2666889958055</v>
      </c>
      <c r="BA76" s="83">
        <f ca="1">AW76+AS76</f>
        <v>0.38921900967187428</v>
      </c>
    </row>
    <row r="77" spans="9:54" x14ac:dyDescent="0.3"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 t="s">
        <v>200</v>
      </c>
      <c r="Z77" s="11"/>
      <c r="AA77" s="11"/>
      <c r="AB77" s="11"/>
      <c r="AC77" s="11"/>
      <c r="AD77" s="77">
        <f ca="1">Cst_post_lar16_mtc</f>
        <v>36915.462885387984</v>
      </c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80"/>
      <c r="AP77" s="11"/>
      <c r="AQ77" s="69"/>
      <c r="AR77" s="11"/>
      <c r="AS77" s="80"/>
      <c r="AT77" s="11"/>
      <c r="AU77" s="81"/>
      <c r="AW77" s="80"/>
      <c r="AY77" s="83"/>
      <c r="BA77" s="83"/>
    </row>
    <row r="78" spans="9:54" x14ac:dyDescent="0.3"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76">
        <f ca="1">1 - Prob_Min30_lar16_mtc</f>
        <v>0.9</v>
      </c>
      <c r="Z78" s="11"/>
      <c r="AA78" s="11"/>
      <c r="AB78" s="11"/>
      <c r="AC78" s="11"/>
      <c r="AD78" s="78">
        <f ca="1">U_lar16*(30/365)</f>
        <v>5.7534246575342458E-2</v>
      </c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80"/>
      <c r="AP78" s="11"/>
      <c r="AQ78" s="69"/>
      <c r="AR78" s="11"/>
      <c r="AS78" s="80"/>
      <c r="AT78" s="11"/>
      <c r="AU78" s="81"/>
      <c r="AW78" s="80"/>
      <c r="AY78" s="83"/>
      <c r="BA78" s="83"/>
    </row>
    <row r="79" spans="9:54" x14ac:dyDescent="0.3"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 t="s">
        <v>219</v>
      </c>
      <c r="U79" s="11"/>
      <c r="V79" s="11"/>
      <c r="W79" s="77">
        <f>Cst_lar16_MTC</f>
        <v>3342</v>
      </c>
      <c r="X79" s="11"/>
      <c r="Y79" s="11"/>
      <c r="Z79" s="11"/>
      <c r="AA79" s="11"/>
      <c r="AB79" s="11"/>
      <c r="AC79" s="11"/>
      <c r="AD79" s="11"/>
      <c r="AE79" s="11"/>
      <c r="AF79" s="11" t="s">
        <v>201</v>
      </c>
      <c r="AG79" s="11"/>
      <c r="AH79" s="11"/>
      <c r="AI79" s="11"/>
      <c r="AJ79" s="11"/>
      <c r="AK79" s="11"/>
      <c r="AL79" s="11"/>
      <c r="AM79" s="11"/>
      <c r="AN79" s="11"/>
      <c r="AO79" s="80"/>
      <c r="AP79" s="11"/>
      <c r="AQ79" s="69"/>
      <c r="AR79" s="11"/>
      <c r="AS79" s="80"/>
      <c r="AT79" s="11"/>
      <c r="AU79" s="81"/>
      <c r="AW79" s="80"/>
      <c r="AY79" s="83"/>
      <c r="BA79" s="83"/>
    </row>
    <row r="80" spans="9:54" x14ac:dyDescent="0.3"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76">
        <f ca="1">Prob_R2_sen</f>
        <v>0.8</v>
      </c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76">
        <f ca="1">Prob_Min1y_lar16_mtc</f>
        <v>0.03</v>
      </c>
      <c r="AG80" s="11"/>
      <c r="AH80" s="11"/>
      <c r="AI80" s="11"/>
      <c r="AJ80" s="11"/>
      <c r="AK80" s="11">
        <f ca="1">O85*T80*Y78*AF80</f>
        <v>1.9586880000000001E-3</v>
      </c>
      <c r="AL80" s="11"/>
      <c r="AM80" s="67">
        <f ca="1">M102+R84+W79+AD77</f>
        <v>59289.376927083526</v>
      </c>
      <c r="AN80" s="11"/>
      <c r="AO80" s="79">
        <f ca="1">AK80*AM80</f>
        <v>116.12939111455537</v>
      </c>
      <c r="AP80" s="68"/>
      <c r="AQ80" s="69">
        <f ca="1">AD78</f>
        <v>5.7534246575342458E-2</v>
      </c>
      <c r="AR80" s="68"/>
      <c r="AS80" s="80">
        <f ca="1">AK80*AQ80</f>
        <v>1.1269163835616438E-4</v>
      </c>
      <c r="AT80" s="68"/>
      <c r="AU80" s="81">
        <v>0</v>
      </c>
      <c r="AW80" s="80">
        <v>0</v>
      </c>
      <c r="AY80" s="84">
        <f ca="1">AW80+AO80</f>
        <v>116.12939111455537</v>
      </c>
      <c r="BA80" s="83">
        <f ca="1">AW80+AS80</f>
        <v>1.1269163835616438E-4</v>
      </c>
    </row>
    <row r="81" spans="9:53" x14ac:dyDescent="0.3"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 t="s">
        <v>202</v>
      </c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80"/>
      <c r="AP81" s="11"/>
      <c r="AQ81" s="69"/>
      <c r="AR81" s="11"/>
      <c r="AS81" s="80"/>
      <c r="AT81" s="11"/>
      <c r="AU81" s="81"/>
      <c r="AW81" s="80"/>
      <c r="AY81" s="83"/>
      <c r="BA81" s="83"/>
    </row>
    <row r="82" spans="9:53" x14ac:dyDescent="0.3"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76">
        <f ca="1">Prob_Min30_lar16_mtc</f>
        <v>0.1</v>
      </c>
      <c r="Z82" s="11"/>
      <c r="AA82" s="11"/>
      <c r="AB82" s="11"/>
      <c r="AC82" s="11"/>
      <c r="AD82" s="11">
        <v>0</v>
      </c>
      <c r="AE82" s="11"/>
      <c r="AF82" s="11"/>
      <c r="AG82" s="11"/>
      <c r="AH82" s="11"/>
      <c r="AI82" s="11"/>
      <c r="AJ82" s="11"/>
      <c r="AK82" s="11">
        <f ca="1">O85*T80*Y82</f>
        <v>7.2544000000000003E-3</v>
      </c>
      <c r="AL82" s="11"/>
      <c r="AM82" s="67">
        <f ca="1">M102+R84+W79</f>
        <v>22373.914041695542</v>
      </c>
      <c r="AN82" s="11"/>
      <c r="AO82" s="79">
        <f ca="1">AK82*AM82</f>
        <v>162.30932202407615</v>
      </c>
      <c r="AP82" s="68"/>
      <c r="AQ82" s="69">
        <f>AD82</f>
        <v>0</v>
      </c>
      <c r="AR82" s="68"/>
      <c r="AS82" s="80">
        <f ca="1">AK82*AQ82</f>
        <v>0</v>
      </c>
      <c r="AT82" s="68"/>
      <c r="AU82" s="81">
        <v>0</v>
      </c>
      <c r="AW82" s="80">
        <v>0</v>
      </c>
      <c r="AY82" s="82">
        <f ca="1">AU82+AO82</f>
        <v>162.30932202407615</v>
      </c>
      <c r="BA82" s="83">
        <f ca="1">AW82+AS82</f>
        <v>0</v>
      </c>
    </row>
    <row r="83" spans="9:53" x14ac:dyDescent="0.3">
      <c r="I83" s="11"/>
      <c r="J83" s="11"/>
      <c r="K83" s="11"/>
      <c r="L83" s="11"/>
      <c r="M83" s="11"/>
      <c r="N83" s="11"/>
      <c r="O83" s="11" t="s">
        <v>203</v>
      </c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80"/>
      <c r="AP83" s="11"/>
      <c r="AQ83" s="69"/>
      <c r="AR83" s="11"/>
      <c r="AS83" s="80"/>
      <c r="AT83" s="11"/>
      <c r="AU83" s="81"/>
      <c r="AW83" s="80"/>
      <c r="AY83" s="83"/>
      <c r="BA83" s="83"/>
    </row>
    <row r="84" spans="9:53" x14ac:dyDescent="0.3">
      <c r="I84" s="11"/>
      <c r="J84" s="11"/>
      <c r="K84" s="11"/>
      <c r="L84" s="11"/>
      <c r="M84" s="11"/>
      <c r="N84" s="11"/>
      <c r="O84" s="11" t="s">
        <v>204</v>
      </c>
      <c r="P84" s="11"/>
      <c r="Q84" s="11"/>
      <c r="R84" s="77">
        <f>Cst_lar16_hosp</f>
        <v>18052.891179427541</v>
      </c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 t="s">
        <v>205</v>
      </c>
      <c r="AG84" s="11"/>
      <c r="AH84" s="11"/>
      <c r="AI84" s="11"/>
      <c r="AJ84" s="11"/>
      <c r="AK84" s="11"/>
      <c r="AL84" s="11"/>
      <c r="AM84" s="11"/>
      <c r="AN84" s="11"/>
      <c r="AO84" s="80"/>
      <c r="AP84" s="11"/>
      <c r="AQ84" s="69"/>
      <c r="AR84" s="11"/>
      <c r="AS84" s="80"/>
      <c r="AT84" s="11"/>
      <c r="AU84" s="81"/>
      <c r="AW84" s="80"/>
      <c r="AY84" s="83"/>
      <c r="BA84" s="83"/>
    </row>
    <row r="85" spans="9:53" x14ac:dyDescent="0.3">
      <c r="I85" s="11"/>
      <c r="J85" s="11"/>
      <c r="K85" s="11"/>
      <c r="L85" s="11"/>
      <c r="M85" s="11"/>
      <c r="N85" s="11"/>
      <c r="O85" s="76">
        <f>Prob_ISS_lag16</f>
        <v>9.0679999999999997E-2</v>
      </c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76">
        <f ca="1">(1 - Prob_Min1y_lar16_mtc * RR_Min1y_lar16_local)</f>
        <v>0.95079999999999998</v>
      </c>
      <c r="AG85" s="11"/>
      <c r="AH85" s="11"/>
      <c r="AI85" s="78">
        <f ca="1">U_lar16*((365-30)/365)</f>
        <v>0.6424657534246575</v>
      </c>
      <c r="AJ85" s="11"/>
      <c r="AK85" s="11">
        <f ca="1">O85*T89*Y87*AF85</f>
        <v>1.5303791559999993E-2</v>
      </c>
      <c r="AL85" s="11"/>
      <c r="AM85" s="67">
        <f ca="1">M102+R84+AD86</f>
        <v>55274.962207327451</v>
      </c>
      <c r="AN85" s="11"/>
      <c r="AO85" s="79">
        <f ca="1">AK85*AM85</f>
        <v>845.91650010781643</v>
      </c>
      <c r="AP85" s="68"/>
      <c r="AQ85" s="69">
        <f ca="1">AD87+AI85</f>
        <v>0.7</v>
      </c>
      <c r="AR85" s="68"/>
      <c r="AS85" s="80">
        <f ca="1">AK85*AQ85</f>
        <v>1.0712654091999995E-2</v>
      </c>
      <c r="AT85" s="68"/>
      <c r="AU85" s="81">
        <f ca="1">AK85*Cst_lar16_life</f>
        <v>669.70737052927541</v>
      </c>
      <c r="AW85" s="80">
        <f ca="1">AK85*QALY_lar16_life</f>
        <v>8.3341361665865379E-2</v>
      </c>
      <c r="AY85" s="82">
        <f ca="1">AU85+AO85</f>
        <v>1515.6238706370918</v>
      </c>
      <c r="BA85" s="83">
        <f ca="1">AW85+AS85</f>
        <v>9.4054015757865372E-2</v>
      </c>
    </row>
    <row r="86" spans="9:53" x14ac:dyDescent="0.3"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 t="s">
        <v>206</v>
      </c>
      <c r="Z86" s="11"/>
      <c r="AA86" s="11"/>
      <c r="AB86" s="11"/>
      <c r="AC86" s="11"/>
      <c r="AD86" s="77">
        <f ca="1">Cst_post_lar16_local</f>
        <v>36243.04816563191</v>
      </c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80"/>
      <c r="AP86" s="11"/>
      <c r="AQ86" s="69"/>
      <c r="AR86" s="11"/>
      <c r="AS86" s="80"/>
      <c r="AT86" s="11"/>
      <c r="AU86" s="81"/>
      <c r="AW86" s="80"/>
      <c r="AY86" s="83"/>
      <c r="BA86" s="83"/>
    </row>
    <row r="87" spans="9:53" x14ac:dyDescent="0.3"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76">
        <f ca="1">(1 - Prob_Min30_lar16_mtc * RR_Min30_lar16_local)</f>
        <v>0.88749999999999996</v>
      </c>
      <c r="Z87" s="11"/>
      <c r="AA87" s="11"/>
      <c r="AB87" s="11"/>
      <c r="AC87" s="11"/>
      <c r="AD87" s="78">
        <f ca="1">U_lar16*(30/365)</f>
        <v>5.7534246575342458E-2</v>
      </c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80"/>
      <c r="AP87" s="11"/>
      <c r="AQ87" s="69"/>
      <c r="AR87" s="11"/>
      <c r="AS87" s="80"/>
      <c r="AT87" s="11"/>
      <c r="AU87" s="81"/>
      <c r="AW87" s="80"/>
      <c r="AY87" s="83"/>
      <c r="BA87" s="83"/>
    </row>
    <row r="88" spans="9:53" x14ac:dyDescent="0.3"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 t="s">
        <v>220</v>
      </c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 t="s">
        <v>207</v>
      </c>
      <c r="AG88" s="11"/>
      <c r="AH88" s="11"/>
      <c r="AI88" s="11"/>
      <c r="AJ88" s="11"/>
      <c r="AK88" s="11"/>
      <c r="AL88" s="11"/>
      <c r="AM88" s="11"/>
      <c r="AN88" s="11"/>
      <c r="AO88" s="80"/>
      <c r="AP88" s="11"/>
      <c r="AQ88" s="69"/>
      <c r="AR88" s="11"/>
      <c r="AS88" s="80"/>
      <c r="AT88" s="11"/>
      <c r="AU88" s="81"/>
      <c r="AW88" s="80"/>
      <c r="AY88" s="83"/>
      <c r="BA88" s="83"/>
    </row>
    <row r="89" spans="9:53" x14ac:dyDescent="0.3"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76">
        <f ca="1">(1- Prob_R2_sen)</f>
        <v>0.19999999999999996</v>
      </c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76">
        <f ca="1">Prob_Min1y_lar16_mtc * RR_Min1y_lar16_local</f>
        <v>4.9199999999999994E-2</v>
      </c>
      <c r="AG89" s="11"/>
      <c r="AH89" s="11"/>
      <c r="AI89" s="11"/>
      <c r="AJ89" s="11"/>
      <c r="AK89" s="11">
        <f ca="1">O85*T89*Y87*AF89</f>
        <v>7.9190843999999956E-4</v>
      </c>
      <c r="AL89" s="11"/>
      <c r="AM89" s="67">
        <f ca="1">M102+R84+AD86</f>
        <v>55274.962207327451</v>
      </c>
      <c r="AN89" s="11"/>
      <c r="AO89" s="79">
        <f ca="1">AK89*AM89</f>
        <v>43.772709092663618</v>
      </c>
      <c r="AP89" s="68"/>
      <c r="AQ89" s="69">
        <f ca="1">AD87</f>
        <v>5.7534246575342458E-2</v>
      </c>
      <c r="AR89" s="68"/>
      <c r="AS89" s="80">
        <f t="shared" ref="AS89" ca="1" si="1">AK89*AQ89</f>
        <v>4.556185545205476E-5</v>
      </c>
      <c r="AT89" s="68"/>
      <c r="AU89" s="81">
        <v>0</v>
      </c>
      <c r="AW89" s="80">
        <v>0</v>
      </c>
      <c r="AY89" s="82">
        <f ca="1">AU89+AO89</f>
        <v>43.772709092663618</v>
      </c>
      <c r="BA89" s="83">
        <f ca="1">AW89+AS89</f>
        <v>4.556185545205476E-5</v>
      </c>
    </row>
    <row r="90" spans="9:53" x14ac:dyDescent="0.3"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 t="s">
        <v>208</v>
      </c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80"/>
      <c r="AP90" s="11"/>
      <c r="AQ90" s="69"/>
      <c r="AR90" s="11"/>
      <c r="AS90" s="80"/>
      <c r="AT90" s="11"/>
      <c r="AU90" s="81"/>
      <c r="AW90" s="80"/>
      <c r="AY90" s="83"/>
      <c r="BA90" s="83"/>
    </row>
    <row r="91" spans="9:53" x14ac:dyDescent="0.3"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76">
        <f ca="1" xml:space="preserve"> Prob_Min30_lar16_mtc * RR_Min30_lar16_local</f>
        <v>0.1125</v>
      </c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>
        <f ca="1">O85*T89*Y91</f>
        <v>2.0402999999999997E-3</v>
      </c>
      <c r="AL91" s="11"/>
      <c r="AM91" s="67">
        <f ca="1">M102+R84</f>
        <v>19031.914041695542</v>
      </c>
      <c r="AN91" s="11"/>
      <c r="AO91" s="79">
        <f ca="1">AK91*AM91</f>
        <v>38.83081421927141</v>
      </c>
      <c r="AP91" s="68"/>
      <c r="AQ91" s="69">
        <f>0</f>
        <v>0</v>
      </c>
      <c r="AR91" s="68"/>
      <c r="AS91" s="80">
        <f t="shared" ref="AS91" ca="1" si="2">AK91*AQ91</f>
        <v>0</v>
      </c>
      <c r="AT91" s="68"/>
      <c r="AU91" s="81">
        <v>0</v>
      </c>
      <c r="AW91" s="80">
        <v>0</v>
      </c>
      <c r="AY91" s="82">
        <f ca="1">AU91+AO91</f>
        <v>38.83081421927141</v>
      </c>
      <c r="BA91" s="83">
        <f ca="1">AW91+AS91</f>
        <v>0</v>
      </c>
    </row>
    <row r="92" spans="9:53" x14ac:dyDescent="0.3"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80"/>
      <c r="AP92" s="11"/>
      <c r="AQ92" s="69"/>
      <c r="AR92" s="11"/>
      <c r="AS92" s="80"/>
      <c r="AT92" s="11"/>
      <c r="AU92" s="81"/>
      <c r="AW92" s="80"/>
      <c r="AY92" s="83"/>
      <c r="BA92" s="83"/>
    </row>
    <row r="93" spans="9:53" x14ac:dyDescent="0.3"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 t="s">
        <v>196</v>
      </c>
      <c r="AG93" s="11"/>
      <c r="AH93" s="11"/>
      <c r="AI93" s="11"/>
      <c r="AJ93" s="11"/>
      <c r="AK93" s="11"/>
      <c r="AL93" s="11"/>
      <c r="AM93" s="11"/>
      <c r="AN93" s="11"/>
      <c r="AO93" s="80"/>
      <c r="AP93" s="11"/>
      <c r="AQ93" s="69"/>
      <c r="AR93" s="11"/>
      <c r="AS93" s="80"/>
      <c r="AT93" s="11"/>
      <c r="AU93" s="81"/>
      <c r="AW93" s="80"/>
      <c r="AY93" s="83"/>
      <c r="BA93" s="83"/>
    </row>
    <row r="94" spans="9:53" x14ac:dyDescent="0.3"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76">
        <f ca="1">(1 - Prob_Min1y_sma16)</f>
        <v>0.98299999999999998</v>
      </c>
      <c r="AG94" s="11"/>
      <c r="AH94" s="11"/>
      <c r="AI94" s="78">
        <f ca="1">U_sma16*((365-30)/365)</f>
        <v>0.73424657534246585</v>
      </c>
      <c r="AJ94" s="11"/>
      <c r="AK94" s="11">
        <f ca="1">O103*T98*Y96*AF94</f>
        <v>8.6913045960000004E-2</v>
      </c>
      <c r="AL94" s="11"/>
      <c r="AM94" s="67">
        <f ca="1">M102+R102+W97+AD95</f>
        <v>50858.581905781655</v>
      </c>
      <c r="AN94" s="11"/>
      <c r="AO94" s="79">
        <f ca="1">AK94*AM94</f>
        <v>4420.2742666376253</v>
      </c>
      <c r="AP94" s="68"/>
      <c r="AQ94" s="69">
        <f ca="1">AD96+AI94</f>
        <v>0.8</v>
      </c>
      <c r="AR94" s="68"/>
      <c r="AS94" s="80">
        <f t="shared" ref="AS94" ca="1" si="3">AK94*AQ94</f>
        <v>6.9530436768000012E-2</v>
      </c>
      <c r="AT94" s="68"/>
      <c r="AU94" s="81">
        <f ca="1">AK94*Cst_sma16_life</f>
        <v>2757.6140918676529</v>
      </c>
      <c r="AW94" s="80">
        <f ca="1">AK94*QALY_sma16_life</f>
        <v>0.88704916505593989</v>
      </c>
      <c r="AY94" s="82">
        <f ca="1">AU94+AO94</f>
        <v>7177.8883585052781</v>
      </c>
      <c r="BA94" s="83">
        <f ca="1">AW94+AS94</f>
        <v>0.95657960182393986</v>
      </c>
    </row>
    <row r="95" spans="9:53" x14ac:dyDescent="0.3"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 t="s">
        <v>200</v>
      </c>
      <c r="Z95" s="11"/>
      <c r="AA95" s="11"/>
      <c r="AB95" s="11"/>
      <c r="AC95" s="11"/>
      <c r="AD95" s="77">
        <f ca="1">Cst_post_lar16_mtc</f>
        <v>36915.462885387984</v>
      </c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80"/>
      <c r="AP95" s="11"/>
      <c r="AQ95" s="69"/>
      <c r="AR95" s="11"/>
      <c r="AS95" s="80"/>
      <c r="AT95" s="11"/>
      <c r="AU95" s="81"/>
      <c r="AW95" s="80"/>
      <c r="AY95" s="83"/>
      <c r="BA95" s="83"/>
    </row>
    <row r="96" spans="9:53" x14ac:dyDescent="0.3"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76">
        <f ca="1">(1 - Prob_Min30_sma16)</f>
        <v>0.98799999999999999</v>
      </c>
      <c r="Z96" s="11"/>
      <c r="AA96" s="11"/>
      <c r="AB96" s="11"/>
      <c r="AC96" s="11"/>
      <c r="AD96" s="78">
        <f ca="1">U_sma16*(30/365)</f>
        <v>6.575342465753424E-2</v>
      </c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80"/>
      <c r="AP96" s="11"/>
      <c r="AQ96" s="69"/>
      <c r="AR96" s="11"/>
      <c r="AS96" s="80"/>
      <c r="AT96" s="11"/>
      <c r="AU96" s="81"/>
      <c r="AW96" s="80"/>
      <c r="AY96" s="83"/>
      <c r="BA96" s="83"/>
    </row>
    <row r="97" spans="9:53" x14ac:dyDescent="0.3"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 t="s">
        <v>219</v>
      </c>
      <c r="U97" s="11"/>
      <c r="V97" s="11"/>
      <c r="W97" s="77">
        <f>Cst_lar16_MTC</f>
        <v>3342</v>
      </c>
      <c r="X97" s="11"/>
      <c r="Y97" s="11"/>
      <c r="Z97" s="11"/>
      <c r="AA97" s="11"/>
      <c r="AB97" s="11"/>
      <c r="AC97" s="11"/>
      <c r="AD97" s="11"/>
      <c r="AE97" s="11"/>
      <c r="AF97" s="11" t="s">
        <v>201</v>
      </c>
      <c r="AG97" s="11"/>
      <c r="AH97" s="11"/>
      <c r="AI97" s="11"/>
      <c r="AJ97" s="11"/>
      <c r="AK97" s="11"/>
      <c r="AL97" s="11"/>
      <c r="AM97" s="11"/>
      <c r="AN97" s="11"/>
      <c r="AO97" s="80"/>
      <c r="AP97" s="11"/>
      <c r="AQ97" s="69"/>
      <c r="AR97" s="11"/>
      <c r="AS97" s="80"/>
      <c r="AT97" s="11"/>
      <c r="AU97" s="81"/>
      <c r="AW97" s="80"/>
      <c r="AY97" s="83"/>
      <c r="BA97" s="83"/>
    </row>
    <row r="98" spans="9:53" x14ac:dyDescent="0.3"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76">
        <f ca="1">(1-Prob_R2_spe)</f>
        <v>0.6</v>
      </c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76">
        <f ca="1">Prob_Min1y_sma16</f>
        <v>1.7000000000000001E-2</v>
      </c>
      <c r="AG98" s="11"/>
      <c r="AH98" s="11"/>
      <c r="AI98" s="11"/>
      <c r="AJ98" s="11"/>
      <c r="AK98" s="11">
        <f ca="1">O103*T98*Y96*AF98</f>
        <v>1.5030740400000001E-3</v>
      </c>
      <c r="AL98" s="11"/>
      <c r="AM98" s="67">
        <f ca="1">M102+R102+W97+AD95</f>
        <v>50858.581905781655</v>
      </c>
      <c r="AN98" s="11"/>
      <c r="AO98" s="79">
        <f ca="1">AK98*AM98</f>
        <v>76.444214173794137</v>
      </c>
      <c r="AP98" s="68"/>
      <c r="AQ98" s="69">
        <f ca="1">AD96</f>
        <v>6.575342465753424E-2</v>
      </c>
      <c r="AR98" s="68"/>
      <c r="AS98" s="80">
        <f t="shared" ref="AS98" ca="1" si="4">AK98*AQ98</f>
        <v>9.8832265643835615E-5</v>
      </c>
      <c r="AT98" s="68"/>
      <c r="AU98" s="81">
        <v>0</v>
      </c>
      <c r="AW98" s="80">
        <v>0</v>
      </c>
      <c r="AY98" s="82">
        <f ca="1">AU98+AO98</f>
        <v>76.444214173794137</v>
      </c>
      <c r="BA98" s="83">
        <f ca="1">AW98+AS98</f>
        <v>9.8832265643835615E-5</v>
      </c>
    </row>
    <row r="99" spans="9:53" x14ac:dyDescent="0.3"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 t="s">
        <v>202</v>
      </c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80"/>
      <c r="AP99" s="11"/>
      <c r="AQ99" s="69"/>
      <c r="AR99" s="11"/>
      <c r="AS99" s="80"/>
      <c r="AT99" s="11"/>
      <c r="AU99" s="81"/>
      <c r="AW99" s="80"/>
      <c r="AY99" s="83"/>
      <c r="BA99" s="83"/>
    </row>
    <row r="100" spans="9:53" x14ac:dyDescent="0.3"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76">
        <f ca="1">Prob_Min30_sma16</f>
        <v>1.2E-2</v>
      </c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>
        <f ca="1">O103*T98*Y100</f>
        <v>1.0738799999999999E-3</v>
      </c>
      <c r="AL100" s="11"/>
      <c r="AM100" s="67">
        <f ca="1">M102+R102+W97</f>
        <v>13943.119020393675</v>
      </c>
      <c r="AN100" s="11"/>
      <c r="AO100" s="79">
        <f ca="1">AK100*AM100</f>
        <v>14.973236653620358</v>
      </c>
      <c r="AP100" s="68"/>
      <c r="AQ100" s="69">
        <v>0</v>
      </c>
      <c r="AR100" s="68"/>
      <c r="AS100" s="80">
        <v>0</v>
      </c>
      <c r="AT100" s="68"/>
      <c r="AU100" s="81">
        <v>0</v>
      </c>
      <c r="AW100" s="80">
        <v>0</v>
      </c>
      <c r="AY100" s="82">
        <f ca="1">AU100+AO100</f>
        <v>14.973236653620358</v>
      </c>
      <c r="BA100" s="83">
        <f>AW100+AS100</f>
        <v>0</v>
      </c>
    </row>
    <row r="101" spans="9:53" x14ac:dyDescent="0.3">
      <c r="I101" s="11"/>
      <c r="J101" s="11"/>
      <c r="K101" s="11"/>
      <c r="L101" s="11"/>
      <c r="M101" s="11"/>
      <c r="N101" s="11"/>
      <c r="O101" s="11" t="s">
        <v>209</v>
      </c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80"/>
      <c r="AP101" s="11"/>
      <c r="AQ101" s="69"/>
      <c r="AR101" s="11"/>
      <c r="AS101" s="80"/>
      <c r="AT101" s="11"/>
      <c r="AU101" s="81"/>
      <c r="AW101" s="80"/>
      <c r="AY101" s="83"/>
      <c r="BA101" s="83"/>
    </row>
    <row r="102" spans="9:53" x14ac:dyDescent="0.3">
      <c r="I102" s="11"/>
      <c r="J102" s="11" t="s">
        <v>240</v>
      </c>
      <c r="K102" s="11"/>
      <c r="L102" s="11"/>
      <c r="M102" s="92">
        <f ca="1">Cst_R2+Cst_amb</f>
        <v>979.02286226800015</v>
      </c>
      <c r="N102" s="11"/>
      <c r="O102" s="11" t="s">
        <v>211</v>
      </c>
      <c r="P102" s="11"/>
      <c r="Q102" s="11"/>
      <c r="R102" s="77">
        <f ca="1">Cst_btw916_hosp</f>
        <v>9622.0961581256743</v>
      </c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 t="s">
        <v>205</v>
      </c>
      <c r="AG102" s="11"/>
      <c r="AH102" s="11"/>
      <c r="AI102" s="11"/>
      <c r="AJ102" s="11"/>
      <c r="AK102" s="11"/>
      <c r="AL102" s="11"/>
      <c r="AM102" s="11"/>
      <c r="AN102" s="11"/>
      <c r="AO102" s="80"/>
      <c r="AP102" s="11"/>
      <c r="AQ102" s="69"/>
      <c r="AR102" s="11"/>
      <c r="AS102" s="80"/>
      <c r="AT102" s="11"/>
      <c r="AU102" s="81"/>
      <c r="AW102" s="80"/>
      <c r="AY102" s="83"/>
      <c r="BA102" s="83"/>
    </row>
    <row r="103" spans="9:53" x14ac:dyDescent="0.3">
      <c r="I103" s="11"/>
      <c r="J103" s="11" t="s">
        <v>329</v>
      </c>
      <c r="K103" s="11"/>
      <c r="L103" s="11"/>
      <c r="M103" s="11"/>
      <c r="N103" s="11"/>
      <c r="O103" s="76">
        <f>Prob_ISS_btw916</f>
        <v>0.14915</v>
      </c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76">
        <f ca="1">(1 - Prob_Min1y_sma16 * RR_Min1y_lar16_local)</f>
        <v>0.97211999999999998</v>
      </c>
      <c r="AG103" s="11"/>
      <c r="AH103" s="11"/>
      <c r="AI103" s="78">
        <f ca="1">U_sma16*((365-30)/365)</f>
        <v>0.73424657534246585</v>
      </c>
      <c r="AJ103" s="11"/>
      <c r="AK103" s="11">
        <f ca="1">O103*T107*Y105*AF103</f>
        <v>5.7213724030800002E-2</v>
      </c>
      <c r="AL103" s="11"/>
      <c r="AM103" s="67">
        <f ca="1">M102+R102+AD104</f>
        <v>46844.167186025588</v>
      </c>
      <c r="AN103" s="11"/>
      <c r="AO103" s="79">
        <f ca="1">AK103*AM103</f>
        <v>2680.1292538339253</v>
      </c>
      <c r="AP103" s="68"/>
      <c r="AQ103" s="69">
        <f ca="1">AD105+AI103</f>
        <v>0.8</v>
      </c>
      <c r="AR103" s="68"/>
      <c r="AS103" s="80">
        <f t="shared" ref="AS103" ca="1" si="5">AK103*AQ103</f>
        <v>4.5770979224640004E-2</v>
      </c>
      <c r="AT103" s="68"/>
      <c r="AU103" s="81">
        <f ca="1">AK103*Cst_sma16_life</f>
        <v>1815.3013726865943</v>
      </c>
      <c r="AW103" s="80">
        <f ca="1">AK103*QALY_sma16_life</f>
        <v>0.58393289028921413</v>
      </c>
      <c r="AY103" s="82">
        <f ca="1">AU103+AO103</f>
        <v>4495.4306265205196</v>
      </c>
      <c r="BA103" s="83">
        <f ca="1">AW103+AS103</f>
        <v>0.62970386951385415</v>
      </c>
    </row>
    <row r="104" spans="9:53" x14ac:dyDescent="0.3">
      <c r="I104" s="11"/>
      <c r="J104" s="11" t="s">
        <v>328</v>
      </c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 t="s">
        <v>206</v>
      </c>
      <c r="Z104" s="11"/>
      <c r="AA104" s="11"/>
      <c r="AB104" s="11"/>
      <c r="AC104" s="11"/>
      <c r="AD104" s="77">
        <f ca="1">Cst_post_lar16_local</f>
        <v>36243.04816563191</v>
      </c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80"/>
      <c r="AP104" s="11"/>
      <c r="AQ104" s="69"/>
      <c r="AR104" s="11"/>
      <c r="AS104" s="80"/>
      <c r="AT104" s="11"/>
      <c r="AU104" s="81"/>
      <c r="AW104" s="80"/>
      <c r="AY104" s="83"/>
      <c r="BA104" s="83"/>
    </row>
    <row r="105" spans="9:53" x14ac:dyDescent="0.3"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76">
        <f ca="1">(1 - Prob_Min30_sma16 * RR_Min30_lar16_local)</f>
        <v>0.98650000000000004</v>
      </c>
      <c r="Z105" s="11"/>
      <c r="AA105" s="11"/>
      <c r="AB105" s="11"/>
      <c r="AC105" s="11"/>
      <c r="AD105" s="78">
        <f ca="1">U_sma16*(30/365)</f>
        <v>6.575342465753424E-2</v>
      </c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80"/>
      <c r="AP105" s="11"/>
      <c r="AQ105" s="69"/>
      <c r="AR105" s="11"/>
      <c r="AS105" s="80"/>
      <c r="AT105" s="11"/>
      <c r="AU105" s="81"/>
      <c r="AW105" s="80"/>
      <c r="AY105" s="83"/>
      <c r="BA105" s="83"/>
    </row>
    <row r="106" spans="9:53" x14ac:dyDescent="0.3"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 t="s">
        <v>220</v>
      </c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 t="s">
        <v>207</v>
      </c>
      <c r="AG106" s="11"/>
      <c r="AH106" s="11"/>
      <c r="AI106" s="11"/>
      <c r="AJ106" s="11"/>
      <c r="AK106" s="11"/>
      <c r="AL106" s="11"/>
      <c r="AM106" s="11"/>
      <c r="AN106" s="11"/>
      <c r="AO106" s="80"/>
      <c r="AP106" s="11"/>
      <c r="AQ106" s="69"/>
      <c r="AR106" s="11"/>
      <c r="AS106" s="80"/>
      <c r="AT106" s="11"/>
      <c r="AU106" s="81"/>
      <c r="AW106" s="80"/>
      <c r="AY106" s="83"/>
      <c r="BA106" s="83"/>
    </row>
    <row r="107" spans="9:53" x14ac:dyDescent="0.3"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76">
        <f ca="1">Prob_R2_spe</f>
        <v>0.4</v>
      </c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76">
        <f ca="1">Prob_Min1y_sma16 * RR_Min1y_lar16_local</f>
        <v>2.7880000000000002E-2</v>
      </c>
      <c r="AG107" s="11"/>
      <c r="AH107" s="11"/>
      <c r="AI107" s="11"/>
      <c r="AJ107" s="11"/>
      <c r="AK107" s="11">
        <f ca="1">O103*T107*Y105*AF107</f>
        <v>1.6408659692000002E-3</v>
      </c>
      <c r="AL107" s="11"/>
      <c r="AM107" s="67">
        <f ca="1">M102+R102+AD104</f>
        <v>46844.167186025588</v>
      </c>
      <c r="AN107" s="11"/>
      <c r="AO107" s="79">
        <f ca="1">AK107*AM107</f>
        <v>76.864999791064719</v>
      </c>
      <c r="AP107" s="68"/>
      <c r="AQ107" s="69">
        <f ca="1">AD105</f>
        <v>6.575342465753424E-2</v>
      </c>
      <c r="AR107" s="68"/>
      <c r="AS107" s="80">
        <f t="shared" ref="AS107" ca="1" si="6">AK107*AQ107</f>
        <v>1.0789255687890412E-4</v>
      </c>
      <c r="AT107" s="68"/>
      <c r="AU107" s="81">
        <v>0</v>
      </c>
      <c r="AW107" s="80">
        <v>0</v>
      </c>
      <c r="AY107" s="82">
        <f ca="1">AU107+AO107</f>
        <v>76.864999791064719</v>
      </c>
      <c r="BA107" s="83">
        <f ca="1">AW107+AS107</f>
        <v>1.0789255687890412E-4</v>
      </c>
    </row>
    <row r="108" spans="9:53" x14ac:dyDescent="0.3"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 t="s">
        <v>208</v>
      </c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80"/>
      <c r="AP108" s="11"/>
      <c r="AQ108" s="69"/>
      <c r="AR108" s="11"/>
      <c r="AS108" s="80"/>
      <c r="AT108" s="11"/>
      <c r="AU108" s="81"/>
      <c r="AW108" s="80"/>
      <c r="AY108" s="83"/>
      <c r="BA108" s="83"/>
    </row>
    <row r="109" spans="9:53" x14ac:dyDescent="0.3"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76">
        <f ca="1">Prob_Min30_sma16 * RR_Min30_lar16_local</f>
        <v>1.35E-2</v>
      </c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>
        <f ca="1">O103*T107*Y109</f>
        <v>8.0541E-4</v>
      </c>
      <c r="AL109" s="11"/>
      <c r="AM109" s="67">
        <f ca="1">M102+R102</f>
        <v>10601.119020393675</v>
      </c>
      <c r="AN109" s="11"/>
      <c r="AO109" s="79">
        <f ca="1">AK109*AM109</f>
        <v>8.538247270215269</v>
      </c>
      <c r="AP109" s="68"/>
      <c r="AQ109" s="69">
        <f>0</f>
        <v>0</v>
      </c>
      <c r="AR109" s="68"/>
      <c r="AS109" s="80">
        <f t="shared" ref="AS109" ca="1" si="7">AK109*AQ109</f>
        <v>0</v>
      </c>
      <c r="AT109" s="68"/>
      <c r="AU109" s="81">
        <v>0</v>
      </c>
      <c r="AW109" s="80">
        <v>0</v>
      </c>
      <c r="AY109" s="82">
        <f ca="1">AU109+AO109</f>
        <v>8.538247270215269</v>
      </c>
      <c r="BA109" s="83">
        <f ca="1">AW109+AS109</f>
        <v>0</v>
      </c>
    </row>
    <row r="110" spans="9:53" x14ac:dyDescent="0.3"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80"/>
      <c r="AP110" s="11"/>
      <c r="AQ110" s="69"/>
      <c r="AR110" s="11"/>
      <c r="AS110" s="80"/>
      <c r="AT110" s="11"/>
      <c r="AU110" s="81"/>
      <c r="AW110" s="80"/>
      <c r="AY110" s="83"/>
      <c r="BA110" s="83"/>
    </row>
    <row r="111" spans="9:53" x14ac:dyDescent="0.3"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80"/>
      <c r="AP111" s="11"/>
      <c r="AQ111" s="69"/>
      <c r="AR111" s="11"/>
      <c r="AS111" s="80"/>
      <c r="AT111" s="11"/>
      <c r="AU111" s="81"/>
      <c r="AW111" s="80"/>
      <c r="AY111" s="83"/>
      <c r="BA111" s="83"/>
    </row>
    <row r="112" spans="9:53" x14ac:dyDescent="0.3"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 t="s">
        <v>196</v>
      </c>
      <c r="AG112" s="11"/>
      <c r="AH112" s="11"/>
      <c r="AI112" s="11"/>
      <c r="AJ112" s="11"/>
      <c r="AK112" s="11"/>
      <c r="AL112" s="11"/>
      <c r="AM112" s="11"/>
      <c r="AN112" s="11"/>
      <c r="AO112" s="80"/>
      <c r="AP112" s="11"/>
      <c r="AQ112" s="69"/>
      <c r="AR112" s="11"/>
      <c r="AS112" s="80"/>
      <c r="AT112" s="11"/>
      <c r="AU112" s="81"/>
      <c r="AW112" s="80"/>
      <c r="AY112" s="83"/>
      <c r="BA112" s="83"/>
    </row>
    <row r="113" spans="9:53" x14ac:dyDescent="0.3"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76">
        <f ca="1">(1 - Prob_Min1y_sma16)</f>
        <v>0.98299999999999998</v>
      </c>
      <c r="AG113" s="11"/>
      <c r="AH113" s="11"/>
      <c r="AI113" s="78">
        <f ca="1">U_sma16*((365-30)/365)</f>
        <v>0.73424657534246585</v>
      </c>
      <c r="AJ113" s="11"/>
      <c r="AK113" s="11">
        <f ca="1">O122*T117*Y115*AF113</f>
        <v>0.44296808680799998</v>
      </c>
      <c r="AL113" s="11"/>
      <c r="AM113" s="67">
        <f ca="1">M101+M102+W116+AD114</f>
        <v>41236.485747655985</v>
      </c>
      <c r="AN113" s="11"/>
      <c r="AO113" s="79">
        <f ca="1">AK113*AM113</f>
        <v>18266.447198324531</v>
      </c>
      <c r="AP113" s="68"/>
      <c r="AQ113" s="69">
        <f ca="1">AD115+AI113</f>
        <v>0.8</v>
      </c>
      <c r="AR113" s="68"/>
      <c r="AS113" s="80">
        <f t="shared" ref="AS113" ca="1" si="8">AK113*AQ113</f>
        <v>0.3543744694464</v>
      </c>
      <c r="AT113" s="68"/>
      <c r="AU113" s="81">
        <f ca="1">AK113*Cst_sma16_life</f>
        <v>14054.679880757851</v>
      </c>
      <c r="AW113" s="80">
        <f ca="1">AK113*QALY_sma16_life</f>
        <v>4.5210067971878898</v>
      </c>
      <c r="AY113" s="82">
        <f ca="1">AU113+AO113</f>
        <v>32321.127079082384</v>
      </c>
      <c r="BA113" s="83">
        <f ca="1">AW113+AS113</f>
        <v>4.8753812666342897</v>
      </c>
    </row>
    <row r="114" spans="9:53" x14ac:dyDescent="0.3"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 t="s">
        <v>200</v>
      </c>
      <c r="Z114" s="11"/>
      <c r="AA114" s="11"/>
      <c r="AB114" s="11"/>
      <c r="AC114" s="11"/>
      <c r="AD114" s="77">
        <f ca="1">Cst_post_lar16_mtc</f>
        <v>36915.462885387984</v>
      </c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80"/>
      <c r="AP114" s="11"/>
      <c r="AQ114" s="69"/>
      <c r="AR114" s="11"/>
      <c r="AS114" s="80"/>
      <c r="AT114" s="11"/>
      <c r="AU114" s="81"/>
      <c r="AW114" s="80"/>
      <c r="AY114" s="83"/>
      <c r="BA114" s="83"/>
    </row>
    <row r="115" spans="9:53" x14ac:dyDescent="0.3"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76">
        <f ca="1">(1 - Prob_Min30_sma16)</f>
        <v>0.98799999999999999</v>
      </c>
      <c r="Z115" s="11"/>
      <c r="AA115" s="11"/>
      <c r="AB115" s="11"/>
      <c r="AC115" s="11"/>
      <c r="AD115" s="78">
        <f ca="1">U_sma16*(30/365)</f>
        <v>6.575342465753424E-2</v>
      </c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80"/>
      <c r="AP115" s="11"/>
      <c r="AQ115" s="69"/>
      <c r="AR115" s="11"/>
      <c r="AS115" s="80"/>
      <c r="AT115" s="11"/>
      <c r="AU115" s="81"/>
      <c r="AW115" s="80"/>
      <c r="AY115" s="83"/>
      <c r="BA115" s="83"/>
    </row>
    <row r="116" spans="9:53" x14ac:dyDescent="0.3"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 t="s">
        <v>219</v>
      </c>
      <c r="U116" s="11"/>
      <c r="V116" s="11"/>
      <c r="W116" s="77">
        <f>Cst_lar16_MTC</f>
        <v>3342</v>
      </c>
      <c r="X116" s="11"/>
      <c r="Y116" s="11"/>
      <c r="Z116" s="11"/>
      <c r="AA116" s="11"/>
      <c r="AB116" s="11"/>
      <c r="AC116" s="11"/>
      <c r="AD116" s="11"/>
      <c r="AE116" s="11"/>
      <c r="AF116" s="11" t="s">
        <v>201</v>
      </c>
      <c r="AG116" s="11"/>
      <c r="AH116" s="11"/>
      <c r="AI116" s="11"/>
      <c r="AJ116" s="11"/>
      <c r="AK116" s="11"/>
      <c r="AL116" s="11"/>
      <c r="AM116" s="11"/>
      <c r="AN116" s="11"/>
      <c r="AO116" s="80"/>
      <c r="AP116" s="11"/>
      <c r="AQ116" s="69"/>
      <c r="AR116" s="11"/>
      <c r="AS116" s="80"/>
      <c r="AT116" s="11"/>
      <c r="AU116" s="81"/>
      <c r="AW116" s="80"/>
      <c r="AY116" s="83"/>
      <c r="BA116" s="83"/>
    </row>
    <row r="117" spans="9:53" x14ac:dyDescent="0.3"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76">
        <f ca="1">(1-Prob_R2_spe)</f>
        <v>0.6</v>
      </c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76">
        <f ca="1">Prob_Min1y_sma16</f>
        <v>1.7000000000000001E-2</v>
      </c>
      <c r="AG117" s="11"/>
      <c r="AH117" s="11"/>
      <c r="AI117" s="11"/>
      <c r="AJ117" s="11"/>
      <c r="AK117" s="11">
        <f ca="1">O122*T117*Y115*AF117</f>
        <v>7.660689192000001E-3</v>
      </c>
      <c r="AL117" s="11"/>
      <c r="AM117" s="67">
        <f ca="1">M101+M102+W116+AD114</f>
        <v>41236.485747655985</v>
      </c>
      <c r="AN117" s="11"/>
      <c r="AO117" s="79">
        <f ca="1">AK117*AM117</f>
        <v>315.89990068313028</v>
      </c>
      <c r="AP117" s="68"/>
      <c r="AQ117" s="69">
        <f ca="1">AD115</f>
        <v>6.575342465753424E-2</v>
      </c>
      <c r="AR117" s="68"/>
      <c r="AS117" s="80">
        <f t="shared" ref="AS117" ca="1" si="9">AK117*AQ117</f>
        <v>5.0371654961095893E-4</v>
      </c>
      <c r="AT117" s="68"/>
      <c r="AU117" s="81">
        <v>0</v>
      </c>
      <c r="AW117" s="80">
        <v>0</v>
      </c>
      <c r="AY117" s="82">
        <f ca="1">AU117+AO117</f>
        <v>315.89990068313028</v>
      </c>
      <c r="BA117" s="83">
        <f ca="1">AW117+AS117</f>
        <v>5.0371654961095893E-4</v>
      </c>
    </row>
    <row r="118" spans="9:53" x14ac:dyDescent="0.3">
      <c r="I118" s="11"/>
      <c r="J118" s="11"/>
      <c r="K118" s="11"/>
      <c r="L118" s="11"/>
      <c r="M118" s="65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 t="s">
        <v>202</v>
      </c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80"/>
      <c r="AP118" s="11"/>
      <c r="AQ118" s="69"/>
      <c r="AR118" s="11"/>
      <c r="AS118" s="80"/>
      <c r="AT118" s="11"/>
      <c r="AU118" s="81"/>
      <c r="AW118" s="80"/>
      <c r="AY118" s="83"/>
      <c r="BA118" s="83"/>
    </row>
    <row r="119" spans="9:53" x14ac:dyDescent="0.3">
      <c r="I119" s="11"/>
      <c r="J119" s="11"/>
      <c r="K119" s="11"/>
      <c r="L119" s="11"/>
      <c r="M119" s="65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76">
        <f ca="1">Prob_Min30_sma16</f>
        <v>1.2E-2</v>
      </c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>
        <f ca="1">O122*T117*Y119</f>
        <v>5.4732240000000005E-3</v>
      </c>
      <c r="AL119" s="11"/>
      <c r="AM119" s="67">
        <f ca="1">M101+M102+W116</f>
        <v>4321.0228622680006</v>
      </c>
      <c r="AN119" s="11"/>
      <c r="AO119" s="79">
        <f ca="1">AK119*AM119</f>
        <v>23.649926034313918</v>
      </c>
      <c r="AP119" s="68"/>
      <c r="AQ119" s="69">
        <f>0</f>
        <v>0</v>
      </c>
      <c r="AR119" s="68"/>
      <c r="AS119" s="80">
        <f t="shared" ref="AS119" ca="1" si="10">AK119*AQ119</f>
        <v>0</v>
      </c>
      <c r="AT119" s="68"/>
      <c r="AU119" s="81">
        <v>0</v>
      </c>
      <c r="AW119" s="80">
        <v>0</v>
      </c>
      <c r="AY119" s="82">
        <f ca="1">AU119+AO119</f>
        <v>23.649926034313918</v>
      </c>
      <c r="BA119" s="83">
        <f ca="1">AW119+AS119</f>
        <v>0</v>
      </c>
    </row>
    <row r="120" spans="9:53" x14ac:dyDescent="0.3">
      <c r="I120" s="11"/>
      <c r="J120" s="11"/>
      <c r="K120" s="11"/>
      <c r="L120" s="11"/>
      <c r="M120" s="65"/>
      <c r="N120" s="11"/>
      <c r="O120" s="11" t="s">
        <v>214</v>
      </c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80"/>
      <c r="AP120" s="11"/>
      <c r="AQ120" s="69"/>
      <c r="AR120" s="11"/>
      <c r="AS120" s="80"/>
      <c r="AT120" s="11"/>
      <c r="AU120" s="81"/>
      <c r="AW120" s="80"/>
      <c r="AY120" s="83"/>
      <c r="BA120" s="83"/>
    </row>
    <row r="121" spans="9:53" x14ac:dyDescent="0.3">
      <c r="I121" s="11"/>
      <c r="J121" s="11"/>
      <c r="K121" s="11"/>
      <c r="L121" s="11"/>
      <c r="M121" s="65"/>
      <c r="N121" s="11"/>
      <c r="O121" s="11" t="s">
        <v>215</v>
      </c>
      <c r="P121" s="11"/>
      <c r="Q121" s="11"/>
      <c r="R121" s="77">
        <f ca="1">Cst_sma9_hosp</f>
        <v>10365.078230981773</v>
      </c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 t="s">
        <v>205</v>
      </c>
      <c r="AG121" s="11"/>
      <c r="AH121" s="11"/>
      <c r="AI121" s="11"/>
      <c r="AJ121" s="11"/>
      <c r="AK121" s="11"/>
      <c r="AL121" s="11"/>
      <c r="AM121" s="11"/>
      <c r="AN121" s="11"/>
      <c r="AO121" s="80"/>
      <c r="AP121" s="11"/>
      <c r="AQ121" s="69"/>
      <c r="AR121" s="11"/>
      <c r="AS121" s="80"/>
      <c r="AT121" s="11"/>
      <c r="AU121" s="81"/>
      <c r="AW121" s="80"/>
      <c r="AY121" s="83"/>
      <c r="BA121" s="83"/>
    </row>
    <row r="122" spans="9:53" x14ac:dyDescent="0.3">
      <c r="I122" s="11"/>
      <c r="J122" s="11"/>
      <c r="K122" s="11"/>
      <c r="L122" s="11"/>
      <c r="M122" s="65"/>
      <c r="N122" s="11"/>
      <c r="O122" s="76">
        <f>Prob_ISS_sma9</f>
        <v>0.76017000000000001</v>
      </c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76">
        <f ca="1">(1 - Prob_Min1y_sma16 * RR_Min1y_lar16_local)</f>
        <v>0.97211999999999998</v>
      </c>
      <c r="AG122" s="11"/>
      <c r="AH122" s="11"/>
      <c r="AI122" s="78">
        <f ca="1">U_sma16*((365-30)/365)</f>
        <v>0.73424657534246585</v>
      </c>
      <c r="AJ122" s="11"/>
      <c r="AK122" s="11">
        <f ca="1">O122*T126*Y124*AF122</f>
        <v>0.29160011127384</v>
      </c>
      <c r="AL122" s="11"/>
      <c r="AM122" s="67">
        <f ca="1">M102+R121+AD123</f>
        <v>47587.149258881684</v>
      </c>
      <c r="AN122" s="11"/>
      <c r="AO122" s="79">
        <f ca="1">AK122*AM122</f>
        <v>13876.418019094732</v>
      </c>
      <c r="AP122" s="11"/>
      <c r="AQ122" s="69">
        <f ca="1">AD124+AI122</f>
        <v>0.8</v>
      </c>
      <c r="AR122" s="11"/>
      <c r="AS122" s="80">
        <f t="shared" ref="AS122" ca="1" si="11">AK122*AQ122</f>
        <v>0.23328008901907202</v>
      </c>
      <c r="AT122" s="11"/>
      <c r="AU122" s="81">
        <f ca="1">AK122*Cst_sma16_life</f>
        <v>9252.0123665783995</v>
      </c>
      <c r="AW122" s="80">
        <f ca="1">AK122*QALY_sma16_life</f>
        <v>2.9761197801619299</v>
      </c>
      <c r="AY122" s="82">
        <f ca="1">AU122+AO122</f>
        <v>23128.430385673131</v>
      </c>
      <c r="BA122" s="83">
        <f ca="1">AW122+AS122</f>
        <v>3.2093998691810017</v>
      </c>
    </row>
    <row r="123" spans="9:53" x14ac:dyDescent="0.3">
      <c r="I123" s="11"/>
      <c r="J123" s="11"/>
      <c r="K123" s="11"/>
      <c r="L123" s="11"/>
      <c r="M123" s="65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 t="s">
        <v>206</v>
      </c>
      <c r="Z123" s="11"/>
      <c r="AA123" s="11"/>
      <c r="AB123" s="11"/>
      <c r="AC123" s="11"/>
      <c r="AD123" s="77">
        <f ca="1">Cst_post_lar16_local</f>
        <v>36243.04816563191</v>
      </c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80"/>
      <c r="AP123" s="11"/>
      <c r="AQ123" s="69"/>
      <c r="AR123" s="11"/>
      <c r="AS123" s="80"/>
      <c r="AT123" s="11"/>
      <c r="AU123" s="81"/>
      <c r="AW123" s="80"/>
      <c r="AY123" s="83"/>
      <c r="BA123" s="83"/>
    </row>
    <row r="124" spans="9:53" x14ac:dyDescent="0.3">
      <c r="I124" s="11"/>
      <c r="J124" s="11"/>
      <c r="K124" s="11"/>
      <c r="L124" s="11"/>
      <c r="M124" s="65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76">
        <f ca="1">(1 - Prob_Min30_sma16 * RR_Min30_lar16_local)</f>
        <v>0.98650000000000004</v>
      </c>
      <c r="Z124" s="11"/>
      <c r="AA124" s="11"/>
      <c r="AB124" s="11"/>
      <c r="AC124" s="11"/>
      <c r="AD124" s="78">
        <f ca="1">U_sma16*(30/365)</f>
        <v>6.575342465753424E-2</v>
      </c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80"/>
      <c r="AP124" s="11"/>
      <c r="AQ124" s="69"/>
      <c r="AR124" s="11"/>
      <c r="AS124" s="80"/>
      <c r="AT124" s="11"/>
      <c r="AU124" s="81"/>
      <c r="AW124" s="80"/>
      <c r="AY124" s="83"/>
      <c r="BA124" s="83"/>
    </row>
    <row r="125" spans="9:53" x14ac:dyDescent="0.3">
      <c r="I125" s="11"/>
      <c r="J125" s="11"/>
      <c r="K125" s="11"/>
      <c r="L125" s="11"/>
      <c r="M125" s="65"/>
      <c r="N125" s="11"/>
      <c r="O125" s="11"/>
      <c r="P125" s="11"/>
      <c r="Q125" s="11"/>
      <c r="R125" s="11"/>
      <c r="S125" s="11"/>
      <c r="T125" s="11" t="s">
        <v>220</v>
      </c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 t="s">
        <v>207</v>
      </c>
      <c r="AG125" s="11"/>
      <c r="AH125" s="11"/>
      <c r="AI125" s="11"/>
      <c r="AJ125" s="11"/>
      <c r="AK125" s="11"/>
      <c r="AL125" s="11"/>
      <c r="AM125" s="11"/>
      <c r="AN125" s="11"/>
      <c r="AO125" s="80"/>
      <c r="AP125" s="11"/>
      <c r="AQ125" s="69"/>
      <c r="AR125" s="11"/>
      <c r="AS125" s="80"/>
      <c r="AT125" s="11"/>
      <c r="AU125" s="81"/>
      <c r="AW125" s="80"/>
      <c r="AY125" s="83"/>
      <c r="BA125" s="83"/>
    </row>
    <row r="126" spans="9:53" x14ac:dyDescent="0.3">
      <c r="I126" s="11"/>
      <c r="J126" s="11"/>
      <c r="K126" s="11"/>
      <c r="L126" s="11"/>
      <c r="M126" s="65"/>
      <c r="N126" s="11"/>
      <c r="O126" s="11"/>
      <c r="P126" s="11"/>
      <c r="Q126" s="11"/>
      <c r="R126" s="11"/>
      <c r="S126" s="11"/>
      <c r="T126" s="76">
        <f ca="1" xml:space="preserve"> Prob_R2_spe</f>
        <v>0.4</v>
      </c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76">
        <f ca="1">Prob_Min1y_sma16 * RR_Min1y_lar16_local</f>
        <v>2.7880000000000002E-2</v>
      </c>
      <c r="AG126" s="11"/>
      <c r="AH126" s="11"/>
      <c r="AI126" s="11"/>
      <c r="AJ126" s="11"/>
      <c r="AK126" s="11">
        <f ca="1">O122*T126*Y124*AF126</f>
        <v>8.362970726160001E-3</v>
      </c>
      <c r="AL126" s="11"/>
      <c r="AM126" s="67">
        <f ca="1">M102+R121+AD123</f>
        <v>47587.149258881684</v>
      </c>
      <c r="AN126" s="11"/>
      <c r="AO126" s="79">
        <f ca="1">AK126*AM126</f>
        <v>397.96993619343408</v>
      </c>
      <c r="AP126" s="11"/>
      <c r="AQ126" s="69">
        <f ca="1">AD124</f>
        <v>6.575342465753424E-2</v>
      </c>
      <c r="AR126" s="11"/>
      <c r="AS126" s="80">
        <f t="shared" ref="AS126" ca="1" si="12">AK126*AQ126</f>
        <v>5.4989396555572606E-4</v>
      </c>
      <c r="AT126" s="11"/>
      <c r="AU126" s="81">
        <v>0</v>
      </c>
      <c r="AW126" s="80">
        <v>0</v>
      </c>
      <c r="AY126" s="82">
        <f ca="1">AU126+AO126</f>
        <v>397.96993619343408</v>
      </c>
      <c r="BA126" s="83">
        <f ca="1">AW126+AS126</f>
        <v>5.4989396555572606E-4</v>
      </c>
    </row>
    <row r="127" spans="9:53" x14ac:dyDescent="0.3">
      <c r="I127" s="11"/>
      <c r="J127" s="11"/>
      <c r="K127" s="11"/>
      <c r="L127" s="11"/>
      <c r="M127" s="65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 t="s">
        <v>208</v>
      </c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80"/>
      <c r="AP127" s="11"/>
      <c r="AQ127" s="69"/>
      <c r="AR127" s="11"/>
      <c r="AS127" s="80"/>
      <c r="AT127" s="11"/>
      <c r="AU127" s="81"/>
      <c r="AW127" s="80"/>
      <c r="AY127" s="83"/>
      <c r="BA127" s="83"/>
    </row>
    <row r="128" spans="9:53" x14ac:dyDescent="0.3">
      <c r="I128" s="11"/>
      <c r="J128" s="11"/>
      <c r="K128" s="11"/>
      <c r="L128" s="11"/>
      <c r="M128" s="65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76">
        <f ca="1">Prob_Min30_sma16 * RR_Min30_lar16_local</f>
        <v>1.35E-2</v>
      </c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>
        <f ca="1">O122*T126*Y128</f>
        <v>4.1049179999999999E-3</v>
      </c>
      <c r="AL128" s="11"/>
      <c r="AM128" s="67">
        <f ca="1">M102+R121</f>
        <v>11344.101093249774</v>
      </c>
      <c r="AN128" s="11"/>
      <c r="AO128" s="79">
        <f ca="1">AK128*AM128</f>
        <v>46.566604771500671</v>
      </c>
      <c r="AP128" s="11"/>
      <c r="AQ128" s="69">
        <f>0</f>
        <v>0</v>
      </c>
      <c r="AR128" s="11"/>
      <c r="AS128" s="80">
        <f t="shared" ref="AS128" ca="1" si="13">AK128*AQ128</f>
        <v>0</v>
      </c>
      <c r="AT128" s="11"/>
      <c r="AU128" s="81">
        <v>0</v>
      </c>
      <c r="AW128" s="80">
        <v>0</v>
      </c>
      <c r="AY128" s="82">
        <f ca="1">AU128+AO128</f>
        <v>46.566604771500671</v>
      </c>
      <c r="BA128" s="83">
        <f ca="1">AW128+AS128</f>
        <v>0</v>
      </c>
    </row>
    <row r="129" spans="9:54" x14ac:dyDescent="0.3"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69"/>
      <c r="AR129" s="11"/>
      <c r="AS129" s="11"/>
      <c r="AT129" s="11"/>
      <c r="AU129" s="36"/>
    </row>
    <row r="130" spans="9:54" x14ac:dyDescent="0.3"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69"/>
      <c r="AR130" s="11"/>
      <c r="AS130" s="11"/>
      <c r="AT130" s="11"/>
      <c r="AU130" s="36"/>
    </row>
    <row r="133" spans="9:54" x14ac:dyDescent="0.3"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69"/>
      <c r="AR133" s="11"/>
      <c r="AS133" s="11"/>
      <c r="AT133" s="11"/>
      <c r="AU133" s="36"/>
    </row>
    <row r="134" spans="9:54" x14ac:dyDescent="0.3"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69"/>
      <c r="AR134" s="11"/>
      <c r="AS134" s="11"/>
      <c r="AT134" s="11"/>
      <c r="AU134" s="36"/>
      <c r="AY134" s="36"/>
    </row>
    <row r="135" spans="9:54" ht="15" thickBot="1" x14ac:dyDescent="0.35">
      <c r="AF135" s="11"/>
    </row>
    <row r="136" spans="9:54" ht="15" thickBot="1" x14ac:dyDescent="0.35">
      <c r="AJ136" s="85" t="s">
        <v>106</v>
      </c>
      <c r="AK136" s="89">
        <f ca="1">SUM(AK138:AK190)</f>
        <v>1.0000000000000002</v>
      </c>
      <c r="AL136" s="85"/>
      <c r="AM136" s="85"/>
      <c r="AN136" s="85"/>
      <c r="AO136" s="85"/>
      <c r="AP136" s="85"/>
      <c r="AQ136" s="87"/>
      <c r="AR136" s="85"/>
      <c r="AS136" s="85"/>
      <c r="AT136" s="85"/>
      <c r="AU136" s="88"/>
      <c r="AV136" s="85"/>
      <c r="AW136" s="86"/>
      <c r="AX136" s="85"/>
      <c r="AY136" s="90">
        <f ca="1">SUM(AY138:AY190)</f>
        <v>76866.158693589023</v>
      </c>
      <c r="AZ136" s="85"/>
      <c r="BA136" s="91">
        <f ca="1">SUM(BA138:BA190)</f>
        <v>10.136717602123875</v>
      </c>
      <c r="BB136" s="85"/>
    </row>
    <row r="137" spans="9:54" ht="15" thickBot="1" x14ac:dyDescent="0.35"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 t="s">
        <v>196</v>
      </c>
      <c r="AG137" s="11"/>
      <c r="AH137" s="11"/>
      <c r="AI137" s="11"/>
      <c r="AJ137" s="11"/>
      <c r="AK137" s="195" t="s">
        <v>197</v>
      </c>
      <c r="AL137" s="193"/>
      <c r="AM137" s="196" t="s">
        <v>198</v>
      </c>
      <c r="AN137" s="196"/>
      <c r="AO137" s="193" t="s">
        <v>199</v>
      </c>
      <c r="AP137" s="193"/>
      <c r="AQ137" s="197" t="s">
        <v>216</v>
      </c>
      <c r="AR137" s="197"/>
      <c r="AS137" s="193" t="s">
        <v>217</v>
      </c>
      <c r="AT137" s="193"/>
      <c r="AU137" s="198" t="s">
        <v>237</v>
      </c>
      <c r="AV137" s="198"/>
      <c r="AW137" s="193" t="s">
        <v>238</v>
      </c>
      <c r="AX137" s="193"/>
      <c r="AY137" s="193" t="s">
        <v>239</v>
      </c>
      <c r="AZ137" s="193"/>
      <c r="BA137" s="193" t="s">
        <v>195</v>
      </c>
      <c r="BB137" s="194"/>
    </row>
    <row r="138" spans="9:54" x14ac:dyDescent="0.3"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76">
        <f ca="1">1 - Prob_Min1y_lar16_mtc</f>
        <v>0.97</v>
      </c>
      <c r="AG138" s="11"/>
      <c r="AH138" s="11"/>
      <c r="AI138" s="78">
        <f ca="1">U_lar16*((365-30)/365)</f>
        <v>0.6424657534246575</v>
      </c>
      <c r="AJ138" s="11"/>
      <c r="AK138" s="11">
        <f ca="1">O147*T142*Y140*AF138</f>
        <v>5.9372729999999999E-2</v>
      </c>
      <c r="AL138" s="11"/>
      <c r="AM138" s="67">
        <f ca="1">M164+R146+W141+AD139</f>
        <v>59119.376927083526</v>
      </c>
      <c r="AN138" s="11"/>
      <c r="AO138" s="79">
        <f ca="1">AK138*AM138</f>
        <v>3510.0788040599596</v>
      </c>
      <c r="AP138" s="68"/>
      <c r="AQ138" s="69">
        <f ca="1">AD140+AI138</f>
        <v>0.7</v>
      </c>
      <c r="AR138" s="68"/>
      <c r="AS138" s="80">
        <f ca="1">AK138*AQ138</f>
        <v>4.1560910999999999E-2</v>
      </c>
      <c r="AT138" s="68"/>
      <c r="AU138" s="81">
        <f ca="1">AK138*Cst_lar16_life</f>
        <v>2598.2028527736065</v>
      </c>
      <c r="AW138" s="80">
        <f ca="1">AK138*QALY_lar16_life</f>
        <v>0.32333191056738214</v>
      </c>
      <c r="AY138" s="82">
        <f ca="1">AU138+AO138</f>
        <v>6108.2816568335656</v>
      </c>
      <c r="BA138" s="83">
        <f ca="1">AW138+AS138</f>
        <v>0.36489282156738212</v>
      </c>
    </row>
    <row r="139" spans="9:54" x14ac:dyDescent="0.3"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 t="s">
        <v>200</v>
      </c>
      <c r="Z139" s="11"/>
      <c r="AA139" s="11"/>
      <c r="AB139" s="11"/>
      <c r="AC139" s="11"/>
      <c r="AD139" s="77">
        <f ca="1">Cst_post_lar16_mtc</f>
        <v>36915.462885387984</v>
      </c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80"/>
      <c r="AP139" s="11"/>
      <c r="AQ139" s="69"/>
      <c r="AR139" s="11"/>
      <c r="AS139" s="80"/>
      <c r="AT139" s="11"/>
      <c r="AU139" s="81"/>
      <c r="AW139" s="80"/>
      <c r="AY139" s="83"/>
      <c r="BA139" s="83"/>
    </row>
    <row r="140" spans="9:54" x14ac:dyDescent="0.3"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76">
        <f ca="1">1 - Prob_Min30_lar16_mtc</f>
        <v>0.9</v>
      </c>
      <c r="Z140" s="11"/>
      <c r="AA140" s="11"/>
      <c r="AB140" s="11"/>
      <c r="AC140" s="11"/>
      <c r="AD140" s="78">
        <f ca="1">U_lar16*(30/365)</f>
        <v>5.7534246575342458E-2</v>
      </c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80"/>
      <c r="AP140" s="11"/>
      <c r="AQ140" s="69"/>
      <c r="AR140" s="11"/>
      <c r="AS140" s="80"/>
      <c r="AT140" s="11"/>
      <c r="AU140" s="81"/>
      <c r="AW140" s="80"/>
      <c r="AY140" s="83"/>
      <c r="BA140" s="83"/>
    </row>
    <row r="141" spans="9:54" x14ac:dyDescent="0.3"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 t="s">
        <v>219</v>
      </c>
      <c r="U141" s="11"/>
      <c r="V141" s="11"/>
      <c r="W141" s="77">
        <f>Cst_lar16_MTC</f>
        <v>3342</v>
      </c>
      <c r="X141" s="11"/>
      <c r="Y141" s="11"/>
      <c r="Z141" s="11"/>
      <c r="AA141" s="11"/>
      <c r="AB141" s="11"/>
      <c r="AC141" s="11"/>
      <c r="AD141" s="11"/>
      <c r="AE141" s="11"/>
      <c r="AF141" s="11" t="s">
        <v>201</v>
      </c>
      <c r="AG141" s="11"/>
      <c r="AH141" s="11"/>
      <c r="AI141" s="11"/>
      <c r="AJ141" s="11"/>
      <c r="AK141" s="11"/>
      <c r="AL141" s="11"/>
      <c r="AM141" s="11"/>
      <c r="AN141" s="11"/>
      <c r="AO141" s="80"/>
      <c r="AP141" s="11"/>
      <c r="AQ141" s="69"/>
      <c r="AR141" s="11"/>
      <c r="AS141" s="80"/>
      <c r="AT141" s="11"/>
      <c r="AU141" s="81"/>
      <c r="AW141" s="80"/>
      <c r="AY141" s="83"/>
      <c r="BA141" s="83"/>
    </row>
    <row r="142" spans="9:54" x14ac:dyDescent="0.3"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76">
        <f ca="1">Prob_R3_sen</f>
        <v>0.75</v>
      </c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76">
        <f ca="1">Prob_Min1y_lar16_mtc</f>
        <v>0.03</v>
      </c>
      <c r="AG142" s="11"/>
      <c r="AH142" s="11"/>
      <c r="AI142" s="11"/>
      <c r="AJ142" s="11"/>
      <c r="AK142" s="11">
        <f ca="1">O147*T142*Y140*AF142</f>
        <v>1.8362699999999999E-3</v>
      </c>
      <c r="AL142" s="11"/>
      <c r="AM142" s="67">
        <f ca="1">M164+R146+W141+AD139</f>
        <v>59119.376927083526</v>
      </c>
      <c r="AN142" s="11"/>
      <c r="AO142" s="79">
        <f ca="1">AK142*AM142</f>
        <v>108.55913826989566</v>
      </c>
      <c r="AP142" s="68"/>
      <c r="AQ142" s="69">
        <f ca="1">AD140</f>
        <v>5.7534246575342458E-2</v>
      </c>
      <c r="AR142" s="68"/>
      <c r="AS142" s="80">
        <f ca="1">AK142*AQ142</f>
        <v>1.0564841095890409E-4</v>
      </c>
      <c r="AT142" s="68"/>
      <c r="AU142" s="81">
        <v>0</v>
      </c>
      <c r="AW142" s="80">
        <v>0</v>
      </c>
      <c r="AY142" s="84">
        <f ca="1">AW142+AO142</f>
        <v>108.55913826989566</v>
      </c>
      <c r="BA142" s="83">
        <f ca="1">AW142+AS142</f>
        <v>1.0564841095890409E-4</v>
      </c>
    </row>
    <row r="143" spans="9:54" x14ac:dyDescent="0.3"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 t="s">
        <v>202</v>
      </c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80"/>
      <c r="AP143" s="11"/>
      <c r="AQ143" s="69"/>
      <c r="AR143" s="11"/>
      <c r="AS143" s="80"/>
      <c r="AT143" s="11"/>
      <c r="AU143" s="81"/>
      <c r="AW143" s="80"/>
      <c r="AY143" s="83"/>
      <c r="BA143" s="83"/>
    </row>
    <row r="144" spans="9:54" x14ac:dyDescent="0.3"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76">
        <f ca="1">Prob_Min30_lar16_mtc</f>
        <v>0.1</v>
      </c>
      <c r="Z144" s="11"/>
      <c r="AA144" s="11"/>
      <c r="AB144" s="11"/>
      <c r="AC144" s="11"/>
      <c r="AD144" s="11">
        <v>0</v>
      </c>
      <c r="AE144" s="11"/>
      <c r="AF144" s="11"/>
      <c r="AG144" s="11"/>
      <c r="AH144" s="11"/>
      <c r="AI144" s="11"/>
      <c r="AJ144" s="11"/>
      <c r="AK144" s="11">
        <f ca="1">O147*T142*Y144</f>
        <v>6.8010000000000006E-3</v>
      </c>
      <c r="AL144" s="11"/>
      <c r="AM144" s="67">
        <f ca="1">M164+R146+W141</f>
        <v>22203.914041695542</v>
      </c>
      <c r="AN144" s="11"/>
      <c r="AO144" s="79">
        <f ca="1">AK144*AM144</f>
        <v>151.00881939757139</v>
      </c>
      <c r="AP144" s="68"/>
      <c r="AQ144" s="69">
        <f>AD144</f>
        <v>0</v>
      </c>
      <c r="AR144" s="68"/>
      <c r="AS144" s="80">
        <f ca="1">AK144*AQ144</f>
        <v>0</v>
      </c>
      <c r="AT144" s="68"/>
      <c r="AU144" s="81">
        <v>0</v>
      </c>
      <c r="AW144" s="80">
        <v>0</v>
      </c>
      <c r="AY144" s="82">
        <f ca="1">AU144+AO144</f>
        <v>151.00881939757139</v>
      </c>
      <c r="BA144" s="83">
        <f ca="1">AW144+AS144</f>
        <v>0</v>
      </c>
    </row>
    <row r="145" spans="9:53" x14ac:dyDescent="0.3">
      <c r="I145" s="11"/>
      <c r="J145" s="11"/>
      <c r="K145" s="11"/>
      <c r="L145" s="11"/>
      <c r="M145" s="11"/>
      <c r="N145" s="11"/>
      <c r="O145" s="11" t="s">
        <v>203</v>
      </c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80"/>
      <c r="AP145" s="11"/>
      <c r="AQ145" s="69"/>
      <c r="AR145" s="11"/>
      <c r="AS145" s="80"/>
      <c r="AT145" s="11"/>
      <c r="AU145" s="81"/>
      <c r="AW145" s="80"/>
      <c r="AY145" s="83"/>
      <c r="BA145" s="83"/>
    </row>
    <row r="146" spans="9:53" x14ac:dyDescent="0.3">
      <c r="I146" s="11"/>
      <c r="J146" s="11"/>
      <c r="K146" s="11"/>
      <c r="L146" s="11"/>
      <c r="M146" s="11"/>
      <c r="N146" s="11"/>
      <c r="O146" s="11" t="s">
        <v>204</v>
      </c>
      <c r="P146" s="11"/>
      <c r="Q146" s="11"/>
      <c r="R146" s="77">
        <f>Cst_lar16_hosp</f>
        <v>18052.891179427541</v>
      </c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 t="s">
        <v>205</v>
      </c>
      <c r="AG146" s="11"/>
      <c r="AH146" s="11"/>
      <c r="AI146" s="11"/>
      <c r="AJ146" s="11"/>
      <c r="AK146" s="11"/>
      <c r="AL146" s="11"/>
      <c r="AM146" s="11"/>
      <c r="AN146" s="11"/>
      <c r="AO146" s="80"/>
      <c r="AP146" s="11"/>
      <c r="AQ146" s="69"/>
      <c r="AR146" s="11"/>
      <c r="AS146" s="80"/>
      <c r="AT146" s="11"/>
      <c r="AU146" s="81"/>
      <c r="AW146" s="80"/>
      <c r="AY146" s="83"/>
      <c r="BA146" s="83"/>
    </row>
    <row r="147" spans="9:53" x14ac:dyDescent="0.3">
      <c r="I147" s="11"/>
      <c r="J147" s="11"/>
      <c r="K147" s="11"/>
      <c r="L147" s="11"/>
      <c r="M147" s="11"/>
      <c r="N147" s="11"/>
      <c r="O147" s="76">
        <f>Prob_ISS_lag16</f>
        <v>9.0679999999999997E-2</v>
      </c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76">
        <f ca="1">(1 - Prob_Min1y_lar16_mtc * RR_Min1y_lar16_local)</f>
        <v>0.95079999999999998</v>
      </c>
      <c r="AG147" s="11"/>
      <c r="AH147" s="11"/>
      <c r="AI147" s="78">
        <f ca="1">U_lar16*((365-30)/365)</f>
        <v>0.6424657534246575</v>
      </c>
      <c r="AJ147" s="11"/>
      <c r="AK147" s="11">
        <f ca="1">O147*T151*Y149*AF147</f>
        <v>1.9129739449999999E-2</v>
      </c>
      <c r="AL147" s="11"/>
      <c r="AM147" s="67">
        <f ca="1">M164+R146+AD148</f>
        <v>55104.962207327451</v>
      </c>
      <c r="AN147" s="11"/>
      <c r="AO147" s="79">
        <f ca="1">AK147*AM147</f>
        <v>1054.1435694282709</v>
      </c>
      <c r="AP147" s="68"/>
      <c r="AQ147" s="69">
        <f ca="1">AD149+AI147</f>
        <v>0.7</v>
      </c>
      <c r="AR147" s="68"/>
      <c r="AS147" s="80">
        <f ca="1">AK147*AQ147</f>
        <v>1.3390817614999998E-2</v>
      </c>
      <c r="AT147" s="68"/>
      <c r="AU147" s="81">
        <f ca="1">AK147*Cst_lar16_life</f>
        <v>837.13421316159463</v>
      </c>
      <c r="AW147" s="80">
        <f ca="1">AK147*QALY_lar16_life</f>
        <v>0.10417670208233176</v>
      </c>
      <c r="AY147" s="82">
        <f ca="1">AU147+AO147</f>
        <v>1891.2777825898656</v>
      </c>
      <c r="BA147" s="83">
        <f ca="1">AW147+AS147</f>
        <v>0.11756751969733176</v>
      </c>
    </row>
    <row r="148" spans="9:53" x14ac:dyDescent="0.3"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 t="s">
        <v>206</v>
      </c>
      <c r="Z148" s="11"/>
      <c r="AA148" s="11"/>
      <c r="AB148" s="11"/>
      <c r="AC148" s="11"/>
      <c r="AD148" s="77">
        <f ca="1">Cst_post_lar16_local</f>
        <v>36243.04816563191</v>
      </c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80"/>
      <c r="AP148" s="11"/>
      <c r="AQ148" s="69"/>
      <c r="AR148" s="11"/>
      <c r="AS148" s="80"/>
      <c r="AT148" s="11"/>
      <c r="AU148" s="81"/>
      <c r="AW148" s="80"/>
      <c r="AY148" s="83"/>
      <c r="BA148" s="83"/>
    </row>
    <row r="149" spans="9:53" x14ac:dyDescent="0.3"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76">
        <f ca="1">(1 - Prob_Min30_lar16_mtc * RR_Min30_lar16_local)</f>
        <v>0.88749999999999996</v>
      </c>
      <c r="Z149" s="11"/>
      <c r="AA149" s="11"/>
      <c r="AB149" s="11"/>
      <c r="AC149" s="11"/>
      <c r="AD149" s="78">
        <f ca="1">U_lar16*(30/365)</f>
        <v>5.7534246575342458E-2</v>
      </c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80"/>
      <c r="AP149" s="11"/>
      <c r="AQ149" s="69"/>
      <c r="AR149" s="11"/>
      <c r="AS149" s="80"/>
      <c r="AT149" s="11"/>
      <c r="AU149" s="81"/>
      <c r="AW149" s="80"/>
      <c r="AY149" s="83"/>
      <c r="BA149" s="83"/>
    </row>
    <row r="150" spans="9:53" x14ac:dyDescent="0.3"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 t="s">
        <v>220</v>
      </c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 t="s">
        <v>207</v>
      </c>
      <c r="AG150" s="11"/>
      <c r="AH150" s="11"/>
      <c r="AI150" s="11"/>
      <c r="AJ150" s="11"/>
      <c r="AK150" s="11"/>
      <c r="AL150" s="11"/>
      <c r="AM150" s="11"/>
      <c r="AN150" s="11"/>
      <c r="AO150" s="80"/>
      <c r="AP150" s="11"/>
      <c r="AQ150" s="69"/>
      <c r="AR150" s="11"/>
      <c r="AS150" s="80"/>
      <c r="AT150" s="11"/>
      <c r="AU150" s="81"/>
      <c r="AW150" s="80"/>
      <c r="AY150" s="83"/>
      <c r="BA150" s="83"/>
    </row>
    <row r="151" spans="9:53" x14ac:dyDescent="0.3"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76">
        <f ca="1">(1- Prob_R3_sen)</f>
        <v>0.25</v>
      </c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76">
        <f ca="1">Prob_Min1y_lar16_mtc * RR_Min1y_lar16_local</f>
        <v>4.9199999999999994E-2</v>
      </c>
      <c r="AG151" s="11"/>
      <c r="AH151" s="11"/>
      <c r="AI151" s="11"/>
      <c r="AJ151" s="11"/>
      <c r="AK151" s="11">
        <f ca="1">O147*T151*Y149*AF151</f>
        <v>9.8988554999999978E-4</v>
      </c>
      <c r="AL151" s="11"/>
      <c r="AM151" s="67">
        <f ca="1">M164+R146+AD148</f>
        <v>55104.962207327451</v>
      </c>
      <c r="AN151" s="11"/>
      <c r="AO151" s="79">
        <f ca="1">AK151*AM151</f>
        <v>54.547605822329537</v>
      </c>
      <c r="AP151" s="68"/>
      <c r="AQ151" s="69">
        <f ca="1">AD149</f>
        <v>5.7534246575342458E-2</v>
      </c>
      <c r="AR151" s="68"/>
      <c r="AS151" s="80">
        <f t="shared" ref="AS151" ca="1" si="14">AK151*AQ151</f>
        <v>5.6952319315068473E-5</v>
      </c>
      <c r="AT151" s="68"/>
      <c r="AU151" s="81">
        <v>0</v>
      </c>
      <c r="AW151" s="80">
        <v>0</v>
      </c>
      <c r="AY151" s="82">
        <f ca="1">AU151+AO151</f>
        <v>54.547605822329537</v>
      </c>
      <c r="BA151" s="83">
        <f ca="1">AW151+AS151</f>
        <v>5.6952319315068473E-5</v>
      </c>
    </row>
    <row r="152" spans="9:53" x14ac:dyDescent="0.3"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 t="s">
        <v>208</v>
      </c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80"/>
      <c r="AP152" s="11"/>
      <c r="AQ152" s="69"/>
      <c r="AR152" s="11"/>
      <c r="AS152" s="80"/>
      <c r="AT152" s="11"/>
      <c r="AU152" s="81"/>
      <c r="AW152" s="80"/>
      <c r="AY152" s="83"/>
      <c r="BA152" s="83"/>
    </row>
    <row r="153" spans="9:53" x14ac:dyDescent="0.3"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76">
        <f ca="1" xml:space="preserve"> Prob_Min30_lar16_mtc * RR_Min30_lar16_local</f>
        <v>0.1125</v>
      </c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>
        <f ca="1">O147*T151*Y153</f>
        <v>2.5503750000000001E-3</v>
      </c>
      <c r="AL153" s="11"/>
      <c r="AM153" s="67">
        <f ca="1">M164+R146</f>
        <v>18861.914041695542</v>
      </c>
      <c r="AN153" s="11"/>
      <c r="AO153" s="79">
        <f ca="1">AK153*AM153</f>
        <v>48.104954024089267</v>
      </c>
      <c r="AP153" s="68"/>
      <c r="AQ153" s="69">
        <f>0</f>
        <v>0</v>
      </c>
      <c r="AR153" s="68"/>
      <c r="AS153" s="80">
        <f t="shared" ref="AS153" ca="1" si="15">AK153*AQ153</f>
        <v>0</v>
      </c>
      <c r="AT153" s="68"/>
      <c r="AU153" s="81">
        <v>0</v>
      </c>
      <c r="AW153" s="80">
        <v>0</v>
      </c>
      <c r="AY153" s="82">
        <f ca="1">AU153+AO153</f>
        <v>48.104954024089267</v>
      </c>
      <c r="BA153" s="83">
        <f ca="1">AW153+AS153</f>
        <v>0</v>
      </c>
    </row>
    <row r="154" spans="9:53" x14ac:dyDescent="0.3"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80"/>
      <c r="AP154" s="11"/>
      <c r="AQ154" s="69"/>
      <c r="AR154" s="11"/>
      <c r="AS154" s="80"/>
      <c r="AT154" s="11"/>
      <c r="AU154" s="81"/>
      <c r="AW154" s="80"/>
      <c r="AY154" s="83"/>
      <c r="BA154" s="83"/>
    </row>
    <row r="155" spans="9:53" x14ac:dyDescent="0.3"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 t="s">
        <v>196</v>
      </c>
      <c r="AG155" s="11"/>
      <c r="AH155" s="11"/>
      <c r="AI155" s="11"/>
      <c r="AJ155" s="11"/>
      <c r="AK155" s="11"/>
      <c r="AL155" s="11"/>
      <c r="AM155" s="11"/>
      <c r="AN155" s="11"/>
      <c r="AO155" s="80"/>
      <c r="AP155" s="11"/>
      <c r="AQ155" s="69"/>
      <c r="AR155" s="11"/>
      <c r="AS155" s="80"/>
      <c r="AT155" s="11"/>
      <c r="AU155" s="81"/>
      <c r="AW155" s="80"/>
      <c r="AY155" s="83"/>
      <c r="BA155" s="83"/>
    </row>
    <row r="156" spans="9:53" x14ac:dyDescent="0.3"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76">
        <f ca="1">(1 - Prob_Min1y_sma16)</f>
        <v>0.98299999999999998</v>
      </c>
      <c r="AG156" s="11"/>
      <c r="AH156" s="11"/>
      <c r="AI156" s="78">
        <f ca="1">U_sma16*((365-30)/365)</f>
        <v>0.73424657534246585</v>
      </c>
      <c r="AJ156" s="11"/>
      <c r="AK156" s="11">
        <f ca="1">O165*T160*Y158*AF156</f>
        <v>6.5184784469999993E-2</v>
      </c>
      <c r="AL156" s="11"/>
      <c r="AM156" s="67">
        <f ca="1">M164+R164+W159+AD157</f>
        <v>50688.581905781655</v>
      </c>
      <c r="AN156" s="11"/>
      <c r="AO156" s="79">
        <f ca="1">AK156*AM156</f>
        <v>3304.1242866183188</v>
      </c>
      <c r="AP156" s="68"/>
      <c r="AQ156" s="69">
        <f ca="1">AD158+AI156</f>
        <v>0.8</v>
      </c>
      <c r="AR156" s="68"/>
      <c r="AS156" s="80">
        <f t="shared" ref="AS156" ca="1" si="16">AK156*AQ156</f>
        <v>5.2147827575999998E-2</v>
      </c>
      <c r="AT156" s="68"/>
      <c r="AU156" s="81">
        <f ca="1">AK156*Cst_sma16_life</f>
        <v>2068.2105689007394</v>
      </c>
      <c r="AW156" s="80">
        <f ca="1">AK156*QALY_sma16_life</f>
        <v>0.66528687379195484</v>
      </c>
      <c r="AY156" s="82">
        <f ca="1">AU156+AO156</f>
        <v>5372.3348555190587</v>
      </c>
      <c r="BA156" s="83">
        <f ca="1">AW156+AS156</f>
        <v>0.71743470136795484</v>
      </c>
    </row>
    <row r="157" spans="9:53" x14ac:dyDescent="0.3"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 t="s">
        <v>200</v>
      </c>
      <c r="Z157" s="11"/>
      <c r="AA157" s="11"/>
      <c r="AB157" s="11"/>
      <c r="AC157" s="11"/>
      <c r="AD157" s="77">
        <f ca="1">Cst_post_lar16_mtc</f>
        <v>36915.462885387984</v>
      </c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80"/>
      <c r="AP157" s="11"/>
      <c r="AQ157" s="69"/>
      <c r="AR157" s="11"/>
      <c r="AS157" s="80"/>
      <c r="AT157" s="11"/>
      <c r="AU157" s="81"/>
      <c r="AW157" s="80"/>
      <c r="AY157" s="83"/>
      <c r="BA157" s="83"/>
    </row>
    <row r="158" spans="9:53" x14ac:dyDescent="0.3"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76">
        <f ca="1">(1 - Prob_Min30_sma16)</f>
        <v>0.98799999999999999</v>
      </c>
      <c r="Z158" s="11"/>
      <c r="AA158" s="11"/>
      <c r="AB158" s="11"/>
      <c r="AC158" s="11"/>
      <c r="AD158" s="78">
        <f ca="1">U_sma16*(30/365)</f>
        <v>6.575342465753424E-2</v>
      </c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80"/>
      <c r="AP158" s="11"/>
      <c r="AQ158" s="69"/>
      <c r="AR158" s="11"/>
      <c r="AS158" s="80"/>
      <c r="AT158" s="11"/>
      <c r="AU158" s="81"/>
      <c r="AW158" s="80"/>
      <c r="AY158" s="83"/>
      <c r="BA158" s="83"/>
    </row>
    <row r="159" spans="9:53" x14ac:dyDescent="0.3"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 t="s">
        <v>219</v>
      </c>
      <c r="U159" s="11"/>
      <c r="V159" s="11"/>
      <c r="W159" s="77">
        <f>Cst_lar16_MTC</f>
        <v>3342</v>
      </c>
      <c r="X159" s="11"/>
      <c r="Y159" s="11"/>
      <c r="Z159" s="11"/>
      <c r="AA159" s="11"/>
      <c r="AB159" s="11"/>
      <c r="AC159" s="11"/>
      <c r="AD159" s="11"/>
      <c r="AE159" s="11"/>
      <c r="AF159" s="11" t="s">
        <v>201</v>
      </c>
      <c r="AG159" s="11"/>
      <c r="AH159" s="11"/>
      <c r="AI159" s="11"/>
      <c r="AJ159" s="11"/>
      <c r="AK159" s="11"/>
      <c r="AL159" s="11"/>
      <c r="AM159" s="11"/>
      <c r="AN159" s="11"/>
      <c r="AO159" s="80"/>
      <c r="AP159" s="11"/>
      <c r="AQ159" s="69"/>
      <c r="AR159" s="11"/>
      <c r="AS159" s="80"/>
      <c r="AT159" s="11"/>
      <c r="AU159" s="81"/>
      <c r="AW159" s="80"/>
      <c r="AY159" s="83"/>
      <c r="BA159" s="83"/>
    </row>
    <row r="160" spans="9:53" x14ac:dyDescent="0.3"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76">
        <f ca="1">(1-Prob_R3_spe)</f>
        <v>0.44999999999999996</v>
      </c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76">
        <f ca="1">Prob_Min1y_sma16</f>
        <v>1.7000000000000001E-2</v>
      </c>
      <c r="AG160" s="11"/>
      <c r="AH160" s="11"/>
      <c r="AI160" s="11"/>
      <c r="AJ160" s="11"/>
      <c r="AK160" s="11">
        <f ca="1">O165*T160*Y158*AF160</f>
        <v>1.1273055299999999E-3</v>
      </c>
      <c r="AL160" s="11"/>
      <c r="AM160" s="67">
        <f ca="1">M164+R164+W159+AD157</f>
        <v>50688.581905781655</v>
      </c>
      <c r="AN160" s="11"/>
      <c r="AO160" s="79">
        <f ca="1">AK160*AM160</f>
        <v>57.141518690245597</v>
      </c>
      <c r="AP160" s="68"/>
      <c r="AQ160" s="69">
        <f ca="1">AD158</f>
        <v>6.575342465753424E-2</v>
      </c>
      <c r="AR160" s="68"/>
      <c r="AS160" s="80">
        <f t="shared" ref="AS160" ca="1" si="17">AK160*AQ160</f>
        <v>7.4124199232876708E-5</v>
      </c>
      <c r="AT160" s="68"/>
      <c r="AU160" s="81">
        <v>0</v>
      </c>
      <c r="AW160" s="80">
        <v>0</v>
      </c>
      <c r="AY160" s="82">
        <f ca="1">AU160+AO160</f>
        <v>57.141518690245597</v>
      </c>
      <c r="BA160" s="83">
        <f ca="1">AW160+AS160</f>
        <v>7.4124199232876708E-5</v>
      </c>
    </row>
    <row r="161" spans="9:53" x14ac:dyDescent="0.3"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 t="s">
        <v>202</v>
      </c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80"/>
      <c r="AP161" s="11"/>
      <c r="AQ161" s="69"/>
      <c r="AR161" s="11"/>
      <c r="AS161" s="80"/>
      <c r="AT161" s="11"/>
      <c r="AU161" s="81"/>
      <c r="AW161" s="80"/>
      <c r="AY161" s="83"/>
      <c r="BA161" s="83"/>
    </row>
    <row r="162" spans="9:53" x14ac:dyDescent="0.3"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76">
        <f ca="1">Prob_Min30_sma16</f>
        <v>1.2E-2</v>
      </c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>
        <f ca="1">O165*T160*Y162</f>
        <v>8.0541E-4</v>
      </c>
      <c r="AL162" s="11"/>
      <c r="AM162" s="67">
        <f ca="1">M164+R164+W159</f>
        <v>13773.119020393675</v>
      </c>
      <c r="AN162" s="11"/>
      <c r="AO162" s="79">
        <f ca="1">AK162*AM162</f>
        <v>11.093007790215269</v>
      </c>
      <c r="AP162" s="68"/>
      <c r="AQ162" s="69">
        <v>0</v>
      </c>
      <c r="AR162" s="68"/>
      <c r="AS162" s="80">
        <v>0</v>
      </c>
      <c r="AT162" s="68"/>
      <c r="AU162" s="81">
        <v>0</v>
      </c>
      <c r="AW162" s="80">
        <v>0</v>
      </c>
      <c r="AY162" s="82">
        <f ca="1">AU162+AO162</f>
        <v>11.093007790215269</v>
      </c>
      <c r="BA162" s="83">
        <f>AW162+AS162</f>
        <v>0</v>
      </c>
    </row>
    <row r="163" spans="9:53" x14ac:dyDescent="0.3">
      <c r="I163" s="11"/>
      <c r="J163" s="11"/>
      <c r="K163" s="11"/>
      <c r="L163" s="11"/>
      <c r="M163" s="11"/>
      <c r="N163" s="11"/>
      <c r="O163" s="11" t="s">
        <v>209</v>
      </c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80"/>
      <c r="AP163" s="11"/>
      <c r="AQ163" s="69"/>
      <c r="AR163" s="11"/>
      <c r="AS163" s="80"/>
      <c r="AT163" s="11"/>
      <c r="AU163" s="81"/>
      <c r="AW163" s="80"/>
      <c r="AY163" s="83"/>
      <c r="BA163" s="83"/>
    </row>
    <row r="164" spans="9:53" x14ac:dyDescent="0.3">
      <c r="I164" s="11"/>
      <c r="J164" s="11" t="s">
        <v>241</v>
      </c>
      <c r="K164" s="11"/>
      <c r="L164" s="11"/>
      <c r="M164" s="92">
        <f ca="1">Cst_R3+Cst_amb</f>
        <v>809.02286226800015</v>
      </c>
      <c r="N164" s="11"/>
      <c r="O164" s="11" t="s">
        <v>211</v>
      </c>
      <c r="P164" s="11"/>
      <c r="Q164" s="11"/>
      <c r="R164" s="77">
        <f ca="1">Cst_btw916_hosp</f>
        <v>9622.0961581256743</v>
      </c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 t="s">
        <v>205</v>
      </c>
      <c r="AG164" s="11"/>
      <c r="AH164" s="11"/>
      <c r="AI164" s="11"/>
      <c r="AJ164" s="11"/>
      <c r="AK164" s="11"/>
      <c r="AL164" s="11"/>
      <c r="AM164" s="11"/>
      <c r="AN164" s="11"/>
      <c r="AO164" s="80"/>
      <c r="AP164" s="11"/>
      <c r="AQ164" s="69"/>
      <c r="AR164" s="11"/>
      <c r="AS164" s="80"/>
      <c r="AT164" s="11"/>
      <c r="AU164" s="81"/>
      <c r="AW164" s="80"/>
      <c r="AY164" s="83"/>
      <c r="BA164" s="83"/>
    </row>
    <row r="165" spans="9:53" x14ac:dyDescent="0.3">
      <c r="I165" s="11"/>
      <c r="J165" s="11" t="s">
        <v>330</v>
      </c>
      <c r="K165" s="11"/>
      <c r="L165" s="11"/>
      <c r="M165" s="11"/>
      <c r="N165" s="11"/>
      <c r="O165" s="76">
        <f>Prob_ISS_btw916</f>
        <v>0.14915</v>
      </c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76">
        <f ca="1">(1 - Prob_Min1y_sma16 * RR_Min1y_lar16_local)</f>
        <v>0.97211999999999998</v>
      </c>
      <c r="AG165" s="11"/>
      <c r="AH165" s="11"/>
      <c r="AI165" s="78">
        <f ca="1">U_sma16*((365-30)/365)</f>
        <v>0.73424657534246585</v>
      </c>
      <c r="AJ165" s="11"/>
      <c r="AK165" s="11">
        <f ca="1">O165*T169*Y167*AF165</f>
        <v>7.8668870542350014E-2</v>
      </c>
      <c r="AL165" s="11"/>
      <c r="AM165" s="67">
        <f ca="1">M164+R164+AD166</f>
        <v>46674.167186025588</v>
      </c>
      <c r="AN165" s="11"/>
      <c r="AO165" s="79">
        <f ca="1">AK165*AM165</f>
        <v>3671.8040160294481</v>
      </c>
      <c r="AP165" s="68"/>
      <c r="AQ165" s="69">
        <f ca="1">AD167+AI165</f>
        <v>0.8</v>
      </c>
      <c r="AR165" s="68"/>
      <c r="AS165" s="80">
        <f t="shared" ref="AS165" ca="1" si="18">AK165*AQ165</f>
        <v>6.2935096433880011E-2</v>
      </c>
      <c r="AT165" s="68"/>
      <c r="AU165" s="81">
        <f ca="1">AK165*Cst_sma16_life</f>
        <v>2496.0393874440674</v>
      </c>
      <c r="AW165" s="80">
        <f ca="1">AK165*QALY_sma16_life</f>
        <v>0.80290772414766953</v>
      </c>
      <c r="AY165" s="82">
        <f ca="1">AU165+AO165</f>
        <v>6167.8434034735155</v>
      </c>
      <c r="BA165" s="83">
        <f ca="1">AW165+AS165</f>
        <v>0.8658428205815496</v>
      </c>
    </row>
    <row r="166" spans="9:53" x14ac:dyDescent="0.3">
      <c r="I166" s="11"/>
      <c r="J166" s="11" t="s">
        <v>331</v>
      </c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 t="s">
        <v>206</v>
      </c>
      <c r="Z166" s="11"/>
      <c r="AA166" s="11"/>
      <c r="AB166" s="11"/>
      <c r="AC166" s="11"/>
      <c r="AD166" s="77">
        <f ca="1">Cst_post_lar16_local</f>
        <v>36243.04816563191</v>
      </c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80"/>
      <c r="AP166" s="11"/>
      <c r="AQ166" s="69"/>
      <c r="AR166" s="11"/>
      <c r="AS166" s="80"/>
      <c r="AT166" s="11"/>
      <c r="AU166" s="81"/>
      <c r="AW166" s="80"/>
      <c r="AY166" s="83"/>
      <c r="BA166" s="83"/>
    </row>
    <row r="167" spans="9:53" x14ac:dyDescent="0.3"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76">
        <f ca="1">(1 - Prob_Min30_sma16 * RR_Min30_lar16_local)</f>
        <v>0.98650000000000004</v>
      </c>
      <c r="Z167" s="11"/>
      <c r="AA167" s="11"/>
      <c r="AB167" s="11"/>
      <c r="AC167" s="11"/>
      <c r="AD167" s="78">
        <f ca="1">U_sma16*(30/365)</f>
        <v>6.575342465753424E-2</v>
      </c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80"/>
      <c r="AP167" s="11"/>
      <c r="AQ167" s="69"/>
      <c r="AR167" s="11"/>
      <c r="AS167" s="80"/>
      <c r="AT167" s="11"/>
      <c r="AU167" s="81"/>
      <c r="AW167" s="80"/>
      <c r="AY167" s="83"/>
      <c r="BA167" s="83"/>
    </row>
    <row r="168" spans="9:53" x14ac:dyDescent="0.3"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 t="s">
        <v>220</v>
      </c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 t="s">
        <v>207</v>
      </c>
      <c r="AG168" s="11"/>
      <c r="AH168" s="11"/>
      <c r="AI168" s="11"/>
      <c r="AJ168" s="11"/>
      <c r="AK168" s="11"/>
      <c r="AL168" s="11"/>
      <c r="AM168" s="11"/>
      <c r="AN168" s="11"/>
      <c r="AO168" s="80"/>
      <c r="AP168" s="11"/>
      <c r="AQ168" s="69"/>
      <c r="AR168" s="11"/>
      <c r="AS168" s="80"/>
      <c r="AT168" s="11"/>
      <c r="AU168" s="81"/>
      <c r="AW168" s="80"/>
      <c r="AY168" s="83"/>
      <c r="BA168" s="83"/>
    </row>
    <row r="169" spans="9:53" x14ac:dyDescent="0.3"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76">
        <f ca="1">Prob_R3_spe</f>
        <v>0.55000000000000004</v>
      </c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76">
        <f ca="1">Prob_Min1y_sma16 * RR_Min1y_lar16_local</f>
        <v>2.7880000000000002E-2</v>
      </c>
      <c r="AG169" s="11"/>
      <c r="AH169" s="11"/>
      <c r="AI169" s="11"/>
      <c r="AJ169" s="11"/>
      <c r="AK169" s="11">
        <f ca="1">O165*T169*Y167*AF169</f>
        <v>2.2561907076500006E-3</v>
      </c>
      <c r="AL169" s="11"/>
      <c r="AM169" s="67">
        <f ca="1">M164+R164+AD166</f>
        <v>46674.167186025588</v>
      </c>
      <c r="AN169" s="11"/>
      <c r="AO169" s="79">
        <f ca="1">AK169*AM169</f>
        <v>105.30582229241351</v>
      </c>
      <c r="AP169" s="68"/>
      <c r="AQ169" s="69">
        <f ca="1">AD167</f>
        <v>6.575342465753424E-2</v>
      </c>
      <c r="AR169" s="68"/>
      <c r="AS169" s="80">
        <f t="shared" ref="AS169" ca="1" si="19">AK169*AQ169</f>
        <v>1.4835226570849316E-4</v>
      </c>
      <c r="AT169" s="68"/>
      <c r="AU169" s="81">
        <v>0</v>
      </c>
      <c r="AW169" s="80">
        <v>0</v>
      </c>
      <c r="AY169" s="82">
        <f ca="1">AU169+AO169</f>
        <v>105.30582229241351</v>
      </c>
      <c r="BA169" s="83">
        <f ca="1">AW169+AS169</f>
        <v>1.4835226570849316E-4</v>
      </c>
    </row>
    <row r="170" spans="9:53" x14ac:dyDescent="0.3"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 t="s">
        <v>208</v>
      </c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80"/>
      <c r="AP170" s="11"/>
      <c r="AQ170" s="69"/>
      <c r="AR170" s="11"/>
      <c r="AS170" s="80"/>
      <c r="AT170" s="11"/>
      <c r="AU170" s="81"/>
      <c r="AW170" s="80"/>
      <c r="AY170" s="83"/>
      <c r="BA170" s="83"/>
    </row>
    <row r="171" spans="9:53" x14ac:dyDescent="0.3"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76">
        <f ca="1">Prob_Min30_sma16 * RR_Min30_lar16_local</f>
        <v>1.35E-2</v>
      </c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>
        <f ca="1">O165*T169*Y171</f>
        <v>1.1074387500000001E-3</v>
      </c>
      <c r="AL171" s="11"/>
      <c r="AM171" s="67">
        <f ca="1">M164+R164</f>
        <v>10431.119020393675</v>
      </c>
      <c r="AN171" s="11"/>
      <c r="AO171" s="79">
        <f ca="1">AK171*AM171</f>
        <v>11.551825409045998</v>
      </c>
      <c r="AP171" s="68"/>
      <c r="AQ171" s="69">
        <f>0</f>
        <v>0</v>
      </c>
      <c r="AR171" s="68"/>
      <c r="AS171" s="80">
        <f t="shared" ref="AS171" ca="1" si="20">AK171*AQ171</f>
        <v>0</v>
      </c>
      <c r="AT171" s="68"/>
      <c r="AU171" s="81">
        <v>0</v>
      </c>
      <c r="AW171" s="80">
        <v>0</v>
      </c>
      <c r="AY171" s="82">
        <f ca="1">AU171+AO171</f>
        <v>11.551825409045998</v>
      </c>
      <c r="BA171" s="83">
        <f ca="1">AW171+AS171</f>
        <v>0</v>
      </c>
    </row>
    <row r="172" spans="9:53" x14ac:dyDescent="0.3"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80"/>
      <c r="AP172" s="11"/>
      <c r="AQ172" s="69"/>
      <c r="AR172" s="11"/>
      <c r="AS172" s="80"/>
      <c r="AT172" s="11"/>
      <c r="AU172" s="81"/>
      <c r="AW172" s="80"/>
      <c r="AY172" s="83"/>
      <c r="BA172" s="83"/>
    </row>
    <row r="173" spans="9:53" x14ac:dyDescent="0.3"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80"/>
      <c r="AP173" s="11"/>
      <c r="AQ173" s="69"/>
      <c r="AR173" s="11"/>
      <c r="AS173" s="80"/>
      <c r="AT173" s="11"/>
      <c r="AU173" s="81"/>
      <c r="AW173" s="80"/>
      <c r="AY173" s="83"/>
      <c r="BA173" s="83"/>
    </row>
    <row r="174" spans="9:53" x14ac:dyDescent="0.3"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 t="s">
        <v>196</v>
      </c>
      <c r="AG174" s="11"/>
      <c r="AH174" s="11"/>
      <c r="AI174" s="11"/>
      <c r="AJ174" s="11"/>
      <c r="AK174" s="11"/>
      <c r="AL174" s="11"/>
      <c r="AM174" s="11"/>
      <c r="AN174" s="11"/>
      <c r="AO174" s="80"/>
      <c r="AP174" s="11"/>
      <c r="AQ174" s="69"/>
      <c r="AR174" s="11"/>
      <c r="AS174" s="80"/>
      <c r="AT174" s="11"/>
      <c r="AU174" s="81"/>
      <c r="AW174" s="80"/>
      <c r="AY174" s="83"/>
      <c r="BA174" s="83"/>
    </row>
    <row r="175" spans="9:53" x14ac:dyDescent="0.3"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76">
        <f ca="1">(1 - Prob_Min1y_sma16)</f>
        <v>0.98299999999999998</v>
      </c>
      <c r="AG175" s="11"/>
      <c r="AH175" s="11"/>
      <c r="AI175" s="78">
        <f ca="1">U_sma16*((365-30)/365)</f>
        <v>0.73424657534246585</v>
      </c>
      <c r="AJ175" s="11"/>
      <c r="AK175" s="11">
        <f ca="1">O184*T179*Y177*AF175</f>
        <v>0.33222606510599995</v>
      </c>
      <c r="AL175" s="11"/>
      <c r="AM175" s="67">
        <f ca="1">M163+M164+W178+AD176</f>
        <v>41066.485747655985</v>
      </c>
      <c r="AN175" s="11"/>
      <c r="AO175" s="79">
        <f ca="1">AK175*AM175</f>
        <v>13643.356967675376</v>
      </c>
      <c r="AP175" s="68"/>
      <c r="AQ175" s="69">
        <f ca="1">AD177+AI175</f>
        <v>0.8</v>
      </c>
      <c r="AR175" s="68"/>
      <c r="AS175" s="80">
        <f t="shared" ref="AS175" ca="1" si="21">AK175*AQ175</f>
        <v>0.26578085208479996</v>
      </c>
      <c r="AT175" s="68"/>
      <c r="AU175" s="81">
        <f ca="1">AK175*Cst_sma16_life</f>
        <v>10541.009910568388</v>
      </c>
      <c r="AW175" s="80">
        <f ca="1">AK175*QALY_sma16_life</f>
        <v>3.3907550978909167</v>
      </c>
      <c r="AY175" s="82">
        <f ca="1">AU175+AO175</f>
        <v>24184.366878243763</v>
      </c>
      <c r="BA175" s="83">
        <f ca="1">AW175+AS175</f>
        <v>3.6565359499757166</v>
      </c>
    </row>
    <row r="176" spans="9:53" x14ac:dyDescent="0.3"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 t="s">
        <v>200</v>
      </c>
      <c r="Z176" s="11"/>
      <c r="AA176" s="11"/>
      <c r="AB176" s="11"/>
      <c r="AC176" s="11"/>
      <c r="AD176" s="77">
        <f ca="1">Cst_post_lar16_mtc</f>
        <v>36915.462885387984</v>
      </c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80"/>
      <c r="AP176" s="11"/>
      <c r="AQ176" s="69"/>
      <c r="AR176" s="11"/>
      <c r="AS176" s="80"/>
      <c r="AT176" s="11"/>
      <c r="AU176" s="81"/>
      <c r="AW176" s="80"/>
      <c r="AY176" s="83"/>
      <c r="BA176" s="83"/>
    </row>
    <row r="177" spans="9:53" x14ac:dyDescent="0.3"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76">
        <f ca="1">(1 - Prob_Min30_sma16)</f>
        <v>0.98799999999999999</v>
      </c>
      <c r="Z177" s="11"/>
      <c r="AA177" s="11"/>
      <c r="AB177" s="11"/>
      <c r="AC177" s="11"/>
      <c r="AD177" s="78">
        <f ca="1">U_sma16*(30/365)</f>
        <v>6.575342465753424E-2</v>
      </c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80"/>
      <c r="AP177" s="11"/>
      <c r="AQ177" s="69"/>
      <c r="AR177" s="11"/>
      <c r="AS177" s="80"/>
      <c r="AT177" s="11"/>
      <c r="AU177" s="81"/>
      <c r="AW177" s="80"/>
      <c r="AY177" s="83"/>
      <c r="BA177" s="83"/>
    </row>
    <row r="178" spans="9:53" x14ac:dyDescent="0.3"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 t="s">
        <v>219</v>
      </c>
      <c r="U178" s="11"/>
      <c r="V178" s="11"/>
      <c r="W178" s="77">
        <f>Cst_lar16_MTC</f>
        <v>3342</v>
      </c>
      <c r="X178" s="11"/>
      <c r="Y178" s="11"/>
      <c r="Z178" s="11"/>
      <c r="AA178" s="11"/>
      <c r="AB178" s="11"/>
      <c r="AC178" s="11"/>
      <c r="AD178" s="11"/>
      <c r="AE178" s="11"/>
      <c r="AF178" s="11" t="s">
        <v>201</v>
      </c>
      <c r="AG178" s="11"/>
      <c r="AH178" s="11"/>
      <c r="AI178" s="11"/>
      <c r="AJ178" s="11"/>
      <c r="AK178" s="11"/>
      <c r="AL178" s="11"/>
      <c r="AM178" s="11"/>
      <c r="AN178" s="11"/>
      <c r="AO178" s="80"/>
      <c r="AP178" s="11"/>
      <c r="AQ178" s="69"/>
      <c r="AR178" s="11"/>
      <c r="AS178" s="80"/>
      <c r="AT178" s="11"/>
      <c r="AU178" s="81"/>
      <c r="AW178" s="80"/>
      <c r="AY178" s="83"/>
      <c r="BA178" s="83"/>
    </row>
    <row r="179" spans="9:53" x14ac:dyDescent="0.3"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76">
        <f ca="1">(1-Prob_R3_spe)</f>
        <v>0.44999999999999996</v>
      </c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76">
        <f ca="1">Prob_Min1y_sma16</f>
        <v>1.7000000000000001E-2</v>
      </c>
      <c r="AG179" s="11"/>
      <c r="AH179" s="11"/>
      <c r="AI179" s="11"/>
      <c r="AJ179" s="11"/>
      <c r="AK179" s="11">
        <f ca="1">O184*T179*Y177*AF179</f>
        <v>5.745516893999999E-3</v>
      </c>
      <c r="AL179" s="11"/>
      <c r="AM179" s="67">
        <f ca="1">M163+M164+W178+AD176</f>
        <v>41066.485747655985</v>
      </c>
      <c r="AN179" s="11"/>
      <c r="AO179" s="79">
        <f ca="1">AK179*AM179</f>
        <v>235.94818764036765</v>
      </c>
      <c r="AP179" s="68"/>
      <c r="AQ179" s="69">
        <f ca="1">AD177</f>
        <v>6.575342465753424E-2</v>
      </c>
      <c r="AR179" s="68"/>
      <c r="AS179" s="80">
        <f t="shared" ref="AS179" ca="1" si="22">AK179*AQ179</f>
        <v>3.7778741220821909E-4</v>
      </c>
      <c r="AT179" s="68"/>
      <c r="AU179" s="81">
        <v>0</v>
      </c>
      <c r="AW179" s="80">
        <v>0</v>
      </c>
      <c r="AY179" s="82">
        <f ca="1">AU179+AO179</f>
        <v>235.94818764036765</v>
      </c>
      <c r="BA179" s="83">
        <f ca="1">AW179+AS179</f>
        <v>3.7778741220821909E-4</v>
      </c>
    </row>
    <row r="180" spans="9:53" x14ac:dyDescent="0.3">
      <c r="I180" s="11"/>
      <c r="J180" s="11"/>
      <c r="K180" s="11"/>
      <c r="L180" s="11"/>
      <c r="M180" s="65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 t="s">
        <v>202</v>
      </c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80"/>
      <c r="AP180" s="11"/>
      <c r="AQ180" s="69"/>
      <c r="AR180" s="11"/>
      <c r="AS180" s="80"/>
      <c r="AT180" s="11"/>
      <c r="AU180" s="81"/>
      <c r="AW180" s="80"/>
      <c r="AY180" s="83"/>
      <c r="BA180" s="83"/>
    </row>
    <row r="181" spans="9:53" x14ac:dyDescent="0.3">
      <c r="I181" s="11"/>
      <c r="J181" s="11"/>
      <c r="K181" s="11"/>
      <c r="L181" s="11"/>
      <c r="M181" s="65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76">
        <f ca="1">Prob_Min30_sma16</f>
        <v>1.2E-2</v>
      </c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>
        <f ca="1">O184*T179*Y181</f>
        <v>4.1049179999999991E-3</v>
      </c>
      <c r="AL181" s="11"/>
      <c r="AM181" s="67">
        <f ca="1">M163+M164+W178</f>
        <v>4151.0228622680006</v>
      </c>
      <c r="AN181" s="11"/>
      <c r="AO181" s="79">
        <f ca="1">AK181*AM181</f>
        <v>17.039608465735434</v>
      </c>
      <c r="AP181" s="68"/>
      <c r="AQ181" s="69">
        <f>0</f>
        <v>0</v>
      </c>
      <c r="AR181" s="68"/>
      <c r="AS181" s="80">
        <f t="shared" ref="AS181" ca="1" si="23">AK181*AQ181</f>
        <v>0</v>
      </c>
      <c r="AT181" s="68"/>
      <c r="AU181" s="81">
        <v>0</v>
      </c>
      <c r="AW181" s="80">
        <v>0</v>
      </c>
      <c r="AY181" s="82">
        <f ca="1">AU181+AO181</f>
        <v>17.039608465735434</v>
      </c>
      <c r="BA181" s="83">
        <f ca="1">AW181+AS181</f>
        <v>0</v>
      </c>
    </row>
    <row r="182" spans="9:53" x14ac:dyDescent="0.3">
      <c r="I182" s="11"/>
      <c r="J182" s="11"/>
      <c r="K182" s="11"/>
      <c r="L182" s="11"/>
      <c r="M182" s="65"/>
      <c r="N182" s="11"/>
      <c r="O182" s="11" t="s">
        <v>214</v>
      </c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80"/>
      <c r="AP182" s="11"/>
      <c r="AQ182" s="69"/>
      <c r="AR182" s="11"/>
      <c r="AS182" s="80"/>
      <c r="AT182" s="11"/>
      <c r="AU182" s="81"/>
      <c r="AW182" s="80"/>
      <c r="AY182" s="83"/>
      <c r="BA182" s="83"/>
    </row>
    <row r="183" spans="9:53" x14ac:dyDescent="0.3">
      <c r="I183" s="11"/>
      <c r="J183" s="11"/>
      <c r="K183" s="11"/>
      <c r="L183" s="11"/>
      <c r="M183" s="65"/>
      <c r="N183" s="11"/>
      <c r="O183" s="11" t="s">
        <v>215</v>
      </c>
      <c r="P183" s="11"/>
      <c r="Q183" s="11"/>
      <c r="R183" s="77">
        <f ca="1">Cst_sma9_hosp</f>
        <v>10365.078230981773</v>
      </c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 t="s">
        <v>205</v>
      </c>
      <c r="AG183" s="11"/>
      <c r="AH183" s="11"/>
      <c r="AI183" s="11"/>
      <c r="AJ183" s="11"/>
      <c r="AK183" s="11"/>
      <c r="AL183" s="11"/>
      <c r="AM183" s="11"/>
      <c r="AN183" s="11"/>
      <c r="AO183" s="80"/>
      <c r="AP183" s="11"/>
      <c r="AQ183" s="69"/>
      <c r="AR183" s="11"/>
      <c r="AS183" s="80"/>
      <c r="AT183" s="11"/>
      <c r="AU183" s="81"/>
      <c r="AW183" s="80"/>
      <c r="AY183" s="83"/>
      <c r="BA183" s="83"/>
    </row>
    <row r="184" spans="9:53" x14ac:dyDescent="0.3">
      <c r="I184" s="11"/>
      <c r="J184" s="11"/>
      <c r="K184" s="11"/>
      <c r="L184" s="11"/>
      <c r="M184" s="65"/>
      <c r="N184" s="11"/>
      <c r="O184" s="76">
        <f>Prob_ISS_sma9</f>
        <v>0.76017000000000001</v>
      </c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76">
        <f ca="1">(1 - Prob_Min1y_sma16 * RR_Min1y_lar16_local)</f>
        <v>0.97211999999999998</v>
      </c>
      <c r="AG184" s="11"/>
      <c r="AH184" s="11"/>
      <c r="AI184" s="78">
        <f ca="1">U_sma16*((365-30)/365)</f>
        <v>0.73424657534246585</v>
      </c>
      <c r="AJ184" s="11"/>
      <c r="AK184" s="11">
        <f ca="1">O184*T188*Y186*AF184</f>
        <v>0.40095015300153009</v>
      </c>
      <c r="AL184" s="11"/>
      <c r="AM184" s="67">
        <f ca="1">M164+R183+AD185</f>
        <v>47417.149258881684</v>
      </c>
      <c r="AN184" s="11"/>
      <c r="AO184" s="79">
        <f ca="1">AK184*AM184</f>
        <v>19011.913250245001</v>
      </c>
      <c r="AP184" s="11"/>
      <c r="AQ184" s="69">
        <f ca="1">AD186+AI184</f>
        <v>0.8</v>
      </c>
      <c r="AR184" s="11"/>
      <c r="AS184" s="80">
        <f t="shared" ref="AS184" ca="1" si="24">AK184*AQ184</f>
        <v>0.32076012240122409</v>
      </c>
      <c r="AT184" s="11"/>
      <c r="AU184" s="81">
        <f ca="1">AK184*Cst_sma16_life</f>
        <v>12721.517004045301</v>
      </c>
      <c r="AW184" s="80">
        <f ca="1">AK184*QALY_sma16_life</f>
        <v>4.0921646977226542</v>
      </c>
      <c r="AY184" s="82">
        <f ca="1">AU184+AO184</f>
        <v>31733.430254290302</v>
      </c>
      <c r="BA184" s="83">
        <f ca="1">AW184+AS184</f>
        <v>4.4129248201238784</v>
      </c>
    </row>
    <row r="185" spans="9:53" x14ac:dyDescent="0.3">
      <c r="I185" s="11"/>
      <c r="J185" s="11"/>
      <c r="K185" s="11"/>
      <c r="L185" s="11"/>
      <c r="M185" s="65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 t="s">
        <v>206</v>
      </c>
      <c r="Z185" s="11"/>
      <c r="AA185" s="11"/>
      <c r="AB185" s="11"/>
      <c r="AC185" s="11"/>
      <c r="AD185" s="77">
        <f ca="1">Cst_post_lar16_local</f>
        <v>36243.04816563191</v>
      </c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80"/>
      <c r="AP185" s="11"/>
      <c r="AQ185" s="69"/>
      <c r="AR185" s="11"/>
      <c r="AS185" s="80"/>
      <c r="AT185" s="11"/>
      <c r="AU185" s="81"/>
      <c r="AW185" s="80"/>
      <c r="AY185" s="83"/>
      <c r="BA185" s="83"/>
    </row>
    <row r="186" spans="9:53" x14ac:dyDescent="0.3">
      <c r="I186" s="11"/>
      <c r="J186" s="11"/>
      <c r="K186" s="11"/>
      <c r="L186" s="11"/>
      <c r="M186" s="65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76">
        <f ca="1">(1 - Prob_Min30_sma16 * RR_Min30_lar16_local)</f>
        <v>0.98650000000000004</v>
      </c>
      <c r="Z186" s="11"/>
      <c r="AA186" s="11"/>
      <c r="AB186" s="11"/>
      <c r="AC186" s="11"/>
      <c r="AD186" s="78">
        <f ca="1">U_sma16*(30/365)</f>
        <v>6.575342465753424E-2</v>
      </c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80"/>
      <c r="AP186" s="11"/>
      <c r="AQ186" s="69"/>
      <c r="AR186" s="11"/>
      <c r="AS186" s="80"/>
      <c r="AT186" s="11"/>
      <c r="AU186" s="81"/>
      <c r="AW186" s="80"/>
      <c r="AY186" s="83"/>
      <c r="BA186" s="83"/>
    </row>
    <row r="187" spans="9:53" x14ac:dyDescent="0.3">
      <c r="I187" s="11"/>
      <c r="J187" s="11"/>
      <c r="K187" s="11"/>
      <c r="L187" s="11"/>
      <c r="M187" s="65"/>
      <c r="N187" s="11"/>
      <c r="O187" s="11"/>
      <c r="P187" s="11"/>
      <c r="Q187" s="11"/>
      <c r="R187" s="11"/>
      <c r="S187" s="11"/>
      <c r="T187" s="11" t="s">
        <v>220</v>
      </c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 t="s">
        <v>207</v>
      </c>
      <c r="AG187" s="11"/>
      <c r="AH187" s="11"/>
      <c r="AI187" s="11"/>
      <c r="AJ187" s="11"/>
      <c r="AK187" s="11"/>
      <c r="AL187" s="11"/>
      <c r="AM187" s="11"/>
      <c r="AN187" s="11"/>
      <c r="AO187" s="80"/>
      <c r="AP187" s="11"/>
      <c r="AQ187" s="69"/>
      <c r="AR187" s="11"/>
      <c r="AS187" s="80"/>
      <c r="AT187" s="11"/>
      <c r="AU187" s="81"/>
      <c r="AW187" s="80"/>
      <c r="AY187" s="83"/>
      <c r="BA187" s="83"/>
    </row>
    <row r="188" spans="9:53" x14ac:dyDescent="0.3">
      <c r="I188" s="11"/>
      <c r="J188" s="11"/>
      <c r="K188" s="11"/>
      <c r="L188" s="11"/>
      <c r="M188" s="65"/>
      <c r="N188" s="11"/>
      <c r="O188" s="11"/>
      <c r="P188" s="11"/>
      <c r="Q188" s="11"/>
      <c r="R188" s="11"/>
      <c r="S188" s="11"/>
      <c r="T188" s="76">
        <f ca="1" xml:space="preserve"> Prob_R3_spe</f>
        <v>0.55000000000000004</v>
      </c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76">
        <f ca="1">Prob_Min1y_sma16 * RR_Min1y_lar16_local</f>
        <v>2.7880000000000002E-2</v>
      </c>
      <c r="AG188" s="11"/>
      <c r="AH188" s="11"/>
      <c r="AI188" s="11"/>
      <c r="AJ188" s="11"/>
      <c r="AK188" s="11">
        <f ca="1">O184*T188*Y186*AF188</f>
        <v>1.1499084748470003E-2</v>
      </c>
      <c r="AL188" s="11"/>
      <c r="AM188" s="67">
        <f ca="1">M164+R183+AD185</f>
        <v>47417.149258881684</v>
      </c>
      <c r="AN188" s="11"/>
      <c r="AO188" s="79">
        <f ca="1">AK188*AM188</f>
        <v>545.25381785873208</v>
      </c>
      <c r="AP188" s="11"/>
      <c r="AQ188" s="69">
        <f ca="1">AD186</f>
        <v>6.575342465753424E-2</v>
      </c>
      <c r="AR188" s="11"/>
      <c r="AS188" s="80">
        <f t="shared" ref="AS188" ca="1" si="25">AK188*AQ188</f>
        <v>7.5610420263912343E-4</v>
      </c>
      <c r="AT188" s="11"/>
      <c r="AU188" s="81">
        <v>0</v>
      </c>
      <c r="AW188" s="80">
        <v>0</v>
      </c>
      <c r="AY188" s="82">
        <f ca="1">AU188+AO188</f>
        <v>545.25381785873208</v>
      </c>
      <c r="BA188" s="83">
        <f ca="1">AW188+AS188</f>
        <v>7.5610420263912343E-4</v>
      </c>
    </row>
    <row r="189" spans="9:53" x14ac:dyDescent="0.3">
      <c r="I189" s="11"/>
      <c r="J189" s="11"/>
      <c r="K189" s="11"/>
      <c r="L189" s="11"/>
      <c r="M189" s="65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 t="s">
        <v>208</v>
      </c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80"/>
      <c r="AP189" s="11"/>
      <c r="AQ189" s="69"/>
      <c r="AR189" s="11"/>
      <c r="AS189" s="80"/>
      <c r="AT189" s="11"/>
      <c r="AU189" s="81"/>
      <c r="AW189" s="80"/>
      <c r="AY189" s="83"/>
      <c r="BA189" s="83"/>
    </row>
    <row r="190" spans="9:53" x14ac:dyDescent="0.3">
      <c r="I190" s="11"/>
      <c r="J190" s="11"/>
      <c r="K190" s="11"/>
      <c r="L190" s="11"/>
      <c r="M190" s="65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76">
        <f ca="1">Prob_Min30_sma16 * RR_Min30_lar16_local</f>
        <v>1.35E-2</v>
      </c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>
        <f ca="1">O184*T188*Y190</f>
        <v>5.6442622500000005E-3</v>
      </c>
      <c r="AL190" s="11"/>
      <c r="AM190" s="67">
        <f ca="1">M164+R183</f>
        <v>11174.101093249774</v>
      </c>
      <c r="AN190" s="11"/>
      <c r="AO190" s="79">
        <f ca="1">AK190*AM190</f>
        <v>63.069556978313436</v>
      </c>
      <c r="AP190" s="11"/>
      <c r="AQ190" s="69">
        <f>0</f>
        <v>0</v>
      </c>
      <c r="AR190" s="11"/>
      <c r="AS190" s="80">
        <f t="shared" ref="AS190" ca="1" si="26">AK190*AQ190</f>
        <v>0</v>
      </c>
      <c r="AT190" s="11"/>
      <c r="AU190" s="81">
        <v>0</v>
      </c>
      <c r="AW190" s="80">
        <v>0</v>
      </c>
      <c r="AY190" s="82">
        <f ca="1">AU190+AO190</f>
        <v>63.069556978313436</v>
      </c>
      <c r="BA190" s="83">
        <f ca="1">AW190+AS190</f>
        <v>0</v>
      </c>
    </row>
    <row r="191" spans="9:53" x14ac:dyDescent="0.3"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69"/>
      <c r="AR191" s="11"/>
      <c r="AS191" s="11"/>
      <c r="AT191" s="11"/>
      <c r="AU191" s="36"/>
    </row>
    <row r="192" spans="9:53" x14ac:dyDescent="0.3"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69"/>
      <c r="AR192" s="11"/>
      <c r="AS192" s="11"/>
      <c r="AT192" s="11"/>
      <c r="AU192" s="36"/>
    </row>
    <row r="193" spans="9:54" x14ac:dyDescent="0.3"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69"/>
      <c r="AR193" s="11"/>
      <c r="AS193" s="11"/>
      <c r="AT193" s="11"/>
      <c r="AU193" s="36"/>
    </row>
    <row r="194" spans="9:54" x14ac:dyDescent="0.3"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69"/>
      <c r="AR194" s="11"/>
      <c r="AS194" s="11"/>
      <c r="AT194" s="11"/>
      <c r="AU194" s="36"/>
      <c r="AY194" s="36"/>
    </row>
    <row r="195" spans="9:54" ht="15" thickBot="1" x14ac:dyDescent="0.35">
      <c r="AF195" s="11"/>
    </row>
    <row r="196" spans="9:54" ht="15" thickBot="1" x14ac:dyDescent="0.35">
      <c r="AJ196" s="85" t="s">
        <v>106</v>
      </c>
      <c r="AK196" s="89">
        <f ca="1">SUM(AK198:AK250)</f>
        <v>1.0000000000000002</v>
      </c>
      <c r="AL196" s="85"/>
      <c r="AM196" s="85"/>
      <c r="AN196" s="85"/>
      <c r="AO196" s="85"/>
      <c r="AP196" s="85"/>
      <c r="AQ196" s="87"/>
      <c r="AR196" s="85"/>
      <c r="AS196" s="85"/>
      <c r="AT196" s="85"/>
      <c r="AU196" s="88"/>
      <c r="AV196" s="85"/>
      <c r="AW196" s="86"/>
      <c r="AX196" s="85"/>
      <c r="AY196" s="90">
        <f ca="1">SUM(AY198:AY250)</f>
        <v>76800.673516583702</v>
      </c>
      <c r="AZ196" s="85"/>
      <c r="BA196" s="91">
        <f ca="1">SUM(BA198:BA250)</f>
        <v>10.1282158305509</v>
      </c>
      <c r="BB196" s="85"/>
    </row>
    <row r="197" spans="9:54" ht="15" thickBot="1" x14ac:dyDescent="0.35"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 t="s">
        <v>196</v>
      </c>
      <c r="AG197" s="11"/>
      <c r="AH197" s="11"/>
      <c r="AI197" s="11"/>
      <c r="AJ197" s="11"/>
      <c r="AK197" s="195" t="s">
        <v>197</v>
      </c>
      <c r="AL197" s="193"/>
      <c r="AM197" s="196" t="s">
        <v>198</v>
      </c>
      <c r="AN197" s="196"/>
      <c r="AO197" s="193" t="s">
        <v>199</v>
      </c>
      <c r="AP197" s="193"/>
      <c r="AQ197" s="197" t="s">
        <v>216</v>
      </c>
      <c r="AR197" s="197"/>
      <c r="AS197" s="193" t="s">
        <v>217</v>
      </c>
      <c r="AT197" s="193"/>
      <c r="AU197" s="198" t="s">
        <v>237</v>
      </c>
      <c r="AV197" s="198"/>
      <c r="AW197" s="193" t="s">
        <v>238</v>
      </c>
      <c r="AX197" s="193"/>
      <c r="AY197" s="193" t="s">
        <v>239</v>
      </c>
      <c r="AZ197" s="193"/>
      <c r="BA197" s="193" t="s">
        <v>195</v>
      </c>
      <c r="BB197" s="194"/>
    </row>
    <row r="198" spans="9:54" x14ac:dyDescent="0.3"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76">
        <f ca="1">1 - Prob_Min1y_lar16_mtc</f>
        <v>0.97</v>
      </c>
      <c r="AG198" s="11"/>
      <c r="AH198" s="11"/>
      <c r="AI198" s="78">
        <f ca="1">U_lar16*((365-30)/365)</f>
        <v>0.6424657534246575</v>
      </c>
      <c r="AJ198" s="11"/>
      <c r="AK198" s="11">
        <f ca="1">O207*T202*Y200*AF198</f>
        <v>4.7498183999999999E-2</v>
      </c>
      <c r="AL198" s="11"/>
      <c r="AM198" s="67">
        <f ca="1">M224+R206+W201+AD199</f>
        <v>58939.376927083526</v>
      </c>
      <c r="AN198" s="11"/>
      <c r="AO198" s="79">
        <f ca="1">AK198*AM198</f>
        <v>2799.5133701279678</v>
      </c>
      <c r="AP198" s="68"/>
      <c r="AQ198" s="69">
        <f ca="1">AD200+AI198</f>
        <v>0.7</v>
      </c>
      <c r="AR198" s="68"/>
      <c r="AS198" s="80">
        <f ca="1">AK198*AQ198</f>
        <v>3.3248728799999995E-2</v>
      </c>
      <c r="AT198" s="68"/>
      <c r="AU198" s="81">
        <f ca="1">AK198*Cst_lar16_life</f>
        <v>2078.5622822188852</v>
      </c>
      <c r="AW198" s="80">
        <f ca="1">AK198*QALY_lar16_life</f>
        <v>0.25866552845390572</v>
      </c>
      <c r="AY198" s="82">
        <f ca="1">AU198+AO198</f>
        <v>4878.0756523468535</v>
      </c>
      <c r="BA198" s="83">
        <f ca="1">AW198+AS198</f>
        <v>0.29191425725390574</v>
      </c>
    </row>
    <row r="199" spans="9:54" x14ac:dyDescent="0.3"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 t="s">
        <v>200</v>
      </c>
      <c r="Z199" s="11"/>
      <c r="AA199" s="11"/>
      <c r="AB199" s="11"/>
      <c r="AC199" s="11"/>
      <c r="AD199" s="77">
        <f ca="1">Cst_post_lar16_mtc</f>
        <v>36915.462885387984</v>
      </c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80"/>
      <c r="AP199" s="11"/>
      <c r="AQ199" s="69"/>
      <c r="AR199" s="11"/>
      <c r="AS199" s="80"/>
      <c r="AT199" s="11"/>
      <c r="AU199" s="81"/>
      <c r="AW199" s="80"/>
      <c r="AY199" s="83"/>
      <c r="BA199" s="83"/>
    </row>
    <row r="200" spans="9:54" x14ac:dyDescent="0.3"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76">
        <f ca="1">1 - Prob_Min30_lar16_mtc</f>
        <v>0.9</v>
      </c>
      <c r="Z200" s="11"/>
      <c r="AA200" s="11"/>
      <c r="AB200" s="11"/>
      <c r="AC200" s="11"/>
      <c r="AD200" s="78">
        <f ca="1">U_lar16*(30/365)</f>
        <v>5.7534246575342458E-2</v>
      </c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80"/>
      <c r="AP200" s="11"/>
      <c r="AQ200" s="69"/>
      <c r="AR200" s="11"/>
      <c r="AS200" s="80"/>
      <c r="AT200" s="11"/>
      <c r="AU200" s="81"/>
      <c r="AW200" s="80"/>
      <c r="AY200" s="83"/>
      <c r="BA200" s="83"/>
    </row>
    <row r="201" spans="9:54" x14ac:dyDescent="0.3"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 t="s">
        <v>219</v>
      </c>
      <c r="U201" s="11"/>
      <c r="V201" s="11"/>
      <c r="W201" s="77">
        <f>Cst_lar16_MTC</f>
        <v>3342</v>
      </c>
      <c r="X201" s="11"/>
      <c r="Y201" s="11"/>
      <c r="Z201" s="11"/>
      <c r="AA201" s="11"/>
      <c r="AB201" s="11"/>
      <c r="AC201" s="11"/>
      <c r="AD201" s="11"/>
      <c r="AE201" s="11"/>
      <c r="AF201" s="11" t="s">
        <v>201</v>
      </c>
      <c r="AG201" s="11"/>
      <c r="AH201" s="11"/>
      <c r="AI201" s="11"/>
      <c r="AJ201" s="11"/>
      <c r="AK201" s="11"/>
      <c r="AL201" s="11"/>
      <c r="AM201" s="11"/>
      <c r="AN201" s="11"/>
      <c r="AO201" s="80"/>
      <c r="AP201" s="11"/>
      <c r="AQ201" s="69"/>
      <c r="AR201" s="11"/>
      <c r="AS201" s="80"/>
      <c r="AT201" s="11"/>
      <c r="AU201" s="81"/>
      <c r="AW201" s="80"/>
      <c r="AY201" s="83"/>
      <c r="BA201" s="83"/>
    </row>
    <row r="202" spans="9:54" x14ac:dyDescent="0.3"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76">
        <f ca="1">Prob_R4_sen</f>
        <v>0.6</v>
      </c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76">
        <f ca="1">Prob_Min1y_lar16_mtc</f>
        <v>0.03</v>
      </c>
      <c r="AG202" s="11"/>
      <c r="AH202" s="11"/>
      <c r="AI202" s="11"/>
      <c r="AJ202" s="11"/>
      <c r="AK202" s="11">
        <f ca="1">O207*T202*Y200*AF202</f>
        <v>1.4690160000000001E-3</v>
      </c>
      <c r="AL202" s="11"/>
      <c r="AM202" s="67">
        <f ca="1">M224+R206+W201+AD199</f>
        <v>58939.376927083526</v>
      </c>
      <c r="AN202" s="11"/>
      <c r="AO202" s="79">
        <f ca="1">AK202*AM202</f>
        <v>86.582887735916543</v>
      </c>
      <c r="AP202" s="68"/>
      <c r="AQ202" s="69">
        <f ca="1">AD200</f>
        <v>5.7534246575342458E-2</v>
      </c>
      <c r="AR202" s="68"/>
      <c r="AS202" s="80">
        <f ca="1">AK202*AQ202</f>
        <v>8.4518728767123287E-5</v>
      </c>
      <c r="AT202" s="68"/>
      <c r="AU202" s="81">
        <v>0</v>
      </c>
      <c r="AW202" s="80">
        <v>0</v>
      </c>
      <c r="AY202" s="84">
        <f ca="1">AW202+AO202</f>
        <v>86.582887735916543</v>
      </c>
      <c r="BA202" s="83">
        <f ca="1">AW202+AS202</f>
        <v>8.4518728767123287E-5</v>
      </c>
    </row>
    <row r="203" spans="9:54" x14ac:dyDescent="0.3"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 t="s">
        <v>202</v>
      </c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80"/>
      <c r="AP203" s="11"/>
      <c r="AQ203" s="69"/>
      <c r="AR203" s="11"/>
      <c r="AS203" s="80"/>
      <c r="AT203" s="11"/>
      <c r="AU203" s="81"/>
      <c r="AW203" s="80"/>
      <c r="AY203" s="83"/>
      <c r="BA203" s="83"/>
    </row>
    <row r="204" spans="9:54" x14ac:dyDescent="0.3"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76">
        <f ca="1">Prob_Min30_lar16_mtc</f>
        <v>0.1</v>
      </c>
      <c r="Z204" s="11"/>
      <c r="AA204" s="11"/>
      <c r="AB204" s="11"/>
      <c r="AC204" s="11"/>
      <c r="AD204" s="11">
        <v>0</v>
      </c>
      <c r="AE204" s="11"/>
      <c r="AF204" s="11"/>
      <c r="AG204" s="11"/>
      <c r="AH204" s="11"/>
      <c r="AI204" s="11"/>
      <c r="AJ204" s="11"/>
      <c r="AK204" s="11">
        <f ca="1">O207*T202*Y204</f>
        <v>5.4408E-3</v>
      </c>
      <c r="AL204" s="11"/>
      <c r="AM204" s="67">
        <f ca="1">M224+R206+W201</f>
        <v>22023.914041695542</v>
      </c>
      <c r="AN204" s="11"/>
      <c r="AO204" s="79">
        <f ca="1">AK204*AM204</f>
        <v>119.8277115180571</v>
      </c>
      <c r="AP204" s="68"/>
      <c r="AQ204" s="69">
        <f>AD204</f>
        <v>0</v>
      </c>
      <c r="AR204" s="68"/>
      <c r="AS204" s="80">
        <f ca="1">AK204*AQ204</f>
        <v>0</v>
      </c>
      <c r="AT204" s="68"/>
      <c r="AU204" s="81">
        <v>0</v>
      </c>
      <c r="AW204" s="80">
        <v>0</v>
      </c>
      <c r="AY204" s="82">
        <f ca="1">AU204+AO204</f>
        <v>119.8277115180571</v>
      </c>
      <c r="BA204" s="83">
        <f ca="1">AW204+AS204</f>
        <v>0</v>
      </c>
    </row>
    <row r="205" spans="9:54" x14ac:dyDescent="0.3">
      <c r="I205" s="11"/>
      <c r="J205" s="11"/>
      <c r="K205" s="11"/>
      <c r="L205" s="11"/>
      <c r="M205" s="11"/>
      <c r="N205" s="11"/>
      <c r="O205" s="11" t="s">
        <v>203</v>
      </c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80"/>
      <c r="AP205" s="11"/>
      <c r="AQ205" s="69"/>
      <c r="AR205" s="11"/>
      <c r="AS205" s="80"/>
      <c r="AT205" s="11"/>
      <c r="AU205" s="81"/>
      <c r="AW205" s="80"/>
      <c r="AY205" s="83"/>
      <c r="BA205" s="83"/>
    </row>
    <row r="206" spans="9:54" x14ac:dyDescent="0.3">
      <c r="I206" s="11"/>
      <c r="J206" s="11"/>
      <c r="K206" s="11"/>
      <c r="L206" s="11"/>
      <c r="M206" s="11"/>
      <c r="N206" s="11"/>
      <c r="O206" s="11" t="s">
        <v>204</v>
      </c>
      <c r="P206" s="11"/>
      <c r="Q206" s="11"/>
      <c r="R206" s="77">
        <f>Cst_lar16_hosp</f>
        <v>18052.891179427541</v>
      </c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 t="s">
        <v>205</v>
      </c>
      <c r="AG206" s="11"/>
      <c r="AH206" s="11"/>
      <c r="AI206" s="11"/>
      <c r="AJ206" s="11"/>
      <c r="AK206" s="11"/>
      <c r="AL206" s="11"/>
      <c r="AM206" s="11"/>
      <c r="AN206" s="11"/>
      <c r="AO206" s="80"/>
      <c r="AP206" s="11"/>
      <c r="AQ206" s="69"/>
      <c r="AR206" s="11"/>
      <c r="AS206" s="80"/>
      <c r="AT206" s="11"/>
      <c r="AU206" s="81"/>
      <c r="AW206" s="80"/>
      <c r="AY206" s="83"/>
      <c r="BA206" s="83"/>
    </row>
    <row r="207" spans="9:54" x14ac:dyDescent="0.3">
      <c r="I207" s="11"/>
      <c r="J207" s="11"/>
      <c r="K207" s="11"/>
      <c r="L207" s="11"/>
      <c r="M207" s="11"/>
      <c r="N207" s="11"/>
      <c r="O207" s="76">
        <f>Prob_ISS_lag16</f>
        <v>9.0679999999999997E-2</v>
      </c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76">
        <f ca="1">(1 - Prob_Min1y_lar16_mtc * RR_Min1y_lar16_local)</f>
        <v>0.95079999999999998</v>
      </c>
      <c r="AG207" s="11"/>
      <c r="AH207" s="11"/>
      <c r="AI207" s="78">
        <f ca="1">U_lar16*((365-30)/365)</f>
        <v>0.6424657534246575</v>
      </c>
      <c r="AJ207" s="11"/>
      <c r="AK207" s="11">
        <f ca="1">O207*T211*Y209*AF207</f>
        <v>3.0607583119999993E-2</v>
      </c>
      <c r="AL207" s="11"/>
      <c r="AM207" s="67">
        <f ca="1">M224+R206+AD208</f>
        <v>54924.962207327451</v>
      </c>
      <c r="AN207" s="11"/>
      <c r="AO207" s="79">
        <f ca="1">AK207*AM207</f>
        <v>1681.1203461236332</v>
      </c>
      <c r="AP207" s="68"/>
      <c r="AQ207" s="69">
        <f ca="1">AD209+AI207</f>
        <v>0.7</v>
      </c>
      <c r="AR207" s="68"/>
      <c r="AS207" s="80">
        <f ca="1">AK207*AQ207</f>
        <v>2.1425308183999993E-2</v>
      </c>
      <c r="AT207" s="68"/>
      <c r="AU207" s="81">
        <f ca="1">AK207*Cst_lar16_life</f>
        <v>1339.4147410585513</v>
      </c>
      <c r="AW207" s="80">
        <f ca="1">AK207*QALY_lar16_life</f>
        <v>0.16668272333173079</v>
      </c>
      <c r="AY207" s="82">
        <f ca="1">AU207+AO207</f>
        <v>3020.5350871821847</v>
      </c>
      <c r="BA207" s="83">
        <f ca="1">AW207+AS207</f>
        <v>0.18810803151573077</v>
      </c>
    </row>
    <row r="208" spans="9:54" x14ac:dyDescent="0.3"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 t="s">
        <v>206</v>
      </c>
      <c r="Z208" s="11"/>
      <c r="AA208" s="11"/>
      <c r="AB208" s="11"/>
      <c r="AC208" s="11"/>
      <c r="AD208" s="77">
        <f ca="1">Cst_post_lar16_local</f>
        <v>36243.04816563191</v>
      </c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80"/>
      <c r="AP208" s="11"/>
      <c r="AQ208" s="69"/>
      <c r="AR208" s="11"/>
      <c r="AS208" s="80"/>
      <c r="AT208" s="11"/>
      <c r="AU208" s="81"/>
      <c r="AW208" s="80"/>
      <c r="AY208" s="83"/>
      <c r="BA208" s="83"/>
    </row>
    <row r="209" spans="9:53" x14ac:dyDescent="0.3"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76">
        <f ca="1">(1 - Prob_Min30_lar16_mtc * RR_Min30_lar16_local)</f>
        <v>0.88749999999999996</v>
      </c>
      <c r="Z209" s="11"/>
      <c r="AA209" s="11"/>
      <c r="AB209" s="11"/>
      <c r="AC209" s="11"/>
      <c r="AD209" s="78">
        <f ca="1">U_lar16*(30/365)</f>
        <v>5.7534246575342458E-2</v>
      </c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80"/>
      <c r="AP209" s="11"/>
      <c r="AQ209" s="69"/>
      <c r="AR209" s="11"/>
      <c r="AS209" s="80"/>
      <c r="AT209" s="11"/>
      <c r="AU209" s="81"/>
      <c r="AW209" s="80"/>
      <c r="AY209" s="83"/>
      <c r="BA209" s="83"/>
    </row>
    <row r="210" spans="9:53" x14ac:dyDescent="0.3"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 t="s">
        <v>220</v>
      </c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 t="s">
        <v>207</v>
      </c>
      <c r="AG210" s="11"/>
      <c r="AH210" s="11"/>
      <c r="AI210" s="11"/>
      <c r="AJ210" s="11"/>
      <c r="AK210" s="11"/>
      <c r="AL210" s="11"/>
      <c r="AM210" s="11"/>
      <c r="AN210" s="11"/>
      <c r="AO210" s="80"/>
      <c r="AP210" s="11"/>
      <c r="AQ210" s="69"/>
      <c r="AR210" s="11"/>
      <c r="AS210" s="80"/>
      <c r="AT210" s="11"/>
      <c r="AU210" s="81"/>
      <c r="AW210" s="80"/>
      <c r="AY210" s="83"/>
      <c r="BA210" s="83"/>
    </row>
    <row r="211" spans="9:53" x14ac:dyDescent="0.3"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76">
        <f ca="1">(1- Prob_R4_sen)</f>
        <v>0.4</v>
      </c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76">
        <f ca="1">Prob_Min1y_lar16_mtc * RR_Min1y_lar16_local</f>
        <v>4.9199999999999994E-2</v>
      </c>
      <c r="AG211" s="11"/>
      <c r="AH211" s="11"/>
      <c r="AI211" s="11"/>
      <c r="AJ211" s="11"/>
      <c r="AK211" s="11">
        <f ca="1">O207*T211*Y209*AF211</f>
        <v>1.5838168799999996E-3</v>
      </c>
      <c r="AL211" s="11"/>
      <c r="AM211" s="67">
        <f ca="1">M224+R206+AD208</f>
        <v>54924.962207327451</v>
      </c>
      <c r="AN211" s="11"/>
      <c r="AO211" s="79">
        <f ca="1">AK211*AM211</f>
        <v>86.991082277327251</v>
      </c>
      <c r="AP211" s="68"/>
      <c r="AQ211" s="69">
        <f ca="1">AD209</f>
        <v>5.7534246575342458E-2</v>
      </c>
      <c r="AR211" s="68"/>
      <c r="AS211" s="80">
        <f t="shared" ref="AS211" ca="1" si="27">AK211*AQ211</f>
        <v>9.1123710904109548E-5</v>
      </c>
      <c r="AT211" s="68"/>
      <c r="AU211" s="81">
        <v>0</v>
      </c>
      <c r="AW211" s="80">
        <v>0</v>
      </c>
      <c r="AY211" s="82">
        <f ca="1">AU211+AO211</f>
        <v>86.991082277327251</v>
      </c>
      <c r="BA211" s="83">
        <f ca="1">AW211+AS211</f>
        <v>9.1123710904109548E-5</v>
      </c>
    </row>
    <row r="212" spans="9:53" x14ac:dyDescent="0.3"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 t="s">
        <v>208</v>
      </c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80"/>
      <c r="AP212" s="11"/>
      <c r="AQ212" s="69"/>
      <c r="AR212" s="11"/>
      <c r="AS212" s="80"/>
      <c r="AT212" s="11"/>
      <c r="AU212" s="81"/>
      <c r="AW212" s="80"/>
      <c r="AY212" s="83"/>
      <c r="BA212" s="83"/>
    </row>
    <row r="213" spans="9:53" x14ac:dyDescent="0.3"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76">
        <f ca="1" xml:space="preserve"> Prob_Min30_lar16_mtc * RR_Min30_lar16_local</f>
        <v>0.1125</v>
      </c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>
        <f ca="1">O207*T211*Y213</f>
        <v>4.0806000000000002E-3</v>
      </c>
      <c r="AL213" s="11"/>
      <c r="AM213" s="67">
        <f ca="1">M224+R206</f>
        <v>18681.914041695542</v>
      </c>
      <c r="AN213" s="11"/>
      <c r="AO213" s="79">
        <f ca="1">AK213*AM213</f>
        <v>76.233418438542827</v>
      </c>
      <c r="AP213" s="68"/>
      <c r="AQ213" s="69">
        <f>0</f>
        <v>0</v>
      </c>
      <c r="AR213" s="68"/>
      <c r="AS213" s="80">
        <f t="shared" ref="AS213" ca="1" si="28">AK213*AQ213</f>
        <v>0</v>
      </c>
      <c r="AT213" s="68"/>
      <c r="AU213" s="81">
        <v>0</v>
      </c>
      <c r="AW213" s="80">
        <v>0</v>
      </c>
      <c r="AY213" s="82">
        <f ca="1">AU213+AO213</f>
        <v>76.233418438542827</v>
      </c>
      <c r="BA213" s="83">
        <f ca="1">AW213+AS213</f>
        <v>0</v>
      </c>
    </row>
    <row r="214" spans="9:53" x14ac:dyDescent="0.3"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80"/>
      <c r="AP214" s="11"/>
      <c r="AQ214" s="69"/>
      <c r="AR214" s="11"/>
      <c r="AS214" s="80"/>
      <c r="AT214" s="11"/>
      <c r="AU214" s="81"/>
      <c r="AW214" s="80"/>
      <c r="AY214" s="83"/>
      <c r="BA214" s="83"/>
    </row>
    <row r="215" spans="9:53" x14ac:dyDescent="0.3"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 t="s">
        <v>196</v>
      </c>
      <c r="AG215" s="11"/>
      <c r="AH215" s="11"/>
      <c r="AI215" s="11"/>
      <c r="AJ215" s="11"/>
      <c r="AK215" s="11"/>
      <c r="AL215" s="11"/>
      <c r="AM215" s="11"/>
      <c r="AN215" s="11"/>
      <c r="AO215" s="80"/>
      <c r="AP215" s="11"/>
      <c r="AQ215" s="69"/>
      <c r="AR215" s="11"/>
      <c r="AS215" s="80"/>
      <c r="AT215" s="11"/>
      <c r="AU215" s="81"/>
      <c r="AW215" s="80"/>
      <c r="AY215" s="83"/>
      <c r="BA215" s="83"/>
    </row>
    <row r="216" spans="9:53" x14ac:dyDescent="0.3"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76">
        <f ca="1">(1 - Prob_Min1y_sma16)</f>
        <v>0.98299999999999998</v>
      </c>
      <c r="AG216" s="11"/>
      <c r="AH216" s="11"/>
      <c r="AI216" s="78">
        <f ca="1">U_sma16*((365-30)/365)</f>
        <v>0.73424657534246585</v>
      </c>
      <c r="AJ216" s="11"/>
      <c r="AK216" s="11">
        <f ca="1">O225*T220*Y218*AF216</f>
        <v>5.7942030640000003E-2</v>
      </c>
      <c r="AL216" s="11"/>
      <c r="AM216" s="67">
        <f ca="1">M224+R224+W219+AD217</f>
        <v>50508.581905781655</v>
      </c>
      <c r="AN216" s="11"/>
      <c r="AO216" s="79">
        <f ca="1">AK216*AM216</f>
        <v>2926.5698003677503</v>
      </c>
      <c r="AP216" s="68"/>
      <c r="AQ216" s="69">
        <f ca="1">AD218+AI216</f>
        <v>0.8</v>
      </c>
      <c r="AR216" s="68"/>
      <c r="AS216" s="80">
        <f t="shared" ref="AS216" ca="1" si="29">AK216*AQ216</f>
        <v>4.6353624512000008E-2</v>
      </c>
      <c r="AT216" s="68"/>
      <c r="AU216" s="81">
        <f ca="1">AK216*Cst_sma16_life</f>
        <v>1838.4093945784352</v>
      </c>
      <c r="AW216" s="80">
        <f ca="1">AK216*QALY_sma16_life</f>
        <v>0.59136611003729322</v>
      </c>
      <c r="AY216" s="82">
        <f ca="1">AU216+AO216</f>
        <v>4764.9791949461851</v>
      </c>
      <c r="BA216" s="83">
        <f ca="1">AW216+AS216</f>
        <v>0.6377197345492932</v>
      </c>
    </row>
    <row r="217" spans="9:53" x14ac:dyDescent="0.3"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 t="s">
        <v>200</v>
      </c>
      <c r="Z217" s="11"/>
      <c r="AA217" s="11"/>
      <c r="AB217" s="11"/>
      <c r="AC217" s="11"/>
      <c r="AD217" s="77">
        <f ca="1">Cst_post_lar16_mtc</f>
        <v>36915.462885387984</v>
      </c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80"/>
      <c r="AP217" s="11"/>
      <c r="AQ217" s="69"/>
      <c r="AR217" s="11"/>
      <c r="AS217" s="80"/>
      <c r="AT217" s="11"/>
      <c r="AU217" s="81"/>
      <c r="AW217" s="80"/>
      <c r="AY217" s="83"/>
      <c r="BA217" s="83"/>
    </row>
    <row r="218" spans="9:53" x14ac:dyDescent="0.3"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76">
        <f ca="1">(1 - Prob_Min30_sma16)</f>
        <v>0.98799999999999999</v>
      </c>
      <c r="Z218" s="11"/>
      <c r="AA218" s="11"/>
      <c r="AB218" s="11"/>
      <c r="AC218" s="11"/>
      <c r="AD218" s="78">
        <f ca="1">U_sma16*(30/365)</f>
        <v>6.575342465753424E-2</v>
      </c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80"/>
      <c r="AP218" s="11"/>
      <c r="AQ218" s="69"/>
      <c r="AR218" s="11"/>
      <c r="AS218" s="80"/>
      <c r="AT218" s="11"/>
      <c r="AU218" s="81"/>
      <c r="AW218" s="80"/>
      <c r="AY218" s="83"/>
      <c r="BA218" s="83"/>
    </row>
    <row r="219" spans="9:53" x14ac:dyDescent="0.3"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 t="s">
        <v>219</v>
      </c>
      <c r="U219" s="11"/>
      <c r="V219" s="11"/>
      <c r="W219" s="77">
        <f>Cst_lar16_MTC</f>
        <v>3342</v>
      </c>
      <c r="X219" s="11"/>
      <c r="Y219" s="11"/>
      <c r="Z219" s="11"/>
      <c r="AA219" s="11"/>
      <c r="AB219" s="11"/>
      <c r="AC219" s="11"/>
      <c r="AD219" s="11"/>
      <c r="AE219" s="11"/>
      <c r="AF219" s="11" t="s">
        <v>201</v>
      </c>
      <c r="AG219" s="11"/>
      <c r="AH219" s="11"/>
      <c r="AI219" s="11"/>
      <c r="AJ219" s="11"/>
      <c r="AK219" s="11"/>
      <c r="AL219" s="11"/>
      <c r="AM219" s="11"/>
      <c r="AN219" s="11"/>
      <c r="AO219" s="80"/>
      <c r="AP219" s="11"/>
      <c r="AQ219" s="69"/>
      <c r="AR219" s="11"/>
      <c r="AS219" s="80"/>
      <c r="AT219" s="11"/>
      <c r="AU219" s="81"/>
      <c r="AW219" s="80"/>
      <c r="AY219" s="83"/>
      <c r="BA219" s="83"/>
    </row>
    <row r="220" spans="9:53" x14ac:dyDescent="0.3"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76">
        <f ca="1">(1-Prob_R4_spe)</f>
        <v>0.4</v>
      </c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76">
        <f ca="1">Prob_Min1y_sma16</f>
        <v>1.7000000000000001E-2</v>
      </c>
      <c r="AG220" s="11"/>
      <c r="AH220" s="11"/>
      <c r="AI220" s="11"/>
      <c r="AJ220" s="11"/>
      <c r="AK220" s="11">
        <f ca="1">O225*T220*Y218*AF220</f>
        <v>1.0020493600000002E-3</v>
      </c>
      <c r="AL220" s="11"/>
      <c r="AM220" s="67">
        <f ca="1">M224+R224+W219+AD217</f>
        <v>50508.581905781655</v>
      </c>
      <c r="AN220" s="11"/>
      <c r="AO220" s="79">
        <f ca="1">AK220*AM220</f>
        <v>50.612092173196096</v>
      </c>
      <c r="AP220" s="68"/>
      <c r="AQ220" s="69">
        <f ca="1">AD218</f>
        <v>6.575342465753424E-2</v>
      </c>
      <c r="AR220" s="68"/>
      <c r="AS220" s="80">
        <f t="shared" ref="AS220" ca="1" si="30">AK220*AQ220</f>
        <v>6.5888177095890419E-5</v>
      </c>
      <c r="AT220" s="68"/>
      <c r="AU220" s="81">
        <v>0</v>
      </c>
      <c r="AW220" s="80">
        <v>0</v>
      </c>
      <c r="AY220" s="82">
        <f ca="1">AU220+AO220</f>
        <v>50.612092173196096</v>
      </c>
      <c r="BA220" s="83">
        <f ca="1">AW220+AS220</f>
        <v>6.5888177095890419E-5</v>
      </c>
    </row>
    <row r="221" spans="9:53" x14ac:dyDescent="0.3"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 t="s">
        <v>202</v>
      </c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80"/>
      <c r="AP221" s="11"/>
      <c r="AQ221" s="69"/>
      <c r="AR221" s="11"/>
      <c r="AS221" s="80"/>
      <c r="AT221" s="11"/>
      <c r="AU221" s="81"/>
      <c r="AW221" s="80"/>
      <c r="AY221" s="83"/>
      <c r="BA221" s="83"/>
    </row>
    <row r="222" spans="9:53" x14ac:dyDescent="0.3"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76">
        <f ca="1">Prob_Min30_sma16</f>
        <v>1.2E-2</v>
      </c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>
        <f ca="1">O225*T220*Y222</f>
        <v>7.159200000000001E-4</v>
      </c>
      <c r="AL222" s="11"/>
      <c r="AM222" s="67">
        <f ca="1">M224+R224+W219</f>
        <v>13593.119020393675</v>
      </c>
      <c r="AN222" s="11"/>
      <c r="AO222" s="79">
        <f ca="1">AK222*AM222</f>
        <v>9.7315857690802403</v>
      </c>
      <c r="AP222" s="68"/>
      <c r="AQ222" s="69">
        <v>0</v>
      </c>
      <c r="AR222" s="68"/>
      <c r="AS222" s="80">
        <v>0</v>
      </c>
      <c r="AT222" s="68"/>
      <c r="AU222" s="81">
        <v>0</v>
      </c>
      <c r="AW222" s="80">
        <v>0</v>
      </c>
      <c r="AY222" s="82">
        <f ca="1">AU222+AO222</f>
        <v>9.7315857690802403</v>
      </c>
      <c r="BA222" s="83">
        <f>AW222+AS222</f>
        <v>0</v>
      </c>
    </row>
    <row r="223" spans="9:53" x14ac:dyDescent="0.3">
      <c r="I223" s="11"/>
      <c r="J223" s="11"/>
      <c r="K223" s="11"/>
      <c r="L223" s="11"/>
      <c r="M223" s="11"/>
      <c r="N223" s="11"/>
      <c r="O223" s="11" t="s">
        <v>209</v>
      </c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80"/>
      <c r="AP223" s="11"/>
      <c r="AQ223" s="69"/>
      <c r="AR223" s="11"/>
      <c r="AS223" s="80"/>
      <c r="AT223" s="11"/>
      <c r="AU223" s="81"/>
      <c r="AW223" s="80"/>
      <c r="AY223" s="83"/>
      <c r="BA223" s="83"/>
    </row>
    <row r="224" spans="9:53" x14ac:dyDescent="0.3">
      <c r="I224" s="11"/>
      <c r="J224" s="11" t="s">
        <v>242</v>
      </c>
      <c r="K224" s="11"/>
      <c r="L224" s="11"/>
      <c r="M224" s="92">
        <f ca="1">Cst_R4+Cst_amb</f>
        <v>629.02286226800015</v>
      </c>
      <c r="N224" s="11"/>
      <c r="O224" s="11" t="s">
        <v>211</v>
      </c>
      <c r="P224" s="11"/>
      <c r="Q224" s="11"/>
      <c r="R224" s="77">
        <f ca="1">Cst_btw916_hosp</f>
        <v>9622.0961581256743</v>
      </c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 t="s">
        <v>205</v>
      </c>
      <c r="AG224" s="11"/>
      <c r="AH224" s="11"/>
      <c r="AI224" s="11"/>
      <c r="AJ224" s="11"/>
      <c r="AK224" s="11"/>
      <c r="AL224" s="11"/>
      <c r="AM224" s="11"/>
      <c r="AN224" s="11"/>
      <c r="AO224" s="80"/>
      <c r="AP224" s="11"/>
      <c r="AQ224" s="69"/>
      <c r="AR224" s="11"/>
      <c r="AS224" s="80"/>
      <c r="AT224" s="11"/>
      <c r="AU224" s="81"/>
      <c r="AW224" s="80"/>
      <c r="AY224" s="83"/>
      <c r="BA224" s="83"/>
    </row>
    <row r="225" spans="9:53" x14ac:dyDescent="0.3">
      <c r="I225" s="11"/>
      <c r="J225" s="11" t="s">
        <v>332</v>
      </c>
      <c r="K225" s="11"/>
      <c r="L225" s="11"/>
      <c r="M225" s="11"/>
      <c r="N225" s="11"/>
      <c r="O225" s="76">
        <f>Prob_ISS_btw916</f>
        <v>0.14915</v>
      </c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76">
        <f ca="1">(1 - Prob_Min1y_sma16 * RR_Min1y_lar16_local)</f>
        <v>0.97211999999999998</v>
      </c>
      <c r="AG225" s="11"/>
      <c r="AH225" s="11"/>
      <c r="AI225" s="78">
        <f ca="1">U_sma16*((365-30)/365)</f>
        <v>0.73424657534246585</v>
      </c>
      <c r="AJ225" s="11"/>
      <c r="AK225" s="11">
        <f ca="1">O225*T229*Y227*AF225</f>
        <v>8.5820586046200006E-2</v>
      </c>
      <c r="AL225" s="11"/>
      <c r="AM225" s="67">
        <f ca="1">M224+R224+AD226</f>
        <v>46494.167186025588</v>
      </c>
      <c r="AN225" s="11"/>
      <c r="AO225" s="79">
        <f ca="1">AK225*AM225</f>
        <v>3990.1566756347179</v>
      </c>
      <c r="AP225" s="68"/>
      <c r="AQ225" s="69">
        <f ca="1">AD227+AI225</f>
        <v>0.8</v>
      </c>
      <c r="AR225" s="68"/>
      <c r="AS225" s="80">
        <f t="shared" ref="AS225" ca="1" si="31">AK225*AQ225</f>
        <v>6.8656468836960013E-2</v>
      </c>
      <c r="AT225" s="68"/>
      <c r="AU225" s="81">
        <f ca="1">AK225*Cst_sma16_life</f>
        <v>2722.9520590298912</v>
      </c>
      <c r="AW225" s="80">
        <f ca="1">AK225*QALY_sma16_life</f>
        <v>0.87589933543382115</v>
      </c>
      <c r="AY225" s="82">
        <f ca="1">AU225+AO225</f>
        <v>6713.1087346646091</v>
      </c>
      <c r="BA225" s="83">
        <f ca="1">AW225+AS225</f>
        <v>0.94455580427078112</v>
      </c>
    </row>
    <row r="226" spans="9:53" x14ac:dyDescent="0.3">
      <c r="I226" s="11"/>
      <c r="J226" s="11" t="s">
        <v>333</v>
      </c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 t="s">
        <v>206</v>
      </c>
      <c r="Z226" s="11"/>
      <c r="AA226" s="11"/>
      <c r="AB226" s="11"/>
      <c r="AC226" s="11"/>
      <c r="AD226" s="77">
        <f ca="1">Cst_post_lar16_local</f>
        <v>36243.04816563191</v>
      </c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80"/>
      <c r="AP226" s="11"/>
      <c r="AQ226" s="69"/>
      <c r="AR226" s="11"/>
      <c r="AS226" s="80"/>
      <c r="AT226" s="11"/>
      <c r="AU226" s="81"/>
      <c r="AW226" s="80"/>
      <c r="AY226" s="83"/>
      <c r="BA226" s="83"/>
    </row>
    <row r="227" spans="9:53" x14ac:dyDescent="0.3"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76">
        <f ca="1">(1 - Prob_Min30_sma16 * RR_Min30_lar16_local)</f>
        <v>0.98650000000000004</v>
      </c>
      <c r="Z227" s="11"/>
      <c r="AA227" s="11"/>
      <c r="AB227" s="11"/>
      <c r="AC227" s="11"/>
      <c r="AD227" s="78">
        <f ca="1">U_sma16*(30/365)</f>
        <v>6.575342465753424E-2</v>
      </c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80"/>
      <c r="AP227" s="11"/>
      <c r="AQ227" s="69"/>
      <c r="AR227" s="11"/>
      <c r="AS227" s="80"/>
      <c r="AT227" s="11"/>
      <c r="AU227" s="81"/>
      <c r="AW227" s="80"/>
      <c r="AY227" s="83"/>
      <c r="BA227" s="83"/>
    </row>
    <row r="228" spans="9:53" x14ac:dyDescent="0.3"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 t="s">
        <v>220</v>
      </c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 t="s">
        <v>207</v>
      </c>
      <c r="AG228" s="11"/>
      <c r="AH228" s="11"/>
      <c r="AI228" s="11"/>
      <c r="AJ228" s="11"/>
      <c r="AK228" s="11"/>
      <c r="AL228" s="11"/>
      <c r="AM228" s="11"/>
      <c r="AN228" s="11"/>
      <c r="AO228" s="80"/>
      <c r="AP228" s="11"/>
      <c r="AQ228" s="69"/>
      <c r="AR228" s="11"/>
      <c r="AS228" s="80"/>
      <c r="AT228" s="11"/>
      <c r="AU228" s="81"/>
      <c r="AW228" s="80"/>
      <c r="AY228" s="83"/>
      <c r="BA228" s="83"/>
    </row>
    <row r="229" spans="9:53" x14ac:dyDescent="0.3"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76">
        <f ca="1">Prob_R4_spe</f>
        <v>0.6</v>
      </c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76">
        <f ca="1">Prob_Min1y_sma16 * RR_Min1y_lar16_local</f>
        <v>2.7880000000000002E-2</v>
      </c>
      <c r="AG229" s="11"/>
      <c r="AH229" s="11"/>
      <c r="AI229" s="11"/>
      <c r="AJ229" s="11"/>
      <c r="AK229" s="11">
        <f ca="1">O225*T229*Y227*AF229</f>
        <v>2.4612989538000001E-3</v>
      </c>
      <c r="AL229" s="11"/>
      <c r="AM229" s="67">
        <f ca="1">M224+R224+AD226</f>
        <v>46494.167186025588</v>
      </c>
      <c r="AN229" s="11"/>
      <c r="AO229" s="79">
        <f ca="1">AK229*AM229</f>
        <v>114.43604505276707</v>
      </c>
      <c r="AP229" s="68"/>
      <c r="AQ229" s="69">
        <f ca="1">AD227</f>
        <v>6.575342465753424E-2</v>
      </c>
      <c r="AR229" s="68"/>
      <c r="AS229" s="80">
        <f t="shared" ref="AS229" ca="1" si="32">AK229*AQ229</f>
        <v>1.6183883531835616E-4</v>
      </c>
      <c r="AT229" s="68"/>
      <c r="AU229" s="81">
        <v>0</v>
      </c>
      <c r="AW229" s="80">
        <v>0</v>
      </c>
      <c r="AY229" s="82">
        <f ca="1">AU229+AO229</f>
        <v>114.43604505276707</v>
      </c>
      <c r="BA229" s="83">
        <f ca="1">AW229+AS229</f>
        <v>1.6183883531835616E-4</v>
      </c>
    </row>
    <row r="230" spans="9:53" x14ac:dyDescent="0.3"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 t="s">
        <v>208</v>
      </c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80"/>
      <c r="AP230" s="11"/>
      <c r="AQ230" s="69"/>
      <c r="AR230" s="11"/>
      <c r="AS230" s="80"/>
      <c r="AT230" s="11"/>
      <c r="AU230" s="81"/>
      <c r="AW230" s="80"/>
      <c r="AY230" s="83"/>
      <c r="BA230" s="83"/>
    </row>
    <row r="231" spans="9:53" x14ac:dyDescent="0.3"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76">
        <f ca="1">Prob_Min30_sma16 * RR_Min30_lar16_local</f>
        <v>1.35E-2</v>
      </c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>
        <f ca="1">O225*T229*Y231</f>
        <v>1.2081150000000001E-3</v>
      </c>
      <c r="AL231" s="11"/>
      <c r="AM231" s="67">
        <f ca="1">M224+R224</f>
        <v>10251.119020393675</v>
      </c>
      <c r="AN231" s="11"/>
      <c r="AO231" s="79">
        <f ca="1">AK231*AM231</f>
        <v>12.384530655322905</v>
      </c>
      <c r="AP231" s="68"/>
      <c r="AQ231" s="69">
        <f>0</f>
        <v>0</v>
      </c>
      <c r="AR231" s="68"/>
      <c r="AS231" s="80">
        <f t="shared" ref="AS231" ca="1" si="33">AK231*AQ231</f>
        <v>0</v>
      </c>
      <c r="AT231" s="68"/>
      <c r="AU231" s="81">
        <v>0</v>
      </c>
      <c r="AW231" s="80">
        <v>0</v>
      </c>
      <c r="AY231" s="82">
        <f ca="1">AU231+AO231</f>
        <v>12.384530655322905</v>
      </c>
      <c r="BA231" s="83">
        <f ca="1">AW231+AS231</f>
        <v>0</v>
      </c>
    </row>
    <row r="232" spans="9:53" x14ac:dyDescent="0.3"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80"/>
      <c r="AP232" s="11"/>
      <c r="AQ232" s="69"/>
      <c r="AR232" s="11"/>
      <c r="AS232" s="80"/>
      <c r="AT232" s="11"/>
      <c r="AU232" s="81"/>
      <c r="AW232" s="80"/>
      <c r="AY232" s="83"/>
      <c r="BA232" s="83"/>
    </row>
    <row r="233" spans="9:53" x14ac:dyDescent="0.3"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80"/>
      <c r="AP233" s="11"/>
      <c r="AQ233" s="69"/>
      <c r="AR233" s="11"/>
      <c r="AS233" s="80"/>
      <c r="AT233" s="11"/>
      <c r="AU233" s="81"/>
      <c r="AW233" s="80"/>
      <c r="AY233" s="83"/>
      <c r="BA233" s="83"/>
    </row>
    <row r="234" spans="9:53" x14ac:dyDescent="0.3"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 t="s">
        <v>196</v>
      </c>
      <c r="AG234" s="11"/>
      <c r="AH234" s="11"/>
      <c r="AI234" s="11"/>
      <c r="AJ234" s="11"/>
      <c r="AK234" s="11"/>
      <c r="AL234" s="11"/>
      <c r="AM234" s="11"/>
      <c r="AN234" s="11"/>
      <c r="AO234" s="80"/>
      <c r="AP234" s="11"/>
      <c r="AQ234" s="69"/>
      <c r="AR234" s="11"/>
      <c r="AS234" s="80"/>
      <c r="AT234" s="11"/>
      <c r="AU234" s="81"/>
      <c r="AW234" s="80"/>
      <c r="AY234" s="83"/>
      <c r="BA234" s="83"/>
    </row>
    <row r="235" spans="9:53" x14ac:dyDescent="0.3"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76">
        <f ca="1">(1 - Prob_Min1y_sma16)</f>
        <v>0.98299999999999998</v>
      </c>
      <c r="AG235" s="11"/>
      <c r="AH235" s="11"/>
      <c r="AI235" s="78">
        <f ca="1">U_sma16*((365-30)/365)</f>
        <v>0.73424657534246585</v>
      </c>
      <c r="AJ235" s="11"/>
      <c r="AK235" s="11">
        <f ca="1">O244*T239*Y237*AF235</f>
        <v>0.29531205787199999</v>
      </c>
      <c r="AL235" s="11"/>
      <c r="AM235" s="67">
        <f ca="1">M223+M224+W238+AD236</f>
        <v>40886.485747655985</v>
      </c>
      <c r="AN235" s="11"/>
      <c r="AO235" s="79">
        <f ca="1">AK235*AM235</f>
        <v>12074.272245294487</v>
      </c>
      <c r="AP235" s="68"/>
      <c r="AQ235" s="69">
        <f ca="1">AD237+AI235</f>
        <v>0.8</v>
      </c>
      <c r="AR235" s="68"/>
      <c r="AS235" s="80">
        <f t="shared" ref="AS235" ca="1" si="34">AK235*AQ235</f>
        <v>0.23624964629760001</v>
      </c>
      <c r="AT235" s="68"/>
      <c r="AU235" s="81">
        <f ca="1">AK235*Cst_sma16_life</f>
        <v>9369.7865871719005</v>
      </c>
      <c r="AW235" s="80">
        <f ca="1">AK235*QALY_sma16_life</f>
        <v>3.014004531458593</v>
      </c>
      <c r="AY235" s="82">
        <f ca="1">AU235+AO235</f>
        <v>21444.058832466388</v>
      </c>
      <c r="BA235" s="83">
        <f ca="1">AW235+AS235</f>
        <v>3.2502541777561929</v>
      </c>
    </row>
    <row r="236" spans="9:53" x14ac:dyDescent="0.3"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 t="s">
        <v>200</v>
      </c>
      <c r="Z236" s="11"/>
      <c r="AA236" s="11"/>
      <c r="AB236" s="11"/>
      <c r="AC236" s="11"/>
      <c r="AD236" s="77">
        <f ca="1">Cst_post_lar16_mtc</f>
        <v>36915.462885387984</v>
      </c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80"/>
      <c r="AP236" s="11"/>
      <c r="AQ236" s="69"/>
      <c r="AR236" s="11"/>
      <c r="AS236" s="80"/>
      <c r="AT236" s="11"/>
      <c r="AU236" s="81"/>
      <c r="AW236" s="80"/>
      <c r="AY236" s="83"/>
      <c r="BA236" s="83"/>
    </row>
    <row r="237" spans="9:53" x14ac:dyDescent="0.3"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76">
        <f ca="1">(1 - Prob_Min30_sma16)</f>
        <v>0.98799999999999999</v>
      </c>
      <c r="Z237" s="11"/>
      <c r="AA237" s="11"/>
      <c r="AB237" s="11"/>
      <c r="AC237" s="11"/>
      <c r="AD237" s="78">
        <f ca="1">U_sma16*(30/365)</f>
        <v>6.575342465753424E-2</v>
      </c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80"/>
      <c r="AP237" s="11"/>
      <c r="AQ237" s="69"/>
      <c r="AR237" s="11"/>
      <c r="AS237" s="80"/>
      <c r="AT237" s="11"/>
      <c r="AU237" s="81"/>
      <c r="AW237" s="80"/>
      <c r="AY237" s="83"/>
      <c r="BA237" s="83"/>
    </row>
    <row r="238" spans="9:53" x14ac:dyDescent="0.3"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 t="s">
        <v>219</v>
      </c>
      <c r="U238" s="11"/>
      <c r="V238" s="11"/>
      <c r="W238" s="77">
        <f>Cst_lar16_MTC</f>
        <v>3342</v>
      </c>
      <c r="X238" s="11"/>
      <c r="Y238" s="11"/>
      <c r="Z238" s="11"/>
      <c r="AA238" s="11"/>
      <c r="AB238" s="11"/>
      <c r="AC238" s="11"/>
      <c r="AD238" s="11"/>
      <c r="AE238" s="11"/>
      <c r="AF238" s="11" t="s">
        <v>201</v>
      </c>
      <c r="AG238" s="11"/>
      <c r="AH238" s="11"/>
      <c r="AI238" s="11"/>
      <c r="AJ238" s="11"/>
      <c r="AK238" s="11"/>
      <c r="AL238" s="11"/>
      <c r="AM238" s="11"/>
      <c r="AN238" s="11"/>
      <c r="AO238" s="80"/>
      <c r="AP238" s="11"/>
      <c r="AQ238" s="69"/>
      <c r="AR238" s="11"/>
      <c r="AS238" s="80"/>
      <c r="AT238" s="11"/>
      <c r="AU238" s="81"/>
      <c r="AW238" s="80"/>
      <c r="AY238" s="83"/>
      <c r="BA238" s="83"/>
    </row>
    <row r="239" spans="9:53" x14ac:dyDescent="0.3"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76">
        <f ca="1">(1-Prob_R4_spe)</f>
        <v>0.4</v>
      </c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76">
        <f ca="1">Prob_Min1y_sma16</f>
        <v>1.7000000000000001E-2</v>
      </c>
      <c r="AG239" s="11"/>
      <c r="AH239" s="11"/>
      <c r="AI239" s="11"/>
      <c r="AJ239" s="11"/>
      <c r="AK239" s="11">
        <f ca="1">O244*T239*Y237*AF239</f>
        <v>5.1071261280000004E-3</v>
      </c>
      <c r="AL239" s="11"/>
      <c r="AM239" s="67">
        <f ca="1">M223+M224+W238+AD236</f>
        <v>40886.485747655985</v>
      </c>
      <c r="AN239" s="11"/>
      <c r="AO239" s="79">
        <f ca="1">AK239*AM239</f>
        <v>208.8124396439535</v>
      </c>
      <c r="AP239" s="68"/>
      <c r="AQ239" s="69">
        <f ca="1">AD237</f>
        <v>6.575342465753424E-2</v>
      </c>
      <c r="AR239" s="68"/>
      <c r="AS239" s="80">
        <f t="shared" ref="AS239" ca="1" si="35">AK239*AQ239</f>
        <v>3.3581103307397258E-4</v>
      </c>
      <c r="AT239" s="68"/>
      <c r="AU239" s="81">
        <v>0</v>
      </c>
      <c r="AW239" s="80">
        <v>0</v>
      </c>
      <c r="AY239" s="82">
        <f ca="1">AU239+AO239</f>
        <v>208.8124396439535</v>
      </c>
      <c r="BA239" s="83">
        <f ca="1">AW239+AS239</f>
        <v>3.3581103307397258E-4</v>
      </c>
    </row>
    <row r="240" spans="9:53" x14ac:dyDescent="0.3">
      <c r="I240" s="11"/>
      <c r="J240" s="11"/>
      <c r="K240" s="11"/>
      <c r="L240" s="11"/>
      <c r="M240" s="65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 t="s">
        <v>202</v>
      </c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80"/>
      <c r="AP240" s="11"/>
      <c r="AQ240" s="69"/>
      <c r="AR240" s="11"/>
      <c r="AS240" s="80"/>
      <c r="AT240" s="11"/>
      <c r="AU240" s="81"/>
      <c r="AW240" s="80"/>
      <c r="AY240" s="83"/>
      <c r="BA240" s="83"/>
    </row>
    <row r="241" spans="9:54" x14ac:dyDescent="0.3">
      <c r="I241" s="11"/>
      <c r="J241" s="11"/>
      <c r="K241" s="11"/>
      <c r="L241" s="11"/>
      <c r="M241" s="65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76">
        <f ca="1">Prob_Min30_sma16</f>
        <v>1.2E-2</v>
      </c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>
        <f ca="1">O244*T239*Y241</f>
        <v>3.648816E-3</v>
      </c>
      <c r="AL241" s="11"/>
      <c r="AM241" s="67">
        <f ca="1">M223+M224+W238</f>
        <v>3971.0228622680002</v>
      </c>
      <c r="AN241" s="11"/>
      <c r="AO241" s="79">
        <f ca="1">AK241*AM241</f>
        <v>14.489531756209276</v>
      </c>
      <c r="AP241" s="68"/>
      <c r="AQ241" s="69">
        <f>0</f>
        <v>0</v>
      </c>
      <c r="AR241" s="68"/>
      <c r="AS241" s="80">
        <f t="shared" ref="AS241" ca="1" si="36">AK241*AQ241</f>
        <v>0</v>
      </c>
      <c r="AT241" s="68"/>
      <c r="AU241" s="81">
        <v>0</v>
      </c>
      <c r="AW241" s="80">
        <v>0</v>
      </c>
      <c r="AY241" s="82">
        <f ca="1">AU241+AO241</f>
        <v>14.489531756209276</v>
      </c>
      <c r="BA241" s="83">
        <f ca="1">AW241+AS241</f>
        <v>0</v>
      </c>
    </row>
    <row r="242" spans="9:54" x14ac:dyDescent="0.3">
      <c r="I242" s="11"/>
      <c r="J242" s="11"/>
      <c r="K242" s="11"/>
      <c r="L242" s="11"/>
      <c r="M242" s="65"/>
      <c r="N242" s="11"/>
      <c r="O242" s="11" t="s">
        <v>214</v>
      </c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80"/>
      <c r="AP242" s="11"/>
      <c r="AQ242" s="69"/>
      <c r="AR242" s="11"/>
      <c r="AS242" s="80"/>
      <c r="AT242" s="11"/>
      <c r="AU242" s="81"/>
      <c r="AW242" s="80"/>
      <c r="AY242" s="83"/>
      <c r="BA242" s="83"/>
    </row>
    <row r="243" spans="9:54" x14ac:dyDescent="0.3">
      <c r="I243" s="11"/>
      <c r="J243" s="11"/>
      <c r="K243" s="11"/>
      <c r="L243" s="11"/>
      <c r="M243" s="65"/>
      <c r="N243" s="11"/>
      <c r="O243" s="11" t="s">
        <v>215</v>
      </c>
      <c r="P243" s="11"/>
      <c r="Q243" s="11"/>
      <c r="R243" s="77">
        <f ca="1">Cst_sma9_hosp</f>
        <v>10365.078230981773</v>
      </c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 t="s">
        <v>205</v>
      </c>
      <c r="AG243" s="11"/>
      <c r="AH243" s="11"/>
      <c r="AI243" s="11"/>
      <c r="AJ243" s="11"/>
      <c r="AK243" s="11"/>
      <c r="AL243" s="11"/>
      <c r="AM243" s="11"/>
      <c r="AN243" s="11"/>
      <c r="AO243" s="80"/>
      <c r="AP243" s="11"/>
      <c r="AQ243" s="69"/>
      <c r="AR243" s="11"/>
      <c r="AS243" s="80"/>
      <c r="AT243" s="11"/>
      <c r="AU243" s="81"/>
      <c r="AW243" s="80"/>
      <c r="AY243" s="83"/>
      <c r="BA243" s="83"/>
    </row>
    <row r="244" spans="9:54" x14ac:dyDescent="0.3">
      <c r="I244" s="11"/>
      <c r="J244" s="11"/>
      <c r="K244" s="11"/>
      <c r="L244" s="11"/>
      <c r="M244" s="65"/>
      <c r="N244" s="11"/>
      <c r="O244" s="76">
        <f>Prob_ISS_sma9</f>
        <v>0.76017000000000001</v>
      </c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76">
        <f ca="1">(1 - Prob_Min1y_sma16 * RR_Min1y_lar16_local)</f>
        <v>0.97211999999999998</v>
      </c>
      <c r="AG244" s="11"/>
      <c r="AH244" s="11"/>
      <c r="AI244" s="78">
        <f ca="1">U_sma16*((365-30)/365)</f>
        <v>0.73424657534246585</v>
      </c>
      <c r="AJ244" s="11"/>
      <c r="AK244" s="11">
        <f ca="1">O244*T248*Y246*AF244</f>
        <v>0.43740016691076006</v>
      </c>
      <c r="AL244" s="11"/>
      <c r="AM244" s="67">
        <f ca="1">M224+R243+AD245</f>
        <v>47237.149258881684</v>
      </c>
      <c r="AN244" s="11"/>
      <c r="AO244" s="79">
        <f ca="1">AK244*AM244</f>
        <v>20661.536970223333</v>
      </c>
      <c r="AP244" s="11"/>
      <c r="AQ244" s="69">
        <f ca="1">AD246+AI244</f>
        <v>0.8</v>
      </c>
      <c r="AR244" s="11"/>
      <c r="AS244" s="80">
        <f t="shared" ref="AS244" ca="1" si="37">AK244*AQ244</f>
        <v>0.34992013352860807</v>
      </c>
      <c r="AT244" s="11"/>
      <c r="AU244" s="81">
        <f ca="1">AK244*Cst_sma16_life</f>
        <v>13878.0185498676</v>
      </c>
      <c r="AW244" s="80">
        <f ca="1">AK244*QALY_sma16_life</f>
        <v>4.4641796702428955</v>
      </c>
      <c r="AY244" s="82">
        <f ca="1">AU244+AO244</f>
        <v>34539.555520090929</v>
      </c>
      <c r="BA244" s="83">
        <f ca="1">AW244+AS244</f>
        <v>4.8140998037715033</v>
      </c>
    </row>
    <row r="245" spans="9:54" x14ac:dyDescent="0.3">
      <c r="I245" s="11"/>
      <c r="J245" s="11"/>
      <c r="K245" s="11"/>
      <c r="L245" s="11"/>
      <c r="M245" s="65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 t="s">
        <v>206</v>
      </c>
      <c r="Z245" s="11"/>
      <c r="AA245" s="11"/>
      <c r="AB245" s="11"/>
      <c r="AC245" s="11"/>
      <c r="AD245" s="77">
        <f ca="1">Cst_post_lar16_local</f>
        <v>36243.04816563191</v>
      </c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80"/>
      <c r="AP245" s="11"/>
      <c r="AQ245" s="69"/>
      <c r="AR245" s="11"/>
      <c r="AS245" s="80"/>
      <c r="AT245" s="11"/>
      <c r="AU245" s="81"/>
      <c r="AW245" s="80"/>
      <c r="AY245" s="83"/>
      <c r="BA245" s="83"/>
    </row>
    <row r="246" spans="9:54" x14ac:dyDescent="0.3">
      <c r="I246" s="11"/>
      <c r="J246" s="11"/>
      <c r="K246" s="11"/>
      <c r="L246" s="11"/>
      <c r="M246" s="65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76">
        <f ca="1">(1 - Prob_Min30_sma16 * RR_Min30_lar16_local)</f>
        <v>0.98650000000000004</v>
      </c>
      <c r="Z246" s="11"/>
      <c r="AA246" s="11"/>
      <c r="AB246" s="11"/>
      <c r="AC246" s="11"/>
      <c r="AD246" s="78">
        <f ca="1">U_sma16*(30/365)</f>
        <v>6.575342465753424E-2</v>
      </c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80"/>
      <c r="AP246" s="11"/>
      <c r="AQ246" s="69"/>
      <c r="AR246" s="11"/>
      <c r="AS246" s="80"/>
      <c r="AT246" s="11"/>
      <c r="AU246" s="81"/>
      <c r="AW246" s="80"/>
      <c r="AY246" s="83"/>
      <c r="BA246" s="83"/>
    </row>
    <row r="247" spans="9:54" x14ac:dyDescent="0.3">
      <c r="I247" s="11"/>
      <c r="J247" s="11"/>
      <c r="K247" s="11"/>
      <c r="L247" s="11"/>
      <c r="M247" s="65"/>
      <c r="N247" s="11"/>
      <c r="O247" s="11"/>
      <c r="P247" s="11"/>
      <c r="Q247" s="11"/>
      <c r="R247" s="11"/>
      <c r="S247" s="11"/>
      <c r="T247" s="11" t="s">
        <v>220</v>
      </c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 t="s">
        <v>207</v>
      </c>
      <c r="AG247" s="11"/>
      <c r="AH247" s="11"/>
      <c r="AI247" s="11"/>
      <c r="AJ247" s="11"/>
      <c r="AK247" s="11"/>
      <c r="AL247" s="11"/>
      <c r="AM247" s="11"/>
      <c r="AN247" s="11"/>
      <c r="AO247" s="80"/>
      <c r="AP247" s="11"/>
      <c r="AQ247" s="69"/>
      <c r="AR247" s="11"/>
      <c r="AS247" s="80"/>
      <c r="AT247" s="11"/>
      <c r="AU247" s="81"/>
      <c r="AW247" s="80"/>
      <c r="AY247" s="83"/>
      <c r="BA247" s="83"/>
    </row>
    <row r="248" spans="9:54" x14ac:dyDescent="0.3">
      <c r="I248" s="11"/>
      <c r="J248" s="11"/>
      <c r="K248" s="11"/>
      <c r="L248" s="11"/>
      <c r="M248" s="65"/>
      <c r="N248" s="11"/>
      <c r="O248" s="11"/>
      <c r="P248" s="11"/>
      <c r="Q248" s="11"/>
      <c r="R248" s="11"/>
      <c r="S248" s="11"/>
      <c r="T248" s="76">
        <f ca="1" xml:space="preserve"> Prob_R4_spe</f>
        <v>0.6</v>
      </c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76">
        <f ca="1">Prob_Min1y_sma16 * RR_Min1y_lar16_local</f>
        <v>2.7880000000000002E-2</v>
      </c>
      <c r="AG248" s="11"/>
      <c r="AH248" s="11"/>
      <c r="AI248" s="11"/>
      <c r="AJ248" s="11"/>
      <c r="AK248" s="11">
        <f ca="1">O244*T248*Y246*AF248</f>
        <v>1.2544456089240002E-2</v>
      </c>
      <c r="AL248" s="11"/>
      <c r="AM248" s="67">
        <f ca="1">M224+R243+AD245</f>
        <v>47237.149258881684</v>
      </c>
      <c r="AN248" s="11"/>
      <c r="AO248" s="79">
        <f ca="1">AK248*AM248</f>
        <v>592.56434465891721</v>
      </c>
      <c r="AP248" s="11"/>
      <c r="AQ248" s="69">
        <f ca="1">AD246</f>
        <v>6.575342465753424E-2</v>
      </c>
      <c r="AR248" s="11"/>
      <c r="AS248" s="80">
        <f t="shared" ref="AS248" ca="1" si="38">AK248*AQ248</f>
        <v>8.2484094833358904E-4</v>
      </c>
      <c r="AT248" s="11"/>
      <c r="AU248" s="81">
        <v>0</v>
      </c>
      <c r="AW248" s="80">
        <v>0</v>
      </c>
      <c r="AY248" s="82">
        <f ca="1">AU248+AO248</f>
        <v>592.56434465891721</v>
      </c>
      <c r="BA248" s="83">
        <f ca="1">AW248+AS248</f>
        <v>8.2484094833358904E-4</v>
      </c>
    </row>
    <row r="249" spans="9:54" x14ac:dyDescent="0.3">
      <c r="I249" s="11"/>
      <c r="J249" s="11"/>
      <c r="K249" s="11"/>
      <c r="L249" s="11"/>
      <c r="M249" s="65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 t="s">
        <v>208</v>
      </c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80"/>
      <c r="AP249" s="11"/>
      <c r="AQ249" s="69"/>
      <c r="AR249" s="11"/>
      <c r="AS249" s="80"/>
      <c r="AT249" s="11"/>
      <c r="AU249" s="81"/>
      <c r="AW249" s="80"/>
      <c r="AY249" s="83"/>
      <c r="BA249" s="83"/>
    </row>
    <row r="250" spans="9:54" x14ac:dyDescent="0.3">
      <c r="I250" s="11"/>
      <c r="J250" s="11"/>
      <c r="K250" s="11"/>
      <c r="L250" s="11"/>
      <c r="M250" s="65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76">
        <f ca="1">Prob_Min30_sma16 * RR_Min30_lar16_local</f>
        <v>1.35E-2</v>
      </c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>
        <f ca="1">O244*T248*Y250</f>
        <v>6.1573770000000003E-3</v>
      </c>
      <c r="AL250" s="11"/>
      <c r="AM250" s="67">
        <f ca="1">M224+R243</f>
        <v>10994.101093249774</v>
      </c>
      <c r="AN250" s="11"/>
      <c r="AO250" s="79">
        <f ca="1">AK250*AM250</f>
        <v>67.694825207251014</v>
      </c>
      <c r="AP250" s="11"/>
      <c r="AQ250" s="69">
        <f>0</f>
        <v>0</v>
      </c>
      <c r="AR250" s="11"/>
      <c r="AS250" s="80">
        <f t="shared" ref="AS250" ca="1" si="39">AK250*AQ250</f>
        <v>0</v>
      </c>
      <c r="AT250" s="11"/>
      <c r="AU250" s="81">
        <v>0</v>
      </c>
      <c r="AW250" s="80">
        <v>0</v>
      </c>
      <c r="AY250" s="82">
        <f ca="1">AU250+AO250</f>
        <v>67.694825207251014</v>
      </c>
      <c r="BA250" s="83">
        <f ca="1">AW250+AS250</f>
        <v>0</v>
      </c>
    </row>
    <row r="251" spans="9:54" x14ac:dyDescent="0.3"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69"/>
      <c r="AR251" s="11"/>
      <c r="AS251" s="11"/>
      <c r="AT251" s="11"/>
      <c r="AU251" s="36"/>
    </row>
    <row r="252" spans="9:54" x14ac:dyDescent="0.3"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69"/>
      <c r="AR252" s="11"/>
      <c r="AS252" s="11"/>
      <c r="AT252" s="11"/>
      <c r="AU252" s="36"/>
    </row>
    <row r="253" spans="9:54" x14ac:dyDescent="0.3"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69"/>
      <c r="AR253" s="11"/>
      <c r="AS253" s="11"/>
      <c r="AT253" s="11"/>
      <c r="AU253" s="36"/>
    </row>
    <row r="254" spans="9:54" x14ac:dyDescent="0.3"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69"/>
      <c r="AR254" s="11"/>
      <c r="AS254" s="11"/>
      <c r="AT254" s="11"/>
      <c r="AU254" s="36"/>
      <c r="AY254" s="36"/>
    </row>
    <row r="255" spans="9:54" ht="15" thickBot="1" x14ac:dyDescent="0.35">
      <c r="AF255" s="11"/>
    </row>
    <row r="256" spans="9:54" ht="15" thickBot="1" x14ac:dyDescent="0.35">
      <c r="AJ256" s="85" t="s">
        <v>106</v>
      </c>
      <c r="AK256" s="89">
        <f ca="1">SUM(AK258:AK310)</f>
        <v>1</v>
      </c>
      <c r="AL256" s="85"/>
      <c r="AM256" s="85"/>
      <c r="AN256" s="85"/>
      <c r="AO256" s="85"/>
      <c r="AP256" s="85"/>
      <c r="AQ256" s="87"/>
      <c r="AR256" s="85"/>
      <c r="AS256" s="85"/>
      <c r="AT256" s="85"/>
      <c r="AU256" s="88"/>
      <c r="AV256" s="85"/>
      <c r="AW256" s="86"/>
      <c r="AX256" s="85"/>
      <c r="AY256" s="90">
        <f ca="1">SUM(AY258:AY310)</f>
        <v>77174.378659590715</v>
      </c>
      <c r="AZ256" s="85"/>
      <c r="BA256" s="91">
        <f ca="1">SUM(BA258:BA310)</f>
        <v>10.108368874331893</v>
      </c>
      <c r="BB256" s="85"/>
    </row>
    <row r="257" spans="9:54" ht="15" thickBot="1" x14ac:dyDescent="0.35"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 t="s">
        <v>196</v>
      </c>
      <c r="AG257" s="11"/>
      <c r="AH257" s="11"/>
      <c r="AI257" s="11"/>
      <c r="AJ257" s="11"/>
      <c r="AK257" s="195" t="s">
        <v>197</v>
      </c>
      <c r="AL257" s="193"/>
      <c r="AM257" s="196" t="s">
        <v>198</v>
      </c>
      <c r="AN257" s="196"/>
      <c r="AO257" s="193" t="s">
        <v>199</v>
      </c>
      <c r="AP257" s="193"/>
      <c r="AQ257" s="197" t="s">
        <v>216</v>
      </c>
      <c r="AR257" s="197"/>
      <c r="AS257" s="193" t="s">
        <v>217</v>
      </c>
      <c r="AT257" s="193"/>
      <c r="AU257" s="198" t="s">
        <v>237</v>
      </c>
      <c r="AV257" s="198"/>
      <c r="AW257" s="193" t="s">
        <v>238</v>
      </c>
      <c r="AX257" s="193"/>
      <c r="AY257" s="193" t="s">
        <v>239</v>
      </c>
      <c r="AZ257" s="193"/>
      <c r="BA257" s="193" t="s">
        <v>195</v>
      </c>
      <c r="BB257" s="194"/>
    </row>
    <row r="258" spans="9:54" x14ac:dyDescent="0.3"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76">
        <f ca="1">1 - Prob_Min1y_lar16_mtc</f>
        <v>0.97</v>
      </c>
      <c r="AG258" s="11"/>
      <c r="AH258" s="11"/>
      <c r="AI258" s="78">
        <f ca="1">U_lar16*((365-30)/365)</f>
        <v>0.6424657534246575</v>
      </c>
      <c r="AJ258" s="11"/>
      <c r="AK258" s="11">
        <f ca="1">O267*T262*Y260*AF258</f>
        <v>3.9581820000000004E-2</v>
      </c>
      <c r="AL258" s="11"/>
      <c r="AM258" s="67">
        <f ca="1">M284+R266+W261+AD259</f>
        <v>58789.376927083526</v>
      </c>
      <c r="AN258" s="11"/>
      <c r="AO258" s="79">
        <f ca="1">AK258*AM258</f>
        <v>2326.9905354399734</v>
      </c>
      <c r="AP258" s="68"/>
      <c r="AQ258" s="69">
        <f ca="1">AD260+AI258</f>
        <v>0.7</v>
      </c>
      <c r="AR258" s="68"/>
      <c r="AS258" s="80">
        <f ca="1">AK258*AQ258</f>
        <v>2.7707274E-2</v>
      </c>
      <c r="AT258" s="68"/>
      <c r="AU258" s="81">
        <f ca="1">AK258*Cst_lar16_life</f>
        <v>1732.1352351824046</v>
      </c>
      <c r="AW258" s="80">
        <f ca="1">AK258*QALY_lar16_life</f>
        <v>0.21555460704492144</v>
      </c>
      <c r="AY258" s="82">
        <f ca="1">AU258+AO258</f>
        <v>4059.1257706223778</v>
      </c>
      <c r="BA258" s="83">
        <f ca="1">AW258+AS258</f>
        <v>0.24326188104492144</v>
      </c>
    </row>
    <row r="259" spans="9:54" x14ac:dyDescent="0.3"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 t="s">
        <v>200</v>
      </c>
      <c r="Z259" s="11"/>
      <c r="AA259" s="11"/>
      <c r="AB259" s="11"/>
      <c r="AC259" s="11"/>
      <c r="AD259" s="77">
        <f ca="1">Cst_post_lar16_mtc</f>
        <v>36915.462885387984</v>
      </c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80"/>
      <c r="AP259" s="11"/>
      <c r="AQ259" s="69"/>
      <c r="AR259" s="11"/>
      <c r="AS259" s="80"/>
      <c r="AT259" s="11"/>
      <c r="AU259" s="81"/>
      <c r="AW259" s="80"/>
      <c r="AY259" s="83"/>
      <c r="BA259" s="83"/>
    </row>
    <row r="260" spans="9:54" x14ac:dyDescent="0.3"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76">
        <f ca="1">1 - Prob_Min30_lar16_mtc</f>
        <v>0.9</v>
      </c>
      <c r="Z260" s="11"/>
      <c r="AA260" s="11"/>
      <c r="AB260" s="11"/>
      <c r="AC260" s="11"/>
      <c r="AD260" s="78">
        <f ca="1">U_lar16*(30/365)</f>
        <v>5.7534246575342458E-2</v>
      </c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80"/>
      <c r="AP260" s="11"/>
      <c r="AQ260" s="69"/>
      <c r="AR260" s="11"/>
      <c r="AS260" s="80"/>
      <c r="AT260" s="11"/>
      <c r="AU260" s="81"/>
      <c r="AW260" s="80"/>
      <c r="AY260" s="83"/>
      <c r="BA260" s="83"/>
    </row>
    <row r="261" spans="9:54" x14ac:dyDescent="0.3"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 t="s">
        <v>219</v>
      </c>
      <c r="U261" s="11"/>
      <c r="V261" s="11"/>
      <c r="W261" s="77">
        <f>Cst_lar16_MTC</f>
        <v>3342</v>
      </c>
      <c r="X261" s="11"/>
      <c r="Y261" s="11"/>
      <c r="Z261" s="11"/>
      <c r="AA261" s="11"/>
      <c r="AB261" s="11"/>
      <c r="AC261" s="11"/>
      <c r="AD261" s="11"/>
      <c r="AE261" s="11"/>
      <c r="AF261" s="11" t="s">
        <v>201</v>
      </c>
      <c r="AG261" s="11"/>
      <c r="AH261" s="11"/>
      <c r="AI261" s="11"/>
      <c r="AJ261" s="11"/>
      <c r="AK261" s="11"/>
      <c r="AL261" s="11"/>
      <c r="AM261" s="11"/>
      <c r="AN261" s="11"/>
      <c r="AO261" s="80"/>
      <c r="AP261" s="11"/>
      <c r="AQ261" s="69"/>
      <c r="AR261" s="11"/>
      <c r="AS261" s="80"/>
      <c r="AT261" s="11"/>
      <c r="AU261" s="81"/>
      <c r="AW261" s="80"/>
      <c r="AY261" s="83"/>
      <c r="BA261" s="83"/>
    </row>
    <row r="262" spans="9:54" x14ac:dyDescent="0.3"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76">
        <f ca="1">Prob_R5_sen</f>
        <v>0.5</v>
      </c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76">
        <f ca="1">Prob_Min1y_lar16_mtc</f>
        <v>0.03</v>
      </c>
      <c r="AG262" s="11"/>
      <c r="AH262" s="11"/>
      <c r="AI262" s="11"/>
      <c r="AJ262" s="11"/>
      <c r="AK262" s="11">
        <f ca="1">O267*T262*Y260*AF262</f>
        <v>1.2241800000000001E-3</v>
      </c>
      <c r="AL262" s="11"/>
      <c r="AM262" s="67">
        <f ca="1">M284+R266+W261+AD259</f>
        <v>58789.376927083526</v>
      </c>
      <c r="AN262" s="11"/>
      <c r="AO262" s="79">
        <f ca="1">AK262*AM262</f>
        <v>71.968779446597111</v>
      </c>
      <c r="AP262" s="68"/>
      <c r="AQ262" s="69">
        <f ca="1">AD260</f>
        <v>5.7534246575342458E-2</v>
      </c>
      <c r="AR262" s="68"/>
      <c r="AS262" s="80">
        <f ca="1">AK262*AQ262</f>
        <v>7.0432273972602735E-5</v>
      </c>
      <c r="AT262" s="68"/>
      <c r="AU262" s="81">
        <v>0</v>
      </c>
      <c r="AW262" s="80">
        <v>0</v>
      </c>
      <c r="AY262" s="84">
        <f ca="1">AW262+AO262</f>
        <v>71.968779446597111</v>
      </c>
      <c r="BA262" s="83">
        <f ca="1">AW262+AS262</f>
        <v>7.0432273972602735E-5</v>
      </c>
    </row>
    <row r="263" spans="9:54" x14ac:dyDescent="0.3"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 t="s">
        <v>202</v>
      </c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80"/>
      <c r="AP263" s="11"/>
      <c r="AQ263" s="69"/>
      <c r="AR263" s="11"/>
      <c r="AS263" s="80"/>
      <c r="AT263" s="11"/>
      <c r="AU263" s="81"/>
      <c r="AW263" s="80"/>
      <c r="AY263" s="83"/>
      <c r="BA263" s="83"/>
    </row>
    <row r="264" spans="9:54" x14ac:dyDescent="0.3"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76">
        <f ca="1">Prob_Min30_lar16_mtc</f>
        <v>0.1</v>
      </c>
      <c r="Z264" s="11"/>
      <c r="AA264" s="11"/>
      <c r="AB264" s="11"/>
      <c r="AC264" s="11"/>
      <c r="AD264" s="11">
        <v>0</v>
      </c>
      <c r="AE264" s="11"/>
      <c r="AF264" s="11"/>
      <c r="AG264" s="11"/>
      <c r="AH264" s="11"/>
      <c r="AI264" s="11"/>
      <c r="AJ264" s="11"/>
      <c r="AK264" s="11">
        <f ca="1">O267*T262*Y264</f>
        <v>4.5339999999999998E-3</v>
      </c>
      <c r="AL264" s="11"/>
      <c r="AM264" s="67">
        <f ca="1">M284+R266+W261</f>
        <v>21873.914041695542</v>
      </c>
      <c r="AN264" s="11"/>
      <c r="AO264" s="79">
        <f ca="1">AK264*AM264</f>
        <v>99.176326265047578</v>
      </c>
      <c r="AP264" s="68"/>
      <c r="AQ264" s="69">
        <f>AD264</f>
        <v>0</v>
      </c>
      <c r="AR264" s="68"/>
      <c r="AS264" s="80">
        <f ca="1">AK264*AQ264</f>
        <v>0</v>
      </c>
      <c r="AT264" s="68"/>
      <c r="AU264" s="81">
        <v>0</v>
      </c>
      <c r="AW264" s="80">
        <v>0</v>
      </c>
      <c r="AY264" s="82">
        <f ca="1">AU264+AO264</f>
        <v>99.176326265047578</v>
      </c>
      <c r="BA264" s="83">
        <f ca="1">AW264+AS264</f>
        <v>0</v>
      </c>
    </row>
    <row r="265" spans="9:54" x14ac:dyDescent="0.3">
      <c r="I265" s="11"/>
      <c r="J265" s="11"/>
      <c r="K265" s="11"/>
      <c r="L265" s="11"/>
      <c r="M265" s="11"/>
      <c r="N265" s="11"/>
      <c r="O265" s="11" t="s">
        <v>203</v>
      </c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80"/>
      <c r="AP265" s="11"/>
      <c r="AQ265" s="69"/>
      <c r="AR265" s="11"/>
      <c r="AS265" s="80"/>
      <c r="AT265" s="11"/>
      <c r="AU265" s="81"/>
      <c r="AW265" s="80"/>
      <c r="AY265" s="83"/>
      <c r="BA265" s="83"/>
    </row>
    <row r="266" spans="9:54" x14ac:dyDescent="0.3">
      <c r="I266" s="11"/>
      <c r="J266" s="11"/>
      <c r="K266" s="11"/>
      <c r="L266" s="11"/>
      <c r="M266" s="11"/>
      <c r="N266" s="11"/>
      <c r="O266" s="11" t="s">
        <v>204</v>
      </c>
      <c r="P266" s="11"/>
      <c r="Q266" s="11"/>
      <c r="R266" s="77">
        <f>Cst_lar16_hosp</f>
        <v>18052.891179427541</v>
      </c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 t="s">
        <v>205</v>
      </c>
      <c r="AG266" s="11"/>
      <c r="AH266" s="11"/>
      <c r="AI266" s="11"/>
      <c r="AJ266" s="11"/>
      <c r="AK266" s="11"/>
      <c r="AL266" s="11"/>
      <c r="AM266" s="11"/>
      <c r="AN266" s="11"/>
      <c r="AO266" s="80"/>
      <c r="AP266" s="11"/>
      <c r="AQ266" s="69"/>
      <c r="AR266" s="11"/>
      <c r="AS266" s="80"/>
      <c r="AT266" s="11"/>
      <c r="AU266" s="81"/>
      <c r="AW266" s="80"/>
      <c r="AY266" s="83"/>
      <c r="BA266" s="83"/>
    </row>
    <row r="267" spans="9:54" x14ac:dyDescent="0.3">
      <c r="I267" s="11"/>
      <c r="J267" s="11"/>
      <c r="K267" s="11"/>
      <c r="L267" s="11"/>
      <c r="M267" s="11"/>
      <c r="N267" s="11"/>
      <c r="O267" s="76">
        <f>Prob_ISS_lag16</f>
        <v>9.0679999999999997E-2</v>
      </c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76">
        <f ca="1">(1 - Prob_Min1y_lar16_mtc * RR_Min1y_lar16_local)</f>
        <v>0.95079999999999998</v>
      </c>
      <c r="AG267" s="11"/>
      <c r="AH267" s="11"/>
      <c r="AI267" s="78">
        <f ca="1">U_lar16*((365-30)/365)</f>
        <v>0.6424657534246575</v>
      </c>
      <c r="AJ267" s="11"/>
      <c r="AK267" s="11">
        <f ca="1">O267*T271*Y269*AF267</f>
        <v>3.8259478899999998E-2</v>
      </c>
      <c r="AL267" s="11"/>
      <c r="AM267" s="67">
        <f ca="1">M284+R266+AD268</f>
        <v>54774.962207327451</v>
      </c>
      <c r="AN267" s="11"/>
      <c r="AO267" s="79">
        <f ca="1">AK267*AM267</f>
        <v>2095.6615108195419</v>
      </c>
      <c r="AP267" s="68"/>
      <c r="AQ267" s="69">
        <f ca="1">AD269+AI267</f>
        <v>0.7</v>
      </c>
      <c r="AR267" s="68"/>
      <c r="AS267" s="80">
        <f ca="1">AK267*AQ267</f>
        <v>2.6781635229999996E-2</v>
      </c>
      <c r="AT267" s="68"/>
      <c r="AU267" s="81">
        <f ca="1">AK267*Cst_lar16_life</f>
        <v>1674.2684263231893</v>
      </c>
      <c r="AW267" s="80">
        <f ca="1">AK267*QALY_lar16_life</f>
        <v>0.20835340416466352</v>
      </c>
      <c r="AY267" s="82">
        <f ca="1">AU267+AO267</f>
        <v>3769.9299371427314</v>
      </c>
      <c r="BA267" s="83">
        <f ca="1">AW267+AS267</f>
        <v>0.23513503939466351</v>
      </c>
    </row>
    <row r="268" spans="9:54" x14ac:dyDescent="0.3"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 t="s">
        <v>206</v>
      </c>
      <c r="Z268" s="11"/>
      <c r="AA268" s="11"/>
      <c r="AB268" s="11"/>
      <c r="AC268" s="11"/>
      <c r="AD268" s="77">
        <f ca="1">Cst_post_lar16_local</f>
        <v>36243.04816563191</v>
      </c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80"/>
      <c r="AP268" s="11"/>
      <c r="AQ268" s="69"/>
      <c r="AR268" s="11"/>
      <c r="AS268" s="80"/>
      <c r="AT268" s="11"/>
      <c r="AU268" s="81"/>
      <c r="AW268" s="80"/>
      <c r="AY268" s="83"/>
      <c r="BA268" s="83"/>
    </row>
    <row r="269" spans="9:54" x14ac:dyDescent="0.3"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76">
        <f ca="1">(1 - Prob_Min30_lar16_mtc * RR_Min30_lar16_local)</f>
        <v>0.88749999999999996</v>
      </c>
      <c r="Z269" s="11"/>
      <c r="AA269" s="11"/>
      <c r="AB269" s="11"/>
      <c r="AC269" s="11"/>
      <c r="AD269" s="78">
        <f ca="1">U_lar16*(30/365)</f>
        <v>5.7534246575342458E-2</v>
      </c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80"/>
      <c r="AP269" s="11"/>
      <c r="AQ269" s="69"/>
      <c r="AR269" s="11"/>
      <c r="AS269" s="80"/>
      <c r="AT269" s="11"/>
      <c r="AU269" s="81"/>
      <c r="AW269" s="80"/>
      <c r="AY269" s="83"/>
      <c r="BA269" s="83"/>
    </row>
    <row r="270" spans="9:54" x14ac:dyDescent="0.3"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 t="s">
        <v>220</v>
      </c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 t="s">
        <v>207</v>
      </c>
      <c r="AG270" s="11"/>
      <c r="AH270" s="11"/>
      <c r="AI270" s="11"/>
      <c r="AJ270" s="11"/>
      <c r="AK270" s="11"/>
      <c r="AL270" s="11"/>
      <c r="AM270" s="11"/>
      <c r="AN270" s="11"/>
      <c r="AO270" s="80"/>
      <c r="AP270" s="11"/>
      <c r="AQ270" s="69"/>
      <c r="AR270" s="11"/>
      <c r="AS270" s="80"/>
      <c r="AT270" s="11"/>
      <c r="AU270" s="81"/>
      <c r="AW270" s="80"/>
      <c r="AY270" s="83"/>
      <c r="BA270" s="83"/>
    </row>
    <row r="271" spans="9:54" x14ac:dyDescent="0.3"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76">
        <f ca="1">(1- Prob_R5_sen)</f>
        <v>0.5</v>
      </c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76">
        <f ca="1">Prob_Min1y_lar16_mtc * RR_Min1y_lar16_local</f>
        <v>4.9199999999999994E-2</v>
      </c>
      <c r="AG271" s="11"/>
      <c r="AH271" s="11"/>
      <c r="AI271" s="11"/>
      <c r="AJ271" s="11"/>
      <c r="AK271" s="11">
        <f ca="1">O267*T271*Y269*AF271</f>
        <v>1.9797710999999996E-3</v>
      </c>
      <c r="AL271" s="11"/>
      <c r="AM271" s="67">
        <f ca="1">M284+R266+AD268</f>
        <v>54774.962207327451</v>
      </c>
      <c r="AN271" s="11"/>
      <c r="AO271" s="79">
        <f ca="1">AK271*AM271</f>
        <v>108.44188718165907</v>
      </c>
      <c r="AP271" s="68"/>
      <c r="AQ271" s="69">
        <f ca="1">AD269</f>
        <v>5.7534246575342458E-2</v>
      </c>
      <c r="AR271" s="68"/>
      <c r="AS271" s="80">
        <f t="shared" ref="AS271" ca="1" si="40">AK271*AQ271</f>
        <v>1.1390463863013695E-4</v>
      </c>
      <c r="AT271" s="68"/>
      <c r="AU271" s="81">
        <v>0</v>
      </c>
      <c r="AW271" s="80">
        <v>0</v>
      </c>
      <c r="AY271" s="82">
        <f ca="1">AU271+AO271</f>
        <v>108.44188718165907</v>
      </c>
      <c r="BA271" s="83">
        <f ca="1">AW271+AS271</f>
        <v>1.1390463863013695E-4</v>
      </c>
    </row>
    <row r="272" spans="9:54" x14ac:dyDescent="0.3"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 t="s">
        <v>208</v>
      </c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80"/>
      <c r="AP272" s="11"/>
      <c r="AQ272" s="69"/>
      <c r="AR272" s="11"/>
      <c r="AS272" s="80"/>
      <c r="AT272" s="11"/>
      <c r="AU272" s="81"/>
      <c r="AW272" s="80"/>
      <c r="AY272" s="83"/>
      <c r="BA272" s="83"/>
    </row>
    <row r="273" spans="9:53" x14ac:dyDescent="0.3"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76">
        <f ca="1" xml:space="preserve"> Prob_Min30_lar16_mtc * RR_Min30_lar16_local</f>
        <v>0.1125</v>
      </c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>
        <f ca="1">O267*T271*Y273</f>
        <v>5.1007500000000002E-3</v>
      </c>
      <c r="AL273" s="11"/>
      <c r="AM273" s="67">
        <f ca="1">M284+R266</f>
        <v>18531.914041695542</v>
      </c>
      <c r="AN273" s="11"/>
      <c r="AO273" s="79">
        <f ca="1">AK273*AM273</f>
        <v>94.52666054817854</v>
      </c>
      <c r="AP273" s="68"/>
      <c r="AQ273" s="69">
        <f>0</f>
        <v>0</v>
      </c>
      <c r="AR273" s="68"/>
      <c r="AS273" s="80">
        <f t="shared" ref="AS273" ca="1" si="41">AK273*AQ273</f>
        <v>0</v>
      </c>
      <c r="AT273" s="68"/>
      <c r="AU273" s="81">
        <v>0</v>
      </c>
      <c r="AW273" s="80">
        <v>0</v>
      </c>
      <c r="AY273" s="82">
        <f ca="1">AU273+AO273</f>
        <v>94.52666054817854</v>
      </c>
      <c r="BA273" s="83">
        <f ca="1">AW273+AS273</f>
        <v>0</v>
      </c>
    </row>
    <row r="274" spans="9:53" x14ac:dyDescent="0.3"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80"/>
      <c r="AP274" s="11"/>
      <c r="AQ274" s="69"/>
      <c r="AR274" s="11"/>
      <c r="AS274" s="80"/>
      <c r="AT274" s="11"/>
      <c r="AU274" s="81"/>
      <c r="AW274" s="80"/>
      <c r="AY274" s="83"/>
      <c r="BA274" s="83"/>
    </row>
    <row r="275" spans="9:53" x14ac:dyDescent="0.3"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 t="s">
        <v>196</v>
      </c>
      <c r="AG275" s="11"/>
      <c r="AH275" s="11"/>
      <c r="AI275" s="11"/>
      <c r="AJ275" s="11"/>
      <c r="AK275" s="11"/>
      <c r="AL275" s="11"/>
      <c r="AM275" s="11"/>
      <c r="AN275" s="11"/>
      <c r="AO275" s="80"/>
      <c r="AP275" s="11"/>
      <c r="AQ275" s="69"/>
      <c r="AR275" s="11"/>
      <c r="AS275" s="80"/>
      <c r="AT275" s="11"/>
      <c r="AU275" s="81"/>
      <c r="AW275" s="80"/>
      <c r="AY275" s="83"/>
      <c r="BA275" s="83"/>
    </row>
    <row r="276" spans="9:53" x14ac:dyDescent="0.3"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76">
        <f ca="1">(1 - Prob_Min1y_sma16)</f>
        <v>0.98299999999999998</v>
      </c>
      <c r="AG276" s="11"/>
      <c r="AH276" s="11"/>
      <c r="AI276" s="78">
        <f ca="1">U_sma16*((365-30)/365)</f>
        <v>0.73424657534246585</v>
      </c>
      <c r="AJ276" s="11"/>
      <c r="AK276" s="11">
        <f ca="1">O285*T280*Y278*AF276</f>
        <v>3.6213769149999998E-2</v>
      </c>
      <c r="AL276" s="11"/>
      <c r="AM276" s="67">
        <f ca="1">M284+R284+W279+AD277</f>
        <v>50358.581905781655</v>
      </c>
      <c r="AN276" s="11"/>
      <c r="AO276" s="79">
        <f ca="1">AK276*AM276</f>
        <v>1823.6740598573438</v>
      </c>
      <c r="AP276" s="68"/>
      <c r="AQ276" s="69">
        <f ca="1">AD278+AI276</f>
        <v>0.8</v>
      </c>
      <c r="AR276" s="68"/>
      <c r="AS276" s="80">
        <f t="shared" ref="AS276" ca="1" si="42">AK276*AQ276</f>
        <v>2.8971015320000001E-2</v>
      </c>
      <c r="AT276" s="68"/>
      <c r="AU276" s="81">
        <f ca="1">AK276*Cst_sma16_life</f>
        <v>1149.005871611522</v>
      </c>
      <c r="AW276" s="80">
        <f ca="1">AK276*QALY_sma16_life</f>
        <v>0.36960381877330822</v>
      </c>
      <c r="AY276" s="82">
        <f ca="1">AU276+AO276</f>
        <v>2972.679931468866</v>
      </c>
      <c r="BA276" s="83">
        <f ca="1">AW276+AS276</f>
        <v>0.39857483409330824</v>
      </c>
    </row>
    <row r="277" spans="9:53" x14ac:dyDescent="0.3"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 t="s">
        <v>200</v>
      </c>
      <c r="Z277" s="11"/>
      <c r="AA277" s="11"/>
      <c r="AB277" s="11"/>
      <c r="AC277" s="11"/>
      <c r="AD277" s="77">
        <f ca="1">Cst_post_lar16_mtc</f>
        <v>36915.462885387984</v>
      </c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80"/>
      <c r="AP277" s="11"/>
      <c r="AQ277" s="69"/>
      <c r="AR277" s="11"/>
      <c r="AS277" s="80"/>
      <c r="AT277" s="11"/>
      <c r="AU277" s="81"/>
      <c r="AW277" s="80"/>
      <c r="AY277" s="83"/>
      <c r="BA277" s="83"/>
    </row>
    <row r="278" spans="9:53" x14ac:dyDescent="0.3"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76">
        <f ca="1">(1 - Prob_Min30_sma16)</f>
        <v>0.98799999999999999</v>
      </c>
      <c r="Z278" s="11"/>
      <c r="AA278" s="11"/>
      <c r="AB278" s="11"/>
      <c r="AC278" s="11"/>
      <c r="AD278" s="78">
        <f ca="1">U_sma16*(30/365)</f>
        <v>6.575342465753424E-2</v>
      </c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80"/>
      <c r="AP278" s="11"/>
      <c r="AQ278" s="69"/>
      <c r="AR278" s="11"/>
      <c r="AS278" s="80"/>
      <c r="AT278" s="11"/>
      <c r="AU278" s="81"/>
      <c r="AW278" s="80"/>
      <c r="AY278" s="83"/>
      <c r="BA278" s="83"/>
    </row>
    <row r="279" spans="9:53" x14ac:dyDescent="0.3"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 t="s">
        <v>219</v>
      </c>
      <c r="U279" s="11"/>
      <c r="V279" s="11"/>
      <c r="W279" s="77">
        <f>Cst_lar16_MTC</f>
        <v>3342</v>
      </c>
      <c r="X279" s="11"/>
      <c r="Y279" s="11"/>
      <c r="Z279" s="11"/>
      <c r="AA279" s="11"/>
      <c r="AB279" s="11"/>
      <c r="AC279" s="11"/>
      <c r="AD279" s="11"/>
      <c r="AE279" s="11"/>
      <c r="AF279" s="11" t="s">
        <v>201</v>
      </c>
      <c r="AG279" s="11"/>
      <c r="AH279" s="11"/>
      <c r="AI279" s="11"/>
      <c r="AJ279" s="11"/>
      <c r="AK279" s="11"/>
      <c r="AL279" s="11"/>
      <c r="AM279" s="11"/>
      <c r="AN279" s="11"/>
      <c r="AO279" s="80"/>
      <c r="AP279" s="11"/>
      <c r="AQ279" s="69"/>
      <c r="AR279" s="11"/>
      <c r="AS279" s="80"/>
      <c r="AT279" s="11"/>
      <c r="AU279" s="81"/>
      <c r="AW279" s="80"/>
      <c r="AY279" s="83"/>
      <c r="BA279" s="83"/>
    </row>
    <row r="280" spans="9:53" x14ac:dyDescent="0.3"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76">
        <f ca="1">(1-Prob_R5_spe)</f>
        <v>0.25</v>
      </c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76">
        <f ca="1">Prob_Min1y_sma16</f>
        <v>1.7000000000000001E-2</v>
      </c>
      <c r="AG280" s="11"/>
      <c r="AH280" s="11"/>
      <c r="AI280" s="11"/>
      <c r="AJ280" s="11"/>
      <c r="AK280" s="11">
        <f ca="1">O285*T280*Y278*AF280</f>
        <v>6.2628085000000007E-4</v>
      </c>
      <c r="AL280" s="11"/>
      <c r="AM280" s="67">
        <f ca="1">M284+R284+W279+AD277</f>
        <v>50358.581905781655</v>
      </c>
      <c r="AN280" s="11"/>
      <c r="AO280" s="79">
        <f ca="1">AK280*AM280</f>
        <v>31.538615480747559</v>
      </c>
      <c r="AP280" s="68"/>
      <c r="AQ280" s="69">
        <f ca="1">AD278</f>
        <v>6.575342465753424E-2</v>
      </c>
      <c r="AR280" s="68"/>
      <c r="AS280" s="80">
        <f t="shared" ref="AS280" ca="1" si="43">AK280*AQ280</f>
        <v>4.1180110684931505E-5</v>
      </c>
      <c r="AT280" s="68"/>
      <c r="AU280" s="81">
        <v>0</v>
      </c>
      <c r="AW280" s="80">
        <v>0</v>
      </c>
      <c r="AY280" s="82">
        <f ca="1">AU280+AO280</f>
        <v>31.538615480747559</v>
      </c>
      <c r="BA280" s="83">
        <f ca="1">AW280+AS280</f>
        <v>4.1180110684931505E-5</v>
      </c>
    </row>
    <row r="281" spans="9:53" x14ac:dyDescent="0.3"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 t="s">
        <v>202</v>
      </c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80"/>
      <c r="AP281" s="11"/>
      <c r="AQ281" s="69"/>
      <c r="AR281" s="11"/>
      <c r="AS281" s="80"/>
      <c r="AT281" s="11"/>
      <c r="AU281" s="81"/>
      <c r="AW281" s="80"/>
      <c r="AY281" s="83"/>
      <c r="BA281" s="83"/>
    </row>
    <row r="282" spans="9:53" x14ac:dyDescent="0.3"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76">
        <f ca="1">Prob_Min30_sma16</f>
        <v>1.2E-2</v>
      </c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>
        <f ca="1">O285*T280*Y282</f>
        <v>4.4745000000000001E-4</v>
      </c>
      <c r="AL282" s="11"/>
      <c r="AM282" s="67">
        <f ca="1">M284+R284+W279</f>
        <v>13443.119020393675</v>
      </c>
      <c r="AN282" s="11"/>
      <c r="AO282" s="79">
        <f ca="1">AK282*AM282</f>
        <v>6.01512360567515</v>
      </c>
      <c r="AP282" s="68"/>
      <c r="AQ282" s="69">
        <v>0</v>
      </c>
      <c r="AR282" s="68"/>
      <c r="AS282" s="80">
        <v>0</v>
      </c>
      <c r="AT282" s="68"/>
      <c r="AU282" s="81">
        <v>0</v>
      </c>
      <c r="AW282" s="80">
        <v>0</v>
      </c>
      <c r="AY282" s="82">
        <f ca="1">AU282+AO282</f>
        <v>6.01512360567515</v>
      </c>
      <c r="BA282" s="83">
        <f>AW282+AS282</f>
        <v>0</v>
      </c>
    </row>
    <row r="283" spans="9:53" x14ac:dyDescent="0.3">
      <c r="I283" s="11"/>
      <c r="J283" s="11"/>
      <c r="K283" s="11"/>
      <c r="L283" s="11"/>
      <c r="M283" s="11"/>
      <c r="N283" s="11"/>
      <c r="O283" s="11" t="s">
        <v>209</v>
      </c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80"/>
      <c r="AP283" s="11"/>
      <c r="AQ283" s="69"/>
      <c r="AR283" s="11"/>
      <c r="AS283" s="80"/>
      <c r="AT283" s="11"/>
      <c r="AU283" s="81"/>
      <c r="AW283" s="80"/>
      <c r="AY283" s="83"/>
      <c r="BA283" s="83"/>
    </row>
    <row r="284" spans="9:53" x14ac:dyDescent="0.3">
      <c r="I284" s="11"/>
      <c r="J284" s="11" t="s">
        <v>243</v>
      </c>
      <c r="K284" s="11"/>
      <c r="L284" s="11"/>
      <c r="M284" s="92">
        <f ca="1">Cst_R5+Cst_amb</f>
        <v>479.0228622680001</v>
      </c>
      <c r="N284" s="11"/>
      <c r="O284" s="11" t="s">
        <v>211</v>
      </c>
      <c r="P284" s="11"/>
      <c r="Q284" s="11"/>
      <c r="R284" s="77">
        <f ca="1">Cst_btw916_hosp</f>
        <v>9622.0961581256743</v>
      </c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 t="s">
        <v>205</v>
      </c>
      <c r="AG284" s="11"/>
      <c r="AH284" s="11"/>
      <c r="AI284" s="11"/>
      <c r="AJ284" s="11"/>
      <c r="AK284" s="11"/>
      <c r="AL284" s="11"/>
      <c r="AM284" s="11"/>
      <c r="AN284" s="11"/>
      <c r="AO284" s="80"/>
      <c r="AP284" s="11"/>
      <c r="AQ284" s="69"/>
      <c r="AR284" s="11"/>
      <c r="AS284" s="80"/>
      <c r="AT284" s="11"/>
      <c r="AU284" s="81"/>
      <c r="AW284" s="80"/>
      <c r="AY284" s="83"/>
      <c r="BA284" s="83"/>
    </row>
    <row r="285" spans="9:53" x14ac:dyDescent="0.3">
      <c r="I285" s="11"/>
      <c r="J285" s="11" t="s">
        <v>334</v>
      </c>
      <c r="K285" s="11"/>
      <c r="L285" s="11"/>
      <c r="M285" s="11"/>
      <c r="N285" s="11"/>
      <c r="O285" s="76">
        <f>Prob_ISS_btw916</f>
        <v>0.14915</v>
      </c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76">
        <f ca="1">(1 - Prob_Min1y_sma16 * RR_Min1y_lar16_local)</f>
        <v>0.97211999999999998</v>
      </c>
      <c r="AG285" s="11"/>
      <c r="AH285" s="11"/>
      <c r="AI285" s="78">
        <f ca="1">U_sma16*((365-30)/365)</f>
        <v>0.73424657534246585</v>
      </c>
      <c r="AJ285" s="11"/>
      <c r="AK285" s="11">
        <f ca="1">O285*T289*Y287*AF285</f>
        <v>0.10727573255775</v>
      </c>
      <c r="AL285" s="11"/>
      <c r="AM285" s="67">
        <f ca="1">M284+R284+AD286</f>
        <v>46344.167186025588</v>
      </c>
      <c r="AN285" s="11"/>
      <c r="AO285" s="79">
        <f ca="1">AK285*AM285</f>
        <v>4971.6044846597342</v>
      </c>
      <c r="AP285" s="68"/>
      <c r="AQ285" s="69">
        <f ca="1">AD287+AI285</f>
        <v>0.8</v>
      </c>
      <c r="AR285" s="68"/>
      <c r="AS285" s="80">
        <f t="shared" ref="AS285" ca="1" si="44">AK285*AQ285</f>
        <v>8.5820586046200006E-2</v>
      </c>
      <c r="AT285" s="68"/>
      <c r="AU285" s="81">
        <f ca="1">AK285*Cst_sma16_life</f>
        <v>3403.6900737873639</v>
      </c>
      <c r="AW285" s="80">
        <f ca="1">AK285*QALY_sma16_life</f>
        <v>1.0948741692922763</v>
      </c>
      <c r="AY285" s="82">
        <f ca="1">AU285+AO285</f>
        <v>8375.2945584470981</v>
      </c>
      <c r="BA285" s="83">
        <f ca="1">AW285+AS285</f>
        <v>1.1806947553384763</v>
      </c>
    </row>
    <row r="286" spans="9:53" x14ac:dyDescent="0.3">
      <c r="I286" s="11"/>
      <c r="J286" s="11" t="s">
        <v>335</v>
      </c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 t="s">
        <v>206</v>
      </c>
      <c r="Z286" s="11"/>
      <c r="AA286" s="11"/>
      <c r="AB286" s="11"/>
      <c r="AC286" s="11"/>
      <c r="AD286" s="77">
        <f ca="1">Cst_post_lar16_local</f>
        <v>36243.04816563191</v>
      </c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80"/>
      <c r="AP286" s="11"/>
      <c r="AQ286" s="69"/>
      <c r="AR286" s="11"/>
      <c r="AS286" s="80"/>
      <c r="AT286" s="11"/>
      <c r="AU286" s="81"/>
      <c r="AW286" s="80"/>
      <c r="AY286" s="83"/>
      <c r="BA286" s="83"/>
    </row>
    <row r="287" spans="9:53" x14ac:dyDescent="0.3"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76">
        <f ca="1">(1 - Prob_Min30_sma16 * RR_Min30_lar16_local)</f>
        <v>0.98650000000000004</v>
      </c>
      <c r="Z287" s="11"/>
      <c r="AA287" s="11"/>
      <c r="AB287" s="11"/>
      <c r="AC287" s="11"/>
      <c r="AD287" s="78">
        <f ca="1">U_sma16*(30/365)</f>
        <v>6.575342465753424E-2</v>
      </c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80"/>
      <c r="AP287" s="11"/>
      <c r="AQ287" s="69"/>
      <c r="AR287" s="11"/>
      <c r="AS287" s="80"/>
      <c r="AT287" s="11"/>
      <c r="AU287" s="81"/>
      <c r="AW287" s="80"/>
      <c r="AY287" s="83"/>
      <c r="BA287" s="83"/>
    </row>
    <row r="288" spans="9:53" x14ac:dyDescent="0.3"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 t="s">
        <v>220</v>
      </c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 t="s">
        <v>207</v>
      </c>
      <c r="AG288" s="11"/>
      <c r="AH288" s="11"/>
      <c r="AI288" s="11"/>
      <c r="AJ288" s="11"/>
      <c r="AK288" s="11"/>
      <c r="AL288" s="11"/>
      <c r="AM288" s="11"/>
      <c r="AN288" s="11"/>
      <c r="AO288" s="80"/>
      <c r="AP288" s="11"/>
      <c r="AQ288" s="69"/>
      <c r="AR288" s="11"/>
      <c r="AS288" s="80"/>
      <c r="AT288" s="11"/>
      <c r="AU288" s="81"/>
      <c r="AW288" s="80"/>
      <c r="AY288" s="83"/>
      <c r="BA288" s="83"/>
    </row>
    <row r="289" spans="9:53" x14ac:dyDescent="0.3"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76">
        <f ca="1">Prob_R5_spe</f>
        <v>0.75</v>
      </c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76">
        <f ca="1">Prob_Min1y_sma16 * RR_Min1y_lar16_local</f>
        <v>2.7880000000000002E-2</v>
      </c>
      <c r="AG289" s="11"/>
      <c r="AH289" s="11"/>
      <c r="AI289" s="11"/>
      <c r="AJ289" s="11"/>
      <c r="AK289" s="11">
        <f ca="1">O285*T289*Y287*AF289</f>
        <v>3.0766236922500005E-3</v>
      </c>
      <c r="AL289" s="11"/>
      <c r="AM289" s="67">
        <f ca="1">M284+R284+AD286</f>
        <v>46344.167186025588</v>
      </c>
      <c r="AN289" s="11"/>
      <c r="AO289" s="79">
        <f ca="1">AK289*AM289</f>
        <v>142.58356276212137</v>
      </c>
      <c r="AP289" s="68"/>
      <c r="AQ289" s="69">
        <f ca="1">AD287</f>
        <v>6.575342465753424E-2</v>
      </c>
      <c r="AR289" s="68"/>
      <c r="AS289" s="80">
        <f t="shared" ref="AS289" ca="1" si="45">AK289*AQ289</f>
        <v>2.0229854414794522E-4</v>
      </c>
      <c r="AT289" s="68"/>
      <c r="AU289" s="81">
        <v>0</v>
      </c>
      <c r="AW289" s="80">
        <v>0</v>
      </c>
      <c r="AY289" s="82">
        <f ca="1">AU289+AO289</f>
        <v>142.58356276212137</v>
      </c>
      <c r="BA289" s="83">
        <f ca="1">AW289+AS289</f>
        <v>2.0229854414794522E-4</v>
      </c>
    </row>
    <row r="290" spans="9:53" x14ac:dyDescent="0.3"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 t="s">
        <v>208</v>
      </c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80"/>
      <c r="AP290" s="11"/>
      <c r="AQ290" s="69"/>
      <c r="AR290" s="11"/>
      <c r="AS290" s="80"/>
      <c r="AT290" s="11"/>
      <c r="AU290" s="81"/>
      <c r="AW290" s="80"/>
      <c r="AY290" s="83"/>
      <c r="BA290" s="83"/>
    </row>
    <row r="291" spans="9:53" x14ac:dyDescent="0.3"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76">
        <f ca="1">Prob_Min30_sma16 * RR_Min30_lar16_local</f>
        <v>1.35E-2</v>
      </c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>
        <f ca="1">O285*T289*Y291</f>
        <v>1.5101437500000001E-3</v>
      </c>
      <c r="AL291" s="11"/>
      <c r="AM291" s="67">
        <f ca="1">M284+R284</f>
        <v>10101.119020393675</v>
      </c>
      <c r="AN291" s="11"/>
      <c r="AO291" s="79">
        <f ca="1">AK291*AM291</f>
        <v>15.254141756653631</v>
      </c>
      <c r="AP291" s="68"/>
      <c r="AQ291" s="69">
        <f>0</f>
        <v>0</v>
      </c>
      <c r="AR291" s="68"/>
      <c r="AS291" s="80">
        <f t="shared" ref="AS291" ca="1" si="46">AK291*AQ291</f>
        <v>0</v>
      </c>
      <c r="AT291" s="68"/>
      <c r="AU291" s="81">
        <v>0</v>
      </c>
      <c r="AW291" s="80">
        <v>0</v>
      </c>
      <c r="AY291" s="82">
        <f ca="1">AU291+AO291</f>
        <v>15.254141756653631</v>
      </c>
      <c r="BA291" s="83">
        <f ca="1">AW291+AS291</f>
        <v>0</v>
      </c>
    </row>
    <row r="292" spans="9:53" x14ac:dyDescent="0.3"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80"/>
      <c r="AP292" s="11"/>
      <c r="AQ292" s="69"/>
      <c r="AR292" s="11"/>
      <c r="AS292" s="80"/>
      <c r="AT292" s="11"/>
      <c r="AU292" s="81"/>
      <c r="AW292" s="80"/>
      <c r="AY292" s="83"/>
      <c r="BA292" s="83"/>
    </row>
    <row r="293" spans="9:53" x14ac:dyDescent="0.3"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80"/>
      <c r="AP293" s="11"/>
      <c r="AQ293" s="69"/>
      <c r="AR293" s="11"/>
      <c r="AS293" s="80"/>
      <c r="AT293" s="11"/>
      <c r="AU293" s="81"/>
      <c r="AW293" s="80"/>
      <c r="AY293" s="83"/>
      <c r="BA293" s="83"/>
    </row>
    <row r="294" spans="9:53" x14ac:dyDescent="0.3"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 t="s">
        <v>196</v>
      </c>
      <c r="AG294" s="11"/>
      <c r="AH294" s="11"/>
      <c r="AI294" s="11"/>
      <c r="AJ294" s="11"/>
      <c r="AK294" s="11"/>
      <c r="AL294" s="11"/>
      <c r="AM294" s="11"/>
      <c r="AN294" s="11"/>
      <c r="AO294" s="80"/>
      <c r="AP294" s="11"/>
      <c r="AQ294" s="69"/>
      <c r="AR294" s="11"/>
      <c r="AS294" s="80"/>
      <c r="AT294" s="11"/>
      <c r="AU294" s="81"/>
      <c r="AW294" s="80"/>
      <c r="AY294" s="83"/>
      <c r="BA294" s="83"/>
    </row>
    <row r="295" spans="9:53" x14ac:dyDescent="0.3"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76">
        <f ca="1">(1 - Prob_Min1y_sma16)</f>
        <v>0.98299999999999998</v>
      </c>
      <c r="AG295" s="11"/>
      <c r="AH295" s="11"/>
      <c r="AI295" s="78">
        <f ca="1">U_sma16*((365-30)/365)</f>
        <v>0.73424657534246585</v>
      </c>
      <c r="AJ295" s="11"/>
      <c r="AK295" s="11">
        <f ca="1">O304*T299*Y297*AF295</f>
        <v>0.18457003616999998</v>
      </c>
      <c r="AL295" s="11"/>
      <c r="AM295" s="67">
        <f ca="1">M283+M284+W298+AD296</f>
        <v>40736.485747655985</v>
      </c>
      <c r="AN295" s="11"/>
      <c r="AO295" s="79">
        <f ca="1">AK295*AM295</f>
        <v>7518.7346478835534</v>
      </c>
      <c r="AP295" s="68"/>
      <c r="AQ295" s="69">
        <f ca="1">AD297+AI295</f>
        <v>0.8</v>
      </c>
      <c r="AR295" s="68"/>
      <c r="AS295" s="80">
        <f t="shared" ref="AS295" ca="1" si="47">AK295*AQ295</f>
        <v>0.14765602893599999</v>
      </c>
      <c r="AT295" s="68"/>
      <c r="AU295" s="81">
        <f ca="1">AK295*Cst_sma16_life</f>
        <v>5856.1166169824373</v>
      </c>
      <c r="AW295" s="80">
        <f ca="1">AK295*QALY_sma16_life</f>
        <v>1.8837528321616206</v>
      </c>
      <c r="AY295" s="82">
        <f ca="1">AU295+AO295</f>
        <v>13374.851264865991</v>
      </c>
      <c r="BA295" s="83">
        <f ca="1">AW295+AS295</f>
        <v>2.0314088610976206</v>
      </c>
    </row>
    <row r="296" spans="9:53" x14ac:dyDescent="0.3"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 t="s">
        <v>200</v>
      </c>
      <c r="Z296" s="11"/>
      <c r="AA296" s="11"/>
      <c r="AB296" s="11"/>
      <c r="AC296" s="11"/>
      <c r="AD296" s="77">
        <f ca="1">Cst_post_lar16_mtc</f>
        <v>36915.462885387984</v>
      </c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80"/>
      <c r="AP296" s="11"/>
      <c r="AQ296" s="69"/>
      <c r="AR296" s="11"/>
      <c r="AS296" s="80"/>
      <c r="AT296" s="11"/>
      <c r="AU296" s="81"/>
      <c r="AW296" s="80"/>
      <c r="AY296" s="83"/>
      <c r="BA296" s="83"/>
    </row>
    <row r="297" spans="9:53" x14ac:dyDescent="0.3"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76">
        <f ca="1">(1 - Prob_Min30_sma16)</f>
        <v>0.98799999999999999</v>
      </c>
      <c r="Z297" s="11"/>
      <c r="AA297" s="11"/>
      <c r="AB297" s="11"/>
      <c r="AC297" s="11"/>
      <c r="AD297" s="78">
        <f ca="1">U_sma16*(30/365)</f>
        <v>6.575342465753424E-2</v>
      </c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80"/>
      <c r="AP297" s="11"/>
      <c r="AQ297" s="69"/>
      <c r="AR297" s="11"/>
      <c r="AS297" s="80"/>
      <c r="AT297" s="11"/>
      <c r="AU297" s="81"/>
      <c r="AW297" s="80"/>
      <c r="AY297" s="83"/>
      <c r="BA297" s="83"/>
    </row>
    <row r="298" spans="9:53" x14ac:dyDescent="0.3"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 t="s">
        <v>219</v>
      </c>
      <c r="U298" s="11"/>
      <c r="V298" s="11"/>
      <c r="W298" s="77">
        <f>Cst_lar16_MTC</f>
        <v>3342</v>
      </c>
      <c r="X298" s="11"/>
      <c r="Y298" s="11"/>
      <c r="Z298" s="11"/>
      <c r="AA298" s="11"/>
      <c r="AB298" s="11"/>
      <c r="AC298" s="11"/>
      <c r="AD298" s="11"/>
      <c r="AE298" s="11"/>
      <c r="AF298" s="11" t="s">
        <v>201</v>
      </c>
      <c r="AG298" s="11"/>
      <c r="AH298" s="11"/>
      <c r="AI298" s="11"/>
      <c r="AJ298" s="11"/>
      <c r="AK298" s="11"/>
      <c r="AL298" s="11"/>
      <c r="AM298" s="11"/>
      <c r="AN298" s="11"/>
      <c r="AO298" s="80"/>
      <c r="AP298" s="11"/>
      <c r="AQ298" s="69"/>
      <c r="AR298" s="11"/>
      <c r="AS298" s="80"/>
      <c r="AT298" s="11"/>
      <c r="AU298" s="81"/>
      <c r="AW298" s="80"/>
      <c r="AY298" s="83"/>
      <c r="BA298" s="83"/>
    </row>
    <row r="299" spans="9:53" x14ac:dyDescent="0.3"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76">
        <f ca="1">(1-Prob_R5_spe)</f>
        <v>0.25</v>
      </c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76">
        <f ca="1">Prob_Min1y_sma16</f>
        <v>1.7000000000000001E-2</v>
      </c>
      <c r="AG299" s="11"/>
      <c r="AH299" s="11"/>
      <c r="AI299" s="11"/>
      <c r="AJ299" s="11"/>
      <c r="AK299" s="11">
        <f ca="1">O304*T299*Y297*AF299</f>
        <v>3.1919538300000001E-3</v>
      </c>
      <c r="AL299" s="11"/>
      <c r="AM299" s="67">
        <f ca="1">M283+M284+W298+AD296</f>
        <v>40736.485747655985</v>
      </c>
      <c r="AN299" s="11"/>
      <c r="AO299" s="79">
        <f ca="1">AK299*AM299</f>
        <v>130.02898170297095</v>
      </c>
      <c r="AP299" s="68"/>
      <c r="AQ299" s="69">
        <f ca="1">AD297</f>
        <v>6.575342465753424E-2</v>
      </c>
      <c r="AR299" s="68"/>
      <c r="AS299" s="80">
        <f t="shared" ref="AS299" ca="1" si="48">AK299*AQ299</f>
        <v>2.0988189567123285E-4</v>
      </c>
      <c r="AT299" s="68"/>
      <c r="AU299" s="81">
        <v>0</v>
      </c>
      <c r="AW299" s="80">
        <v>0</v>
      </c>
      <c r="AY299" s="82">
        <f ca="1">AU299+AO299</f>
        <v>130.02898170297095</v>
      </c>
      <c r="BA299" s="83">
        <f ca="1">AW299+AS299</f>
        <v>2.0988189567123285E-4</v>
      </c>
    </row>
    <row r="300" spans="9:53" x14ac:dyDescent="0.3">
      <c r="I300" s="11"/>
      <c r="J300" s="11"/>
      <c r="K300" s="11"/>
      <c r="L300" s="11"/>
      <c r="M300" s="65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 t="s">
        <v>202</v>
      </c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80"/>
      <c r="AP300" s="11"/>
      <c r="AQ300" s="69"/>
      <c r="AR300" s="11"/>
      <c r="AS300" s="80"/>
      <c r="AT300" s="11"/>
      <c r="AU300" s="81"/>
      <c r="AW300" s="80"/>
      <c r="AY300" s="83"/>
      <c r="BA300" s="83"/>
    </row>
    <row r="301" spans="9:53" x14ac:dyDescent="0.3">
      <c r="I301" s="11"/>
      <c r="J301" s="11"/>
      <c r="K301" s="11"/>
      <c r="L301" s="11"/>
      <c r="M301" s="65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76">
        <f ca="1">Prob_Min30_sma16</f>
        <v>1.2E-2</v>
      </c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>
        <f ca="1">O304*T299*Y301</f>
        <v>2.2805099999999999E-3</v>
      </c>
      <c r="AL301" s="11"/>
      <c r="AM301" s="67">
        <f ca="1">M283+M284+W298</f>
        <v>3821.0228622680002</v>
      </c>
      <c r="AN301" s="11"/>
      <c r="AO301" s="79">
        <f ca="1">AK301*AM301</f>
        <v>8.7138808476307972</v>
      </c>
      <c r="AP301" s="68"/>
      <c r="AQ301" s="69">
        <f>0</f>
        <v>0</v>
      </c>
      <c r="AR301" s="68"/>
      <c r="AS301" s="80">
        <f t="shared" ref="AS301" ca="1" si="49">AK301*AQ301</f>
        <v>0</v>
      </c>
      <c r="AT301" s="68"/>
      <c r="AU301" s="81">
        <v>0</v>
      </c>
      <c r="AW301" s="80">
        <v>0</v>
      </c>
      <c r="AY301" s="82">
        <f ca="1">AU301+AO301</f>
        <v>8.7138808476307972</v>
      </c>
      <c r="BA301" s="83">
        <f ca="1">AW301+AS301</f>
        <v>0</v>
      </c>
    </row>
    <row r="302" spans="9:53" x14ac:dyDescent="0.3">
      <c r="I302" s="11"/>
      <c r="J302" s="11"/>
      <c r="K302" s="11"/>
      <c r="L302" s="11"/>
      <c r="M302" s="65"/>
      <c r="N302" s="11"/>
      <c r="O302" s="11" t="s">
        <v>214</v>
      </c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80"/>
      <c r="AP302" s="11"/>
      <c r="AQ302" s="69"/>
      <c r="AR302" s="11"/>
      <c r="AS302" s="80"/>
      <c r="AT302" s="11"/>
      <c r="AU302" s="81"/>
      <c r="AW302" s="80"/>
      <c r="AY302" s="83"/>
      <c r="BA302" s="83"/>
    </row>
    <row r="303" spans="9:53" x14ac:dyDescent="0.3">
      <c r="I303" s="11"/>
      <c r="J303" s="11"/>
      <c r="K303" s="11"/>
      <c r="L303" s="11"/>
      <c r="M303" s="65"/>
      <c r="N303" s="11"/>
      <c r="O303" s="11" t="s">
        <v>215</v>
      </c>
      <c r="P303" s="11"/>
      <c r="Q303" s="11"/>
      <c r="R303" s="77">
        <f ca="1">Cst_sma9_hosp</f>
        <v>10365.078230981773</v>
      </c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 t="s">
        <v>205</v>
      </c>
      <c r="AG303" s="11"/>
      <c r="AH303" s="11"/>
      <c r="AI303" s="11"/>
      <c r="AJ303" s="11"/>
      <c r="AK303" s="11"/>
      <c r="AL303" s="11"/>
      <c r="AM303" s="11"/>
      <c r="AN303" s="11"/>
      <c r="AO303" s="80"/>
      <c r="AP303" s="11"/>
      <c r="AQ303" s="69"/>
      <c r="AR303" s="11"/>
      <c r="AS303" s="80"/>
      <c r="AT303" s="11"/>
      <c r="AU303" s="81"/>
      <c r="AW303" s="80"/>
      <c r="AY303" s="83"/>
      <c r="BA303" s="83"/>
    </row>
    <row r="304" spans="9:53" x14ac:dyDescent="0.3">
      <c r="I304" s="11"/>
      <c r="J304" s="11"/>
      <c r="K304" s="11"/>
      <c r="L304" s="11"/>
      <c r="M304" s="65"/>
      <c r="N304" s="11"/>
      <c r="O304" s="76">
        <f>Prob_ISS_sma9</f>
        <v>0.76017000000000001</v>
      </c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76">
        <f ca="1">(1 - Prob_Min1y_sma16 * RR_Min1y_lar16_local)</f>
        <v>0.97211999999999998</v>
      </c>
      <c r="AG304" s="11"/>
      <c r="AH304" s="11"/>
      <c r="AI304" s="78">
        <f ca="1">U_sma16*((365-30)/365)</f>
        <v>0.73424657534246585</v>
      </c>
      <c r="AJ304" s="11"/>
      <c r="AK304" s="11">
        <f ca="1">O304*T308*Y306*AF304</f>
        <v>0.54675020863845003</v>
      </c>
      <c r="AL304" s="11"/>
      <c r="AM304" s="67">
        <f ca="1">M284+R303+AD305</f>
        <v>47087.149258881684</v>
      </c>
      <c r="AN304" s="11"/>
      <c r="AO304" s="79">
        <f ca="1">AK304*AM304</f>
        <v>25744.908681483397</v>
      </c>
      <c r="AP304" s="11"/>
      <c r="AQ304" s="69">
        <f ca="1">AD306+AI304</f>
        <v>0.8</v>
      </c>
      <c r="AR304" s="11"/>
      <c r="AS304" s="80">
        <f t="shared" ref="AS304" ca="1" si="50">AK304*AQ304</f>
        <v>0.43740016691076006</v>
      </c>
      <c r="AT304" s="11"/>
      <c r="AU304" s="81">
        <f ca="1">AK304*Cst_sma16_life</f>
        <v>17347.5231873345</v>
      </c>
      <c r="AW304" s="80">
        <f ca="1">AK304*QALY_sma16_life</f>
        <v>5.5802245878036194</v>
      </c>
      <c r="AY304" s="82">
        <f ca="1">AU304+AO304</f>
        <v>43092.431868817897</v>
      </c>
      <c r="BA304" s="83">
        <f ca="1">AW304+AS304</f>
        <v>6.0176247547143795</v>
      </c>
    </row>
    <row r="305" spans="9:54" x14ac:dyDescent="0.3">
      <c r="I305" s="11"/>
      <c r="J305" s="11"/>
      <c r="K305" s="11"/>
      <c r="L305" s="11"/>
      <c r="M305" s="65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 t="s">
        <v>206</v>
      </c>
      <c r="Z305" s="11"/>
      <c r="AA305" s="11"/>
      <c r="AB305" s="11"/>
      <c r="AC305" s="11"/>
      <c r="AD305" s="77">
        <f ca="1">Cst_post_lar16_local</f>
        <v>36243.04816563191</v>
      </c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80"/>
      <c r="AP305" s="11"/>
      <c r="AQ305" s="69"/>
      <c r="AR305" s="11"/>
      <c r="AS305" s="80"/>
      <c r="AT305" s="11"/>
      <c r="AU305" s="81"/>
      <c r="AW305" s="80"/>
      <c r="AY305" s="83"/>
      <c r="BA305" s="83"/>
    </row>
    <row r="306" spans="9:54" x14ac:dyDescent="0.3">
      <c r="I306" s="11"/>
      <c r="J306" s="11"/>
      <c r="K306" s="11"/>
      <c r="L306" s="11"/>
      <c r="M306" s="65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76">
        <f ca="1">(1 - Prob_Min30_sma16 * RR_Min30_lar16_local)</f>
        <v>0.98650000000000004</v>
      </c>
      <c r="Z306" s="11"/>
      <c r="AA306" s="11"/>
      <c r="AB306" s="11"/>
      <c r="AC306" s="11"/>
      <c r="AD306" s="78">
        <f ca="1">U_sma16*(30/365)</f>
        <v>6.575342465753424E-2</v>
      </c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80"/>
      <c r="AP306" s="11"/>
      <c r="AQ306" s="69"/>
      <c r="AR306" s="11"/>
      <c r="AS306" s="80"/>
      <c r="AT306" s="11"/>
      <c r="AU306" s="81"/>
      <c r="AW306" s="80"/>
      <c r="AY306" s="83"/>
      <c r="BA306" s="83"/>
    </row>
    <row r="307" spans="9:54" x14ac:dyDescent="0.3">
      <c r="I307" s="11"/>
      <c r="J307" s="11"/>
      <c r="K307" s="11"/>
      <c r="L307" s="11"/>
      <c r="M307" s="65"/>
      <c r="N307" s="11"/>
      <c r="O307" s="11"/>
      <c r="P307" s="11"/>
      <c r="Q307" s="11"/>
      <c r="R307" s="11"/>
      <c r="S307" s="11"/>
      <c r="T307" s="11" t="s">
        <v>220</v>
      </c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 t="s">
        <v>207</v>
      </c>
      <c r="AG307" s="11"/>
      <c r="AH307" s="11"/>
      <c r="AI307" s="11"/>
      <c r="AJ307" s="11"/>
      <c r="AK307" s="11"/>
      <c r="AL307" s="11"/>
      <c r="AM307" s="11"/>
      <c r="AN307" s="11"/>
      <c r="AO307" s="80"/>
      <c r="AP307" s="11"/>
      <c r="AQ307" s="69"/>
      <c r="AR307" s="11"/>
      <c r="AS307" s="80"/>
      <c r="AT307" s="11"/>
      <c r="AU307" s="81"/>
      <c r="AW307" s="80"/>
      <c r="AY307" s="83"/>
      <c r="BA307" s="83"/>
    </row>
    <row r="308" spans="9:54" x14ac:dyDescent="0.3">
      <c r="I308" s="11"/>
      <c r="J308" s="11"/>
      <c r="K308" s="11"/>
      <c r="L308" s="11"/>
      <c r="M308" s="65"/>
      <c r="N308" s="11"/>
      <c r="O308" s="11"/>
      <c r="P308" s="11"/>
      <c r="Q308" s="11"/>
      <c r="R308" s="11"/>
      <c r="S308" s="11"/>
      <c r="T308" s="76">
        <f ca="1" xml:space="preserve"> Prob_R5_spe</f>
        <v>0.75</v>
      </c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76">
        <f ca="1">Prob_Min1y_sma16 * RR_Min1y_lar16_local</f>
        <v>2.7880000000000002E-2</v>
      </c>
      <c r="AG308" s="11"/>
      <c r="AH308" s="11"/>
      <c r="AI308" s="11"/>
      <c r="AJ308" s="11"/>
      <c r="AK308" s="11">
        <f ca="1">O304*T308*Y306*AF308</f>
        <v>1.5680570111550003E-2</v>
      </c>
      <c r="AL308" s="11"/>
      <c r="AM308" s="67">
        <f ca="1">M284+R303+AD305</f>
        <v>47087.149258881684</v>
      </c>
      <c r="AN308" s="11"/>
      <c r="AO308" s="79">
        <f ca="1">AK308*AM308</f>
        <v>738.35334530691398</v>
      </c>
      <c r="AP308" s="11"/>
      <c r="AQ308" s="69">
        <f ca="1">AD306</f>
        <v>6.575342465753424E-2</v>
      </c>
      <c r="AR308" s="11"/>
      <c r="AS308" s="80">
        <f t="shared" ref="AS308" ca="1" si="51">AK308*AQ308</f>
        <v>1.0310511854169865E-3</v>
      </c>
      <c r="AT308" s="11"/>
      <c r="AU308" s="81">
        <v>0</v>
      </c>
      <c r="AW308" s="80">
        <v>0</v>
      </c>
      <c r="AY308" s="82">
        <f ca="1">AU308+AO308</f>
        <v>738.35334530691398</v>
      </c>
      <c r="BA308" s="83">
        <f ca="1">AW308+AS308</f>
        <v>1.0310511854169865E-3</v>
      </c>
    </row>
    <row r="309" spans="9:54" x14ac:dyDescent="0.3">
      <c r="I309" s="11"/>
      <c r="J309" s="11"/>
      <c r="K309" s="11"/>
      <c r="L309" s="11"/>
      <c r="M309" s="65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 t="s">
        <v>208</v>
      </c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80"/>
      <c r="AP309" s="11"/>
      <c r="AQ309" s="69"/>
      <c r="AR309" s="11"/>
      <c r="AS309" s="80"/>
      <c r="AT309" s="11"/>
      <c r="AU309" s="81"/>
      <c r="AW309" s="80"/>
      <c r="AY309" s="83"/>
      <c r="BA309" s="83"/>
    </row>
    <row r="310" spans="9:54" x14ac:dyDescent="0.3">
      <c r="I310" s="11"/>
      <c r="J310" s="11"/>
      <c r="K310" s="11"/>
      <c r="L310" s="11"/>
      <c r="M310" s="65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76">
        <f ca="1">Prob_Min30_sma16 * RR_Min30_lar16_local</f>
        <v>1.35E-2</v>
      </c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>
        <f ca="1">O304*T308*Y310</f>
        <v>7.69672125E-3</v>
      </c>
      <c r="AL310" s="11"/>
      <c r="AM310" s="67">
        <f ca="1">M284+R303</f>
        <v>10844.101093249774</v>
      </c>
      <c r="AN310" s="11"/>
      <c r="AO310" s="79">
        <f ca="1">AK310*AM310</f>
        <v>83.464023321563772</v>
      </c>
      <c r="AP310" s="11"/>
      <c r="AQ310" s="69">
        <f>0</f>
        <v>0</v>
      </c>
      <c r="AR310" s="11"/>
      <c r="AS310" s="80">
        <f t="shared" ref="AS310" ca="1" si="52">AK310*AQ310</f>
        <v>0</v>
      </c>
      <c r="AT310" s="11"/>
      <c r="AU310" s="81">
        <v>0</v>
      </c>
      <c r="AW310" s="80">
        <v>0</v>
      </c>
      <c r="AY310" s="82">
        <f ca="1">AU310+AO310</f>
        <v>83.464023321563772</v>
      </c>
      <c r="BA310" s="83">
        <f ca="1">AW310+AS310</f>
        <v>0</v>
      </c>
    </row>
    <row r="311" spans="9:54" x14ac:dyDescent="0.3"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69"/>
      <c r="AR311" s="11"/>
      <c r="AS311" s="11"/>
      <c r="AT311" s="11"/>
      <c r="AU311" s="36"/>
    </row>
    <row r="312" spans="9:54" x14ac:dyDescent="0.3"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69"/>
      <c r="AR312" s="11"/>
      <c r="AS312" s="11"/>
      <c r="AT312" s="11"/>
      <c r="AU312" s="36"/>
    </row>
    <row r="313" spans="9:54" x14ac:dyDescent="0.3"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69"/>
      <c r="AR313" s="11"/>
      <c r="AS313" s="11"/>
      <c r="AT313" s="11"/>
      <c r="AU313" s="36"/>
      <c r="AY313" s="36"/>
    </row>
    <row r="314" spans="9:54" ht="15" thickBot="1" x14ac:dyDescent="0.35">
      <c r="AF314" s="11"/>
    </row>
    <row r="315" spans="9:54" ht="15" thickBot="1" x14ac:dyDescent="0.35">
      <c r="AJ315" s="85" t="s">
        <v>106</v>
      </c>
      <c r="AK315" s="89">
        <f ca="1">SUM(AK317:AK369)</f>
        <v>0.99999999999999989</v>
      </c>
      <c r="AL315" s="85"/>
      <c r="AM315" s="85"/>
      <c r="AN315" s="85"/>
      <c r="AO315" s="85"/>
      <c r="AP315" s="85"/>
      <c r="AQ315" s="87"/>
      <c r="AR315" s="85"/>
      <c r="AS315" s="85"/>
      <c r="AT315" s="85"/>
      <c r="AU315" s="88"/>
      <c r="AV315" s="85"/>
      <c r="AW315" s="86"/>
      <c r="AX315" s="85"/>
      <c r="AY315" s="90">
        <f ca="1">SUM(AY317:AY369)</f>
        <v>77596.609324305449</v>
      </c>
      <c r="AZ315" s="85"/>
      <c r="BA315" s="91">
        <f ca="1">SUM(BA317:BA369)</f>
        <v>10.086905244255766</v>
      </c>
      <c r="BB315" s="85"/>
    </row>
    <row r="316" spans="9:54" ht="15" thickBot="1" x14ac:dyDescent="0.35"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 t="s">
        <v>196</v>
      </c>
      <c r="AG316" s="11"/>
      <c r="AH316" s="11"/>
      <c r="AI316" s="11"/>
      <c r="AJ316" s="11"/>
      <c r="AK316" s="195" t="s">
        <v>197</v>
      </c>
      <c r="AL316" s="193"/>
      <c r="AM316" s="196" t="s">
        <v>198</v>
      </c>
      <c r="AN316" s="196"/>
      <c r="AO316" s="193" t="s">
        <v>199</v>
      </c>
      <c r="AP316" s="193"/>
      <c r="AQ316" s="197" t="s">
        <v>216</v>
      </c>
      <c r="AR316" s="197"/>
      <c r="AS316" s="193" t="s">
        <v>217</v>
      </c>
      <c r="AT316" s="193"/>
      <c r="AU316" s="198" t="s">
        <v>237</v>
      </c>
      <c r="AV316" s="198"/>
      <c r="AW316" s="193" t="s">
        <v>238</v>
      </c>
      <c r="AX316" s="193"/>
      <c r="AY316" s="193" t="s">
        <v>239</v>
      </c>
      <c r="AZ316" s="193"/>
      <c r="BA316" s="193" t="s">
        <v>195</v>
      </c>
      <c r="BB316" s="194"/>
    </row>
    <row r="317" spans="9:54" x14ac:dyDescent="0.3"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76">
        <f ca="1">1 - Prob_Min1y_lar16_mtc</f>
        <v>0.97</v>
      </c>
      <c r="AG317" s="11"/>
      <c r="AH317" s="11"/>
      <c r="AI317" s="78">
        <f ca="1">U_lar16*((365-30)/365)</f>
        <v>0.6424657534246575</v>
      </c>
      <c r="AJ317" s="11"/>
      <c r="AK317" s="11">
        <f ca="1">O326*T321*Y319*AF317</f>
        <v>2.3749091999999999E-2</v>
      </c>
      <c r="AL317" s="11"/>
      <c r="AM317" s="67">
        <f ca="1">M343+R325+W320+AD318</f>
        <v>58739.376927083526</v>
      </c>
      <c r="AN317" s="11"/>
      <c r="AO317" s="79">
        <f ca="1">AK317*AM317</f>
        <v>1395.0068666639838</v>
      </c>
      <c r="AP317" s="68"/>
      <c r="AQ317" s="69">
        <f ca="1">AD319+AI317</f>
        <v>0.7</v>
      </c>
      <c r="AR317" s="68"/>
      <c r="AS317" s="80">
        <f ca="1">AK317*AQ317</f>
        <v>1.6624364399999998E-2</v>
      </c>
      <c r="AT317" s="68"/>
      <c r="AU317" s="81">
        <f ca="1">AK317*Cst_lar16_life</f>
        <v>1039.2811411094426</v>
      </c>
      <c r="AW317" s="80">
        <f ca="1">AK317*QALY_lar16_life</f>
        <v>0.12933276422695286</v>
      </c>
      <c r="AY317" s="82">
        <f ca="1">AU317+AO317</f>
        <v>2434.2880077734262</v>
      </c>
      <c r="BA317" s="83">
        <f ca="1">AW317+AS317</f>
        <v>0.14595712862695287</v>
      </c>
    </row>
    <row r="318" spans="9:54" x14ac:dyDescent="0.3"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 t="s">
        <v>200</v>
      </c>
      <c r="Z318" s="11"/>
      <c r="AA318" s="11"/>
      <c r="AB318" s="11"/>
      <c r="AC318" s="11"/>
      <c r="AD318" s="77">
        <f ca="1">Cst_post_lar16_mtc</f>
        <v>36915.462885387984</v>
      </c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80"/>
      <c r="AP318" s="11"/>
      <c r="AQ318" s="69"/>
      <c r="AR318" s="11"/>
      <c r="AS318" s="80"/>
      <c r="AT318" s="11"/>
      <c r="AU318" s="81"/>
      <c r="AW318" s="80"/>
      <c r="AY318" s="83"/>
      <c r="BA318" s="83"/>
    </row>
    <row r="319" spans="9:54" x14ac:dyDescent="0.3"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76">
        <f ca="1">1 - Prob_Min30_lar16_mtc</f>
        <v>0.9</v>
      </c>
      <c r="Z319" s="11"/>
      <c r="AA319" s="11"/>
      <c r="AB319" s="11"/>
      <c r="AC319" s="11"/>
      <c r="AD319" s="78">
        <f ca="1">U_lar16*(30/365)</f>
        <v>5.7534246575342458E-2</v>
      </c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80"/>
      <c r="AP319" s="11"/>
      <c r="AQ319" s="69"/>
      <c r="AR319" s="11"/>
      <c r="AS319" s="80"/>
      <c r="AT319" s="11"/>
      <c r="AU319" s="81"/>
      <c r="AW319" s="80"/>
      <c r="AY319" s="83"/>
      <c r="BA319" s="83"/>
    </row>
    <row r="320" spans="9:54" x14ac:dyDescent="0.3"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 t="s">
        <v>219</v>
      </c>
      <c r="U320" s="11"/>
      <c r="V320" s="11"/>
      <c r="W320" s="77">
        <f>Cst_lar16_MTC</f>
        <v>3342</v>
      </c>
      <c r="X320" s="11"/>
      <c r="Y320" s="11"/>
      <c r="Z320" s="11"/>
      <c r="AA320" s="11"/>
      <c r="AB320" s="11"/>
      <c r="AC320" s="11"/>
      <c r="AD320" s="11"/>
      <c r="AE320" s="11"/>
      <c r="AF320" s="11" t="s">
        <v>201</v>
      </c>
      <c r="AG320" s="11"/>
      <c r="AH320" s="11"/>
      <c r="AI320" s="11"/>
      <c r="AJ320" s="11"/>
      <c r="AK320" s="11"/>
      <c r="AL320" s="11"/>
      <c r="AM320" s="11"/>
      <c r="AN320" s="11"/>
      <c r="AO320" s="80"/>
      <c r="AP320" s="11"/>
      <c r="AQ320" s="69"/>
      <c r="AR320" s="11"/>
      <c r="AS320" s="80"/>
      <c r="AT320" s="11"/>
      <c r="AU320" s="81"/>
      <c r="AW320" s="80"/>
      <c r="AY320" s="83"/>
      <c r="BA320" s="83"/>
    </row>
    <row r="321" spans="9:53" x14ac:dyDescent="0.3"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76">
        <f ca="1">Prob_R6_sen</f>
        <v>0.3</v>
      </c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76">
        <f ca="1">Prob_Min1y_lar16_mtc</f>
        <v>0.03</v>
      </c>
      <c r="AG321" s="11"/>
      <c r="AH321" s="11"/>
      <c r="AI321" s="11"/>
      <c r="AJ321" s="11"/>
      <c r="AK321" s="11">
        <f ca="1">O326*T321*Y319*AF321</f>
        <v>7.3450800000000004E-4</v>
      </c>
      <c r="AL321" s="11"/>
      <c r="AM321" s="67">
        <f ca="1">M343+R325+W320+AD318</f>
        <v>58739.376927083526</v>
      </c>
      <c r="AN321" s="11"/>
      <c r="AO321" s="79">
        <f ca="1">AK321*AM321</f>
        <v>43.144542267958265</v>
      </c>
      <c r="AP321" s="68"/>
      <c r="AQ321" s="69">
        <f ca="1">AD319</f>
        <v>5.7534246575342458E-2</v>
      </c>
      <c r="AR321" s="68"/>
      <c r="AS321" s="80">
        <f ca="1">AK321*AQ321</f>
        <v>4.2259364383561644E-5</v>
      </c>
      <c r="AT321" s="68"/>
      <c r="AU321" s="81">
        <v>0</v>
      </c>
      <c r="AW321" s="80">
        <v>0</v>
      </c>
      <c r="AY321" s="84">
        <f ca="1">AW321+AO321</f>
        <v>43.144542267958265</v>
      </c>
      <c r="BA321" s="83">
        <f ca="1">AW321+AS321</f>
        <v>4.2259364383561644E-5</v>
      </c>
    </row>
    <row r="322" spans="9:53" x14ac:dyDescent="0.3"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 t="s">
        <v>202</v>
      </c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80"/>
      <c r="AP322" s="11"/>
      <c r="AQ322" s="69"/>
      <c r="AR322" s="11"/>
      <c r="AS322" s="80"/>
      <c r="AT322" s="11"/>
      <c r="AU322" s="81"/>
      <c r="AW322" s="80"/>
      <c r="AY322" s="83"/>
      <c r="BA322" s="83"/>
    </row>
    <row r="323" spans="9:53" x14ac:dyDescent="0.3"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76">
        <f ca="1">Prob_Min30_lar16_mtc</f>
        <v>0.1</v>
      </c>
      <c r="Z323" s="11"/>
      <c r="AA323" s="11"/>
      <c r="AB323" s="11"/>
      <c r="AC323" s="11"/>
      <c r="AD323" s="11">
        <v>0</v>
      </c>
      <c r="AE323" s="11"/>
      <c r="AF323" s="11"/>
      <c r="AG323" s="11"/>
      <c r="AH323" s="11"/>
      <c r="AI323" s="11"/>
      <c r="AJ323" s="11"/>
      <c r="AK323" s="11">
        <f ca="1">O326*T321*Y323</f>
        <v>2.7204E-3</v>
      </c>
      <c r="AL323" s="11"/>
      <c r="AM323" s="67">
        <f ca="1">M343+R325+W320</f>
        <v>21823.914041695542</v>
      </c>
      <c r="AN323" s="11"/>
      <c r="AO323" s="79">
        <f ca="1">AK323*AM323</f>
        <v>59.369775759028549</v>
      </c>
      <c r="AP323" s="68"/>
      <c r="AQ323" s="69">
        <f>AD323</f>
        <v>0</v>
      </c>
      <c r="AR323" s="68"/>
      <c r="AS323" s="80">
        <f ca="1">AK323*AQ323</f>
        <v>0</v>
      </c>
      <c r="AT323" s="68"/>
      <c r="AU323" s="81">
        <v>0</v>
      </c>
      <c r="AW323" s="80">
        <v>0</v>
      </c>
      <c r="AY323" s="82">
        <f ca="1">AU323+AO323</f>
        <v>59.369775759028549</v>
      </c>
      <c r="BA323" s="83">
        <f ca="1">AW323+AS323</f>
        <v>0</v>
      </c>
    </row>
    <row r="324" spans="9:53" x14ac:dyDescent="0.3">
      <c r="I324" s="11"/>
      <c r="J324" s="11"/>
      <c r="K324" s="11"/>
      <c r="L324" s="11"/>
      <c r="M324" s="11"/>
      <c r="N324" s="11"/>
      <c r="O324" s="11" t="s">
        <v>203</v>
      </c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80"/>
      <c r="AP324" s="11"/>
      <c r="AQ324" s="69"/>
      <c r="AR324" s="11"/>
      <c r="AS324" s="80"/>
      <c r="AT324" s="11"/>
      <c r="AU324" s="81"/>
      <c r="AW324" s="80"/>
      <c r="AY324" s="83"/>
      <c r="BA324" s="83"/>
    </row>
    <row r="325" spans="9:53" x14ac:dyDescent="0.3">
      <c r="I325" s="11"/>
      <c r="J325" s="11"/>
      <c r="K325" s="11"/>
      <c r="L325" s="11"/>
      <c r="M325" s="11"/>
      <c r="N325" s="11"/>
      <c r="O325" s="11" t="s">
        <v>204</v>
      </c>
      <c r="P325" s="11"/>
      <c r="Q325" s="11"/>
      <c r="R325" s="77">
        <f>Cst_lar16_hosp</f>
        <v>18052.891179427541</v>
      </c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 t="s">
        <v>205</v>
      </c>
      <c r="AG325" s="11"/>
      <c r="AH325" s="11"/>
      <c r="AI325" s="11"/>
      <c r="AJ325" s="11"/>
      <c r="AK325" s="11"/>
      <c r="AL325" s="11"/>
      <c r="AM325" s="11"/>
      <c r="AN325" s="11"/>
      <c r="AO325" s="80"/>
      <c r="AP325" s="11"/>
      <c r="AQ325" s="69"/>
      <c r="AR325" s="11"/>
      <c r="AS325" s="80"/>
      <c r="AT325" s="11"/>
      <c r="AU325" s="81"/>
      <c r="AW325" s="80"/>
      <c r="AY325" s="83"/>
      <c r="BA325" s="83"/>
    </row>
    <row r="326" spans="9:53" x14ac:dyDescent="0.3">
      <c r="I326" s="11"/>
      <c r="J326" s="11"/>
      <c r="K326" s="11"/>
      <c r="L326" s="11"/>
      <c r="M326" s="11"/>
      <c r="N326" s="11"/>
      <c r="O326" s="76">
        <f>Prob_ISS_lag16</f>
        <v>9.0679999999999997E-2</v>
      </c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76">
        <f ca="1">(1 - Prob_Min1y_lar16_mtc * RR_Min1y_lar16_local)</f>
        <v>0.95079999999999998</v>
      </c>
      <c r="AG326" s="11"/>
      <c r="AH326" s="11"/>
      <c r="AI326" s="78">
        <f ca="1">U_lar16*((365-30)/365)</f>
        <v>0.6424657534246575</v>
      </c>
      <c r="AJ326" s="11"/>
      <c r="AK326" s="11">
        <f ca="1">O326*T330*Y328*AF326</f>
        <v>5.3563270459999986E-2</v>
      </c>
      <c r="AL326" s="11"/>
      <c r="AM326" s="67">
        <f ca="1">M343+R325+AD327</f>
        <v>54724.962207327451</v>
      </c>
      <c r="AN326" s="11"/>
      <c r="AO326" s="79">
        <f ca="1">AK326*AM326</f>
        <v>2931.2479516243579</v>
      </c>
      <c r="AP326" s="68"/>
      <c r="AQ326" s="69">
        <f ca="1">AD328+AI326</f>
        <v>0.7</v>
      </c>
      <c r="AR326" s="68"/>
      <c r="AS326" s="80">
        <f ca="1">AK326*AQ326</f>
        <v>3.7494289321999989E-2</v>
      </c>
      <c r="AT326" s="68"/>
      <c r="AU326" s="81">
        <f ca="1">AK326*Cst_lar16_life</f>
        <v>2343.9757968524646</v>
      </c>
      <c r="AW326" s="80">
        <f ca="1">AK326*QALY_lar16_life</f>
        <v>0.29169476583052889</v>
      </c>
      <c r="AY326" s="82">
        <f ca="1">AU326+AO326</f>
        <v>5275.2237484768229</v>
      </c>
      <c r="BA326" s="83">
        <f ca="1">AW326+AS326</f>
        <v>0.32918905515252889</v>
      </c>
    </row>
    <row r="327" spans="9:53" x14ac:dyDescent="0.3"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 t="s">
        <v>206</v>
      </c>
      <c r="Z327" s="11"/>
      <c r="AA327" s="11"/>
      <c r="AB327" s="11"/>
      <c r="AC327" s="11"/>
      <c r="AD327" s="77">
        <f ca="1">Cst_post_lar16_local</f>
        <v>36243.04816563191</v>
      </c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80"/>
      <c r="AP327" s="11"/>
      <c r="AQ327" s="69"/>
      <c r="AR327" s="11"/>
      <c r="AS327" s="80"/>
      <c r="AT327" s="11"/>
      <c r="AU327" s="81"/>
      <c r="AW327" s="80"/>
      <c r="AY327" s="83"/>
      <c r="BA327" s="83"/>
    </row>
    <row r="328" spans="9:53" x14ac:dyDescent="0.3"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76">
        <f ca="1">(1 - Prob_Min30_lar16_mtc * RR_Min30_lar16_local)</f>
        <v>0.88749999999999996</v>
      </c>
      <c r="Z328" s="11"/>
      <c r="AA328" s="11"/>
      <c r="AB328" s="11"/>
      <c r="AC328" s="11"/>
      <c r="AD328" s="78">
        <f ca="1">U_lar16*(30/365)</f>
        <v>5.7534246575342458E-2</v>
      </c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80"/>
      <c r="AP328" s="11"/>
      <c r="AQ328" s="69"/>
      <c r="AR328" s="11"/>
      <c r="AS328" s="80"/>
      <c r="AT328" s="11"/>
      <c r="AU328" s="81"/>
      <c r="AW328" s="80"/>
      <c r="AY328" s="83"/>
      <c r="BA328" s="83"/>
    </row>
    <row r="329" spans="9:53" x14ac:dyDescent="0.3"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 t="s">
        <v>220</v>
      </c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 t="s">
        <v>207</v>
      </c>
      <c r="AG329" s="11"/>
      <c r="AH329" s="11"/>
      <c r="AI329" s="11"/>
      <c r="AJ329" s="11"/>
      <c r="AK329" s="11"/>
      <c r="AL329" s="11"/>
      <c r="AM329" s="11"/>
      <c r="AN329" s="11"/>
      <c r="AO329" s="80"/>
      <c r="AP329" s="11"/>
      <c r="AQ329" s="69"/>
      <c r="AR329" s="11"/>
      <c r="AS329" s="80"/>
      <c r="AT329" s="11"/>
      <c r="AU329" s="81"/>
      <c r="AW329" s="80"/>
      <c r="AY329" s="83"/>
      <c r="BA329" s="83"/>
    </row>
    <row r="330" spans="9:53" x14ac:dyDescent="0.3"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76">
        <f ca="1">(1- Prob_R6_sen)</f>
        <v>0.7</v>
      </c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76">
        <f ca="1">Prob_Min1y_lar16_mtc * RR_Min1y_lar16_local</f>
        <v>4.9199999999999994E-2</v>
      </c>
      <c r="AG330" s="11"/>
      <c r="AH330" s="11"/>
      <c r="AI330" s="11"/>
      <c r="AJ330" s="11"/>
      <c r="AK330" s="11">
        <f ca="1">O326*T330*Y328*AF330</f>
        <v>2.7716795399999991E-3</v>
      </c>
      <c r="AL330" s="11"/>
      <c r="AM330" s="67">
        <f ca="1">M343+R325+AD327</f>
        <v>54724.962207327451</v>
      </c>
      <c r="AN330" s="11"/>
      <c r="AO330" s="79">
        <f ca="1">AK330*AM330</f>
        <v>151.68005807732268</v>
      </c>
      <c r="AP330" s="68"/>
      <c r="AQ330" s="69">
        <f ca="1">AD328</f>
        <v>5.7534246575342458E-2</v>
      </c>
      <c r="AR330" s="68"/>
      <c r="AS330" s="80">
        <f t="shared" ref="AS330" ca="1" si="53">AK330*AQ330</f>
        <v>1.594664940821917E-4</v>
      </c>
      <c r="AT330" s="68"/>
      <c r="AU330" s="81">
        <v>0</v>
      </c>
      <c r="AW330" s="80">
        <v>0</v>
      </c>
      <c r="AY330" s="82">
        <f ca="1">AU330+AO330</f>
        <v>151.68005807732268</v>
      </c>
      <c r="BA330" s="83">
        <f ca="1">AW330+AS330</f>
        <v>1.594664940821917E-4</v>
      </c>
    </row>
    <row r="331" spans="9:53" x14ac:dyDescent="0.3"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 t="s">
        <v>208</v>
      </c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80"/>
      <c r="AP331" s="11"/>
      <c r="AQ331" s="69"/>
      <c r="AR331" s="11"/>
      <c r="AS331" s="80"/>
      <c r="AT331" s="11"/>
      <c r="AU331" s="81"/>
      <c r="AW331" s="80"/>
      <c r="AY331" s="83"/>
      <c r="BA331" s="83"/>
    </row>
    <row r="332" spans="9:53" x14ac:dyDescent="0.3"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76">
        <f ca="1" xml:space="preserve"> Prob_Min30_lar16_mtc * RR_Min30_lar16_local</f>
        <v>0.1125</v>
      </c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>
        <f ca="1">O326*T330*Y332</f>
        <v>7.1410499999999995E-3</v>
      </c>
      <c r="AL332" s="11"/>
      <c r="AM332" s="67">
        <f ca="1">M343+R325</f>
        <v>18481.914041695542</v>
      </c>
      <c r="AN332" s="11"/>
      <c r="AO332" s="79">
        <f ca="1">AK332*AM332</f>
        <v>131.98027226744995</v>
      </c>
      <c r="AP332" s="68"/>
      <c r="AQ332" s="69">
        <f>0</f>
        <v>0</v>
      </c>
      <c r="AR332" s="68"/>
      <c r="AS332" s="80">
        <f t="shared" ref="AS332" ca="1" si="54">AK332*AQ332</f>
        <v>0</v>
      </c>
      <c r="AT332" s="68"/>
      <c r="AU332" s="81">
        <v>0</v>
      </c>
      <c r="AW332" s="80">
        <v>0</v>
      </c>
      <c r="AY332" s="82">
        <f ca="1">AU332+AO332</f>
        <v>131.98027226744995</v>
      </c>
      <c r="BA332" s="83">
        <f ca="1">AW332+AS332</f>
        <v>0</v>
      </c>
    </row>
    <row r="333" spans="9:53" x14ac:dyDescent="0.3"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80"/>
      <c r="AP333" s="11"/>
      <c r="AQ333" s="69"/>
      <c r="AR333" s="11"/>
      <c r="AS333" s="80"/>
      <c r="AT333" s="11"/>
      <c r="AU333" s="81"/>
      <c r="AW333" s="80"/>
      <c r="AY333" s="83"/>
      <c r="BA333" s="83"/>
    </row>
    <row r="334" spans="9:53" x14ac:dyDescent="0.3"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 t="s">
        <v>196</v>
      </c>
      <c r="AG334" s="11"/>
      <c r="AH334" s="11"/>
      <c r="AI334" s="11"/>
      <c r="AJ334" s="11"/>
      <c r="AK334" s="11"/>
      <c r="AL334" s="11"/>
      <c r="AM334" s="11"/>
      <c r="AN334" s="11"/>
      <c r="AO334" s="80"/>
      <c r="AP334" s="11"/>
      <c r="AQ334" s="69"/>
      <c r="AR334" s="11"/>
      <c r="AS334" s="80"/>
      <c r="AT334" s="11"/>
      <c r="AU334" s="81"/>
      <c r="AW334" s="80"/>
      <c r="AY334" s="83"/>
      <c r="BA334" s="83"/>
    </row>
    <row r="335" spans="9:53" x14ac:dyDescent="0.3"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76">
        <f ca="1">(1 - Prob_Min1y_sma16)</f>
        <v>0.98299999999999998</v>
      </c>
      <c r="AG335" s="11"/>
      <c r="AH335" s="11"/>
      <c r="AI335" s="78">
        <f ca="1">U_sma16*((365-30)/365)</f>
        <v>0.73424657534246585</v>
      </c>
      <c r="AJ335" s="11"/>
      <c r="AK335" s="11">
        <f ca="1">O344*T339*Y337*AF335</f>
        <v>1.4485507659999997E-2</v>
      </c>
      <c r="AL335" s="11"/>
      <c r="AM335" s="67">
        <f ca="1">M343+R343+W338+AD336</f>
        <v>50308.581905781655</v>
      </c>
      <c r="AN335" s="11"/>
      <c r="AO335" s="79">
        <f ca="1">AK335*AM335</f>
        <v>728.74534855993738</v>
      </c>
      <c r="AP335" s="68"/>
      <c r="AQ335" s="69">
        <f ca="1">AD337+AI335</f>
        <v>0.8</v>
      </c>
      <c r="AR335" s="68"/>
      <c r="AS335" s="80">
        <f t="shared" ref="AS335" ca="1" si="55">AK335*AQ335</f>
        <v>1.1588406127999999E-2</v>
      </c>
      <c r="AT335" s="68"/>
      <c r="AU335" s="81">
        <f ca="1">AK335*Cst_sma16_life</f>
        <v>459.6023486446087</v>
      </c>
      <c r="AW335" s="80">
        <f ca="1">AK335*QALY_sma16_life</f>
        <v>0.14784152750932328</v>
      </c>
      <c r="AY335" s="82">
        <f ca="1">AU335+AO335</f>
        <v>1188.347697204546</v>
      </c>
      <c r="BA335" s="83">
        <f ca="1">AW335+AS335</f>
        <v>0.15942993363732327</v>
      </c>
    </row>
    <row r="336" spans="9:53" x14ac:dyDescent="0.3"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 t="s">
        <v>200</v>
      </c>
      <c r="Z336" s="11"/>
      <c r="AA336" s="11"/>
      <c r="AB336" s="11"/>
      <c r="AC336" s="11"/>
      <c r="AD336" s="77">
        <f ca="1">Cst_post_lar16_mtc</f>
        <v>36915.462885387984</v>
      </c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80"/>
      <c r="AP336" s="11"/>
      <c r="AQ336" s="69"/>
      <c r="AR336" s="11"/>
      <c r="AS336" s="80"/>
      <c r="AT336" s="11"/>
      <c r="AU336" s="81"/>
      <c r="AW336" s="80"/>
      <c r="AY336" s="83"/>
      <c r="BA336" s="83"/>
    </row>
    <row r="337" spans="9:53" x14ac:dyDescent="0.3"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76">
        <f ca="1">(1 - Prob_Min30_sma16)</f>
        <v>0.98799999999999999</v>
      </c>
      <c r="Z337" s="11"/>
      <c r="AA337" s="11"/>
      <c r="AB337" s="11"/>
      <c r="AC337" s="11"/>
      <c r="AD337" s="78">
        <f ca="1">U_sma16*(30/365)</f>
        <v>6.575342465753424E-2</v>
      </c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80"/>
      <c r="AP337" s="11"/>
      <c r="AQ337" s="69"/>
      <c r="AR337" s="11"/>
      <c r="AS337" s="80"/>
      <c r="AT337" s="11"/>
      <c r="AU337" s="81"/>
      <c r="AW337" s="80"/>
      <c r="AY337" s="83"/>
      <c r="BA337" s="83"/>
    </row>
    <row r="338" spans="9:53" x14ac:dyDescent="0.3"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 t="s">
        <v>219</v>
      </c>
      <c r="U338" s="11"/>
      <c r="V338" s="11"/>
      <c r="W338" s="77">
        <f>Cst_lar16_MTC</f>
        <v>3342</v>
      </c>
      <c r="X338" s="11"/>
      <c r="Y338" s="11"/>
      <c r="Z338" s="11"/>
      <c r="AA338" s="11"/>
      <c r="AB338" s="11"/>
      <c r="AC338" s="11"/>
      <c r="AD338" s="11"/>
      <c r="AE338" s="11"/>
      <c r="AF338" s="11" t="s">
        <v>201</v>
      </c>
      <c r="AG338" s="11"/>
      <c r="AH338" s="11"/>
      <c r="AI338" s="11"/>
      <c r="AJ338" s="11"/>
      <c r="AK338" s="11"/>
      <c r="AL338" s="11"/>
      <c r="AM338" s="11"/>
      <c r="AN338" s="11"/>
      <c r="AO338" s="80"/>
      <c r="AP338" s="11"/>
      <c r="AQ338" s="69"/>
      <c r="AR338" s="11"/>
      <c r="AS338" s="80"/>
      <c r="AT338" s="11"/>
      <c r="AU338" s="81"/>
      <c r="AW338" s="80"/>
      <c r="AY338" s="83"/>
      <c r="BA338" s="83"/>
    </row>
    <row r="339" spans="9:53" x14ac:dyDescent="0.3"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76">
        <f ca="1">(1-Prob_R6_spe)</f>
        <v>9.9999999999999978E-2</v>
      </c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76">
        <f ca="1">Prob_Min1y_sma16</f>
        <v>1.7000000000000001E-2</v>
      </c>
      <c r="AG339" s="11"/>
      <c r="AH339" s="11"/>
      <c r="AI339" s="11"/>
      <c r="AJ339" s="11"/>
      <c r="AK339" s="11">
        <f ca="1">O344*T339*Y337*AF339</f>
        <v>2.5051233999999999E-4</v>
      </c>
      <c r="AL339" s="11"/>
      <c r="AM339" s="67">
        <f ca="1">M343+R343+W338+AD336</f>
        <v>50308.581905781655</v>
      </c>
      <c r="AN339" s="11"/>
      <c r="AO339" s="79">
        <f ca="1">AK339*AM339</f>
        <v>12.602920575299022</v>
      </c>
      <c r="AP339" s="68"/>
      <c r="AQ339" s="69">
        <f ca="1">AD337</f>
        <v>6.575342465753424E-2</v>
      </c>
      <c r="AR339" s="68"/>
      <c r="AS339" s="80">
        <f t="shared" ref="AS339" ca="1" si="56">AK339*AQ339</f>
        <v>1.6472044273972601E-5</v>
      </c>
      <c r="AT339" s="68"/>
      <c r="AU339" s="81">
        <v>0</v>
      </c>
      <c r="AW339" s="80">
        <v>0</v>
      </c>
      <c r="AY339" s="82">
        <f ca="1">AU339+AO339</f>
        <v>12.602920575299022</v>
      </c>
      <c r="BA339" s="83">
        <f ca="1">AW339+AS339</f>
        <v>1.6472044273972601E-5</v>
      </c>
    </row>
    <row r="340" spans="9:53" x14ac:dyDescent="0.3"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 t="s">
        <v>202</v>
      </c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80"/>
      <c r="AP340" s="11"/>
      <c r="AQ340" s="69"/>
      <c r="AR340" s="11"/>
      <c r="AS340" s="80"/>
      <c r="AT340" s="11"/>
      <c r="AU340" s="81"/>
      <c r="AW340" s="80"/>
      <c r="AY340" s="83"/>
      <c r="BA340" s="83"/>
    </row>
    <row r="341" spans="9:53" x14ac:dyDescent="0.3"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76">
        <f ca="1">Prob_Min30_sma16</f>
        <v>1.2E-2</v>
      </c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>
        <f ca="1">O344*T339*Y341</f>
        <v>1.7897999999999997E-4</v>
      </c>
      <c r="AL341" s="11"/>
      <c r="AM341" s="67">
        <f ca="1">M343+R343+W338</f>
        <v>13393.119020393675</v>
      </c>
      <c r="AN341" s="11"/>
      <c r="AO341" s="79">
        <f ca="1">AK341*AM341</f>
        <v>2.3971004422700597</v>
      </c>
      <c r="AP341" s="68"/>
      <c r="AQ341" s="69">
        <v>0</v>
      </c>
      <c r="AR341" s="68"/>
      <c r="AS341" s="80">
        <v>0</v>
      </c>
      <c r="AT341" s="68"/>
      <c r="AU341" s="81">
        <v>0</v>
      </c>
      <c r="AW341" s="80">
        <v>0</v>
      </c>
      <c r="AY341" s="82">
        <f ca="1">AU341+AO341</f>
        <v>2.3971004422700597</v>
      </c>
      <c r="BA341" s="83">
        <f>AW341+AS341</f>
        <v>0</v>
      </c>
    </row>
    <row r="342" spans="9:53" x14ac:dyDescent="0.3">
      <c r="I342" s="11"/>
      <c r="J342" s="11"/>
      <c r="K342" s="11"/>
      <c r="L342" s="11"/>
      <c r="M342" s="11"/>
      <c r="N342" s="11"/>
      <c r="O342" s="11" t="s">
        <v>209</v>
      </c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80"/>
      <c r="AP342" s="11"/>
      <c r="AQ342" s="69"/>
      <c r="AR342" s="11"/>
      <c r="AS342" s="80"/>
      <c r="AT342" s="11"/>
      <c r="AU342" s="81"/>
      <c r="AW342" s="80"/>
      <c r="AY342" s="83"/>
      <c r="BA342" s="83"/>
    </row>
    <row r="343" spans="9:53" x14ac:dyDescent="0.3">
      <c r="I343" s="11"/>
      <c r="J343" s="11" t="s">
        <v>244</v>
      </c>
      <c r="K343" s="11"/>
      <c r="L343" s="11"/>
      <c r="M343" s="92">
        <f ca="1">Cst_R6+Cst_amb</f>
        <v>429.0228622680001</v>
      </c>
      <c r="N343" s="11"/>
      <c r="O343" s="11" t="s">
        <v>211</v>
      </c>
      <c r="P343" s="11"/>
      <c r="Q343" s="11"/>
      <c r="R343" s="77">
        <f ca="1">Cst_btw916_hosp</f>
        <v>9622.0961581256743</v>
      </c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 t="s">
        <v>205</v>
      </c>
      <c r="AG343" s="11"/>
      <c r="AH343" s="11"/>
      <c r="AI343" s="11"/>
      <c r="AJ343" s="11"/>
      <c r="AK343" s="11"/>
      <c r="AL343" s="11"/>
      <c r="AM343" s="11"/>
      <c r="AN343" s="11"/>
      <c r="AO343" s="80"/>
      <c r="AP343" s="11"/>
      <c r="AQ343" s="69"/>
      <c r="AR343" s="11"/>
      <c r="AS343" s="80"/>
      <c r="AT343" s="11"/>
      <c r="AU343" s="81"/>
      <c r="AW343" s="80"/>
      <c r="AY343" s="83"/>
      <c r="BA343" s="83"/>
    </row>
    <row r="344" spans="9:53" x14ac:dyDescent="0.3">
      <c r="I344" s="11"/>
      <c r="J344" s="11" t="s">
        <v>336</v>
      </c>
      <c r="K344" s="11"/>
      <c r="L344" s="11"/>
      <c r="M344" s="11"/>
      <c r="N344" s="11"/>
      <c r="O344" s="76">
        <f>Prob_ISS_btw916</f>
        <v>0.14915</v>
      </c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76">
        <f ca="1">(1 - Prob_Min1y_sma16 * RR_Min1y_lar16_local)</f>
        <v>0.97211999999999998</v>
      </c>
      <c r="AG344" s="11"/>
      <c r="AH344" s="11"/>
      <c r="AI344" s="78">
        <f ca="1">U_sma16*((365-30)/365)</f>
        <v>0.73424657534246585</v>
      </c>
      <c r="AJ344" s="11"/>
      <c r="AK344" s="11">
        <f ca="1">O344*T348*Y346*AF344</f>
        <v>0.12873087906930003</v>
      </c>
      <c r="AL344" s="11"/>
      <c r="AM344" s="67">
        <f ca="1">M343+R343+AD345</f>
        <v>46294.167186025588</v>
      </c>
      <c r="AN344" s="11"/>
      <c r="AO344" s="79">
        <f ca="1">AK344*AM344</f>
        <v>5959.4888376382178</v>
      </c>
      <c r="AP344" s="68"/>
      <c r="AQ344" s="69">
        <f ca="1">AD346+AI344</f>
        <v>0.8</v>
      </c>
      <c r="AR344" s="68"/>
      <c r="AS344" s="80">
        <f t="shared" ref="AS344" ca="1" si="57">AK344*AQ344</f>
        <v>0.10298470325544003</v>
      </c>
      <c r="AT344" s="68"/>
      <c r="AU344" s="81">
        <f ca="1">AK344*Cst_sma16_life</f>
        <v>4084.4280885448379</v>
      </c>
      <c r="AW344" s="80">
        <f ca="1">AK344*QALY_sma16_life</f>
        <v>1.3138490031507319</v>
      </c>
      <c r="AY344" s="82">
        <f ca="1">AU344+AO344</f>
        <v>10043.916926183056</v>
      </c>
      <c r="BA344" s="83">
        <f ca="1">AW344+AS344</f>
        <v>1.416833706406172</v>
      </c>
    </row>
    <row r="345" spans="9:53" x14ac:dyDescent="0.3">
      <c r="I345" s="11"/>
      <c r="J345" s="11" t="s">
        <v>337</v>
      </c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 t="s">
        <v>206</v>
      </c>
      <c r="Z345" s="11"/>
      <c r="AA345" s="11"/>
      <c r="AB345" s="11"/>
      <c r="AC345" s="11"/>
      <c r="AD345" s="77">
        <f ca="1">Cst_post_lar16_local</f>
        <v>36243.04816563191</v>
      </c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80"/>
      <c r="AP345" s="11"/>
      <c r="AQ345" s="69"/>
      <c r="AR345" s="11"/>
      <c r="AS345" s="80"/>
      <c r="AT345" s="11"/>
      <c r="AU345" s="81"/>
      <c r="AW345" s="80"/>
      <c r="AY345" s="83"/>
      <c r="BA345" s="83"/>
    </row>
    <row r="346" spans="9:53" x14ac:dyDescent="0.3"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76">
        <f ca="1">(1 - Prob_Min30_sma16 * RR_Min30_lar16_local)</f>
        <v>0.98650000000000004</v>
      </c>
      <c r="Z346" s="11"/>
      <c r="AA346" s="11"/>
      <c r="AB346" s="11"/>
      <c r="AC346" s="11"/>
      <c r="AD346" s="78">
        <f ca="1">U_sma16*(30/365)</f>
        <v>6.575342465753424E-2</v>
      </c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80"/>
      <c r="AP346" s="11"/>
      <c r="AQ346" s="69"/>
      <c r="AR346" s="11"/>
      <c r="AS346" s="80"/>
      <c r="AT346" s="11"/>
      <c r="AU346" s="81"/>
      <c r="AW346" s="80"/>
      <c r="AY346" s="83"/>
      <c r="BA346" s="83"/>
    </row>
    <row r="347" spans="9:53" x14ac:dyDescent="0.3"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 t="s">
        <v>220</v>
      </c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 t="s">
        <v>207</v>
      </c>
      <c r="AG347" s="11"/>
      <c r="AH347" s="11"/>
      <c r="AI347" s="11"/>
      <c r="AJ347" s="11"/>
      <c r="AK347" s="11"/>
      <c r="AL347" s="11"/>
      <c r="AM347" s="11"/>
      <c r="AN347" s="11"/>
      <c r="AO347" s="80"/>
      <c r="AP347" s="11"/>
      <c r="AQ347" s="69"/>
      <c r="AR347" s="11"/>
      <c r="AS347" s="80"/>
      <c r="AT347" s="11"/>
      <c r="AU347" s="81"/>
      <c r="AW347" s="80"/>
      <c r="AY347" s="83"/>
      <c r="BA347" s="83"/>
    </row>
    <row r="348" spans="9:53" x14ac:dyDescent="0.3"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76">
        <f ca="1">Prob_R6_spe</f>
        <v>0.9</v>
      </c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76">
        <f ca="1">Prob_Min1y_sma16 * RR_Min1y_lar16_local</f>
        <v>2.7880000000000002E-2</v>
      </c>
      <c r="AG348" s="11"/>
      <c r="AH348" s="11"/>
      <c r="AI348" s="11"/>
      <c r="AJ348" s="11"/>
      <c r="AK348" s="11">
        <f ca="1">O344*T348*Y346*AF348</f>
        <v>3.6919484307000013E-3</v>
      </c>
      <c r="AL348" s="11"/>
      <c r="AM348" s="67">
        <f ca="1">M343+R343+AD345</f>
        <v>46294.167186025588</v>
      </c>
      <c r="AN348" s="11"/>
      <c r="AO348" s="79">
        <f ca="1">AK348*AM348</f>
        <v>170.91567789301067</v>
      </c>
      <c r="AP348" s="68"/>
      <c r="AQ348" s="69">
        <f ca="1">AD346</f>
        <v>6.575342465753424E-2</v>
      </c>
      <c r="AR348" s="68"/>
      <c r="AS348" s="80">
        <f t="shared" ref="AS348" ca="1" si="58">AK348*AQ348</f>
        <v>2.427582529775343E-4</v>
      </c>
      <c r="AT348" s="68"/>
      <c r="AU348" s="81">
        <v>0</v>
      </c>
      <c r="AW348" s="80">
        <v>0</v>
      </c>
      <c r="AY348" s="82">
        <f ca="1">AU348+AO348</f>
        <v>170.91567789301067</v>
      </c>
      <c r="BA348" s="83">
        <f ca="1">AW348+AS348</f>
        <v>2.427582529775343E-4</v>
      </c>
    </row>
    <row r="349" spans="9:53" x14ac:dyDescent="0.3"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 t="s">
        <v>208</v>
      </c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80"/>
      <c r="AP349" s="11"/>
      <c r="AQ349" s="69"/>
      <c r="AR349" s="11"/>
      <c r="AS349" s="80"/>
      <c r="AT349" s="11"/>
      <c r="AU349" s="81"/>
      <c r="AW349" s="80"/>
      <c r="AY349" s="83"/>
      <c r="BA349" s="83"/>
    </row>
    <row r="350" spans="9:53" x14ac:dyDescent="0.3"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76">
        <f ca="1">Prob_Min30_sma16 * RR_Min30_lar16_local</f>
        <v>1.35E-2</v>
      </c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>
        <f ca="1">O344*T348*Y350</f>
        <v>1.8121725000000003E-3</v>
      </c>
      <c r="AL350" s="11"/>
      <c r="AM350" s="67">
        <f ca="1">M343+R343</f>
        <v>10051.119020393675</v>
      </c>
      <c r="AN350" s="11"/>
      <c r="AO350" s="79">
        <f ca="1">AK350*AM350</f>
        <v>18.214361482984359</v>
      </c>
      <c r="AP350" s="68"/>
      <c r="AQ350" s="69">
        <f>0</f>
        <v>0</v>
      </c>
      <c r="AR350" s="68"/>
      <c r="AS350" s="80">
        <f t="shared" ref="AS350" ca="1" si="59">AK350*AQ350</f>
        <v>0</v>
      </c>
      <c r="AT350" s="68"/>
      <c r="AU350" s="81">
        <v>0</v>
      </c>
      <c r="AW350" s="80">
        <v>0</v>
      </c>
      <c r="AY350" s="82">
        <f ca="1">AU350+AO350</f>
        <v>18.214361482984359</v>
      </c>
      <c r="BA350" s="83">
        <f ca="1">AW350+AS350</f>
        <v>0</v>
      </c>
    </row>
    <row r="351" spans="9:53" x14ac:dyDescent="0.3"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80"/>
      <c r="AP351" s="11"/>
      <c r="AQ351" s="69"/>
      <c r="AR351" s="11"/>
      <c r="AS351" s="80"/>
      <c r="AT351" s="11"/>
      <c r="AU351" s="81"/>
      <c r="AW351" s="80"/>
      <c r="AY351" s="83"/>
      <c r="BA351" s="83"/>
    </row>
    <row r="352" spans="9:53" x14ac:dyDescent="0.3"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80"/>
      <c r="AP352" s="11"/>
      <c r="AQ352" s="69"/>
      <c r="AR352" s="11"/>
      <c r="AS352" s="80"/>
      <c r="AT352" s="11"/>
      <c r="AU352" s="81"/>
      <c r="AW352" s="80"/>
      <c r="AY352" s="83"/>
      <c r="BA352" s="83"/>
    </row>
    <row r="353" spans="9:53" x14ac:dyDescent="0.3"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 t="s">
        <v>196</v>
      </c>
      <c r="AG353" s="11"/>
      <c r="AH353" s="11"/>
      <c r="AI353" s="11"/>
      <c r="AJ353" s="11"/>
      <c r="AK353" s="11"/>
      <c r="AL353" s="11"/>
      <c r="AM353" s="11"/>
      <c r="AN353" s="11"/>
      <c r="AO353" s="80"/>
      <c r="AP353" s="11"/>
      <c r="AQ353" s="69"/>
      <c r="AR353" s="11"/>
      <c r="AS353" s="80"/>
      <c r="AT353" s="11"/>
      <c r="AU353" s="81"/>
      <c r="AW353" s="80"/>
      <c r="AY353" s="83"/>
      <c r="BA353" s="83"/>
    </row>
    <row r="354" spans="9:53" x14ac:dyDescent="0.3"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76">
        <f ca="1">(1 - Prob_Min1y_sma16)</f>
        <v>0.98299999999999998</v>
      </c>
      <c r="AG354" s="11"/>
      <c r="AH354" s="11"/>
      <c r="AI354" s="78">
        <f ca="1">U_sma16*((365-30)/365)</f>
        <v>0.73424657534246585</v>
      </c>
      <c r="AJ354" s="11"/>
      <c r="AK354" s="11">
        <f ca="1">O363*T358*Y356*AF354</f>
        <v>7.3828014467999983E-2</v>
      </c>
      <c r="AL354" s="11"/>
      <c r="AM354" s="67">
        <f ca="1">M342+M343+W357+AD355</f>
        <v>40686.485747655985</v>
      </c>
      <c r="AN354" s="11"/>
      <c r="AO354" s="79">
        <f ca="1">AK354*AM354</f>
        <v>3003.802458430021</v>
      </c>
      <c r="AP354" s="68"/>
      <c r="AQ354" s="69">
        <f ca="1">AD356+AI354</f>
        <v>0.8</v>
      </c>
      <c r="AR354" s="68"/>
      <c r="AS354" s="80">
        <f t="shared" ref="AS354" ca="1" si="60">AK354*AQ354</f>
        <v>5.9062411574399988E-2</v>
      </c>
      <c r="AT354" s="68"/>
      <c r="AU354" s="81">
        <f ca="1">AK354*Cst_sma16_life</f>
        <v>2342.4466467929747</v>
      </c>
      <c r="AW354" s="80">
        <f ca="1">AK354*QALY_sma16_life</f>
        <v>0.75350113286464815</v>
      </c>
      <c r="AY354" s="82">
        <f ca="1">AU354+AO354</f>
        <v>5346.2491052229961</v>
      </c>
      <c r="BA354" s="83">
        <f ca="1">AW354+AS354</f>
        <v>0.8125635444390481</v>
      </c>
    </row>
    <row r="355" spans="9:53" x14ac:dyDescent="0.3"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 t="s">
        <v>200</v>
      </c>
      <c r="Z355" s="11"/>
      <c r="AA355" s="11"/>
      <c r="AB355" s="11"/>
      <c r="AC355" s="11"/>
      <c r="AD355" s="77">
        <f ca="1">Cst_post_lar16_mtc</f>
        <v>36915.462885387984</v>
      </c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80"/>
      <c r="AP355" s="11"/>
      <c r="AQ355" s="69"/>
      <c r="AR355" s="11"/>
      <c r="AS355" s="80"/>
      <c r="AT355" s="11"/>
      <c r="AU355" s="81"/>
      <c r="AW355" s="80"/>
      <c r="AY355" s="83"/>
      <c r="BA355" s="83"/>
    </row>
    <row r="356" spans="9:53" x14ac:dyDescent="0.3"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76">
        <f ca="1">(1 - Prob_Min30_sma16)</f>
        <v>0.98799999999999999</v>
      </c>
      <c r="Z356" s="11"/>
      <c r="AA356" s="11"/>
      <c r="AB356" s="11"/>
      <c r="AC356" s="11"/>
      <c r="AD356" s="78">
        <f ca="1">U_sma16*(30/365)</f>
        <v>6.575342465753424E-2</v>
      </c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80"/>
      <c r="AP356" s="11"/>
      <c r="AQ356" s="69"/>
      <c r="AR356" s="11"/>
      <c r="AS356" s="80"/>
      <c r="AT356" s="11"/>
      <c r="AU356" s="81"/>
      <c r="AW356" s="80"/>
      <c r="AY356" s="83"/>
      <c r="BA356" s="83"/>
    </row>
    <row r="357" spans="9:53" x14ac:dyDescent="0.3"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 t="s">
        <v>219</v>
      </c>
      <c r="U357" s="11"/>
      <c r="V357" s="11"/>
      <c r="W357" s="77">
        <f>Cst_lar16_MTC</f>
        <v>3342</v>
      </c>
      <c r="X357" s="11"/>
      <c r="Y357" s="11"/>
      <c r="Z357" s="11"/>
      <c r="AA357" s="11"/>
      <c r="AB357" s="11"/>
      <c r="AC357" s="11"/>
      <c r="AD357" s="11"/>
      <c r="AE357" s="11"/>
      <c r="AF357" s="11" t="s">
        <v>201</v>
      </c>
      <c r="AG357" s="11"/>
      <c r="AH357" s="11"/>
      <c r="AI357" s="11"/>
      <c r="AJ357" s="11"/>
      <c r="AK357" s="11"/>
      <c r="AL357" s="11"/>
      <c r="AM357" s="11"/>
      <c r="AN357" s="11"/>
      <c r="AO357" s="80"/>
      <c r="AP357" s="11"/>
      <c r="AQ357" s="69"/>
      <c r="AR357" s="11"/>
      <c r="AS357" s="80"/>
      <c r="AT357" s="11"/>
      <c r="AU357" s="81"/>
      <c r="AW357" s="80"/>
      <c r="AY357" s="83"/>
      <c r="BA357" s="83"/>
    </row>
    <row r="358" spans="9:53" x14ac:dyDescent="0.3"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76">
        <f ca="1">(1-Prob_R6_spe)</f>
        <v>9.9999999999999978E-2</v>
      </c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76">
        <f ca="1">Prob_Min1y_sma16</f>
        <v>1.7000000000000001E-2</v>
      </c>
      <c r="AG358" s="11"/>
      <c r="AH358" s="11"/>
      <c r="AI358" s="11"/>
      <c r="AJ358" s="11"/>
      <c r="AK358" s="11">
        <f ca="1">O363*T358*Y356*AF358</f>
        <v>1.2767815319999999E-3</v>
      </c>
      <c r="AL358" s="11"/>
      <c r="AM358" s="67">
        <f ca="1">M342+M343+W357+AD355</f>
        <v>40686.485747655985</v>
      </c>
      <c r="AN358" s="11"/>
      <c r="AO358" s="79">
        <f ca="1">AK358*AM358</f>
        <v>51.947753604588371</v>
      </c>
      <c r="AP358" s="68"/>
      <c r="AQ358" s="69">
        <f ca="1">AD356</f>
        <v>6.575342465753424E-2</v>
      </c>
      <c r="AR358" s="68"/>
      <c r="AS358" s="80">
        <f t="shared" ref="AS358" ca="1" si="61">AK358*AQ358</f>
        <v>8.3952758268493133E-5</v>
      </c>
      <c r="AT358" s="68"/>
      <c r="AU358" s="81">
        <v>0</v>
      </c>
      <c r="AW358" s="80">
        <v>0</v>
      </c>
      <c r="AY358" s="82">
        <f ca="1">AU358+AO358</f>
        <v>51.947753604588371</v>
      </c>
      <c r="BA358" s="83">
        <f ca="1">AW358+AS358</f>
        <v>8.3952758268493133E-5</v>
      </c>
    </row>
    <row r="359" spans="9:53" x14ac:dyDescent="0.3">
      <c r="I359" s="11"/>
      <c r="J359" s="11"/>
      <c r="K359" s="11"/>
      <c r="L359" s="11"/>
      <c r="M359" s="65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 t="s">
        <v>202</v>
      </c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80"/>
      <c r="AP359" s="11"/>
      <c r="AQ359" s="69"/>
      <c r="AR359" s="11"/>
      <c r="AS359" s="80"/>
      <c r="AT359" s="11"/>
      <c r="AU359" s="81"/>
      <c r="AW359" s="80"/>
      <c r="AY359" s="83"/>
      <c r="BA359" s="83"/>
    </row>
    <row r="360" spans="9:53" x14ac:dyDescent="0.3">
      <c r="I360" s="11"/>
      <c r="J360" s="11"/>
      <c r="K360" s="11"/>
      <c r="L360" s="11"/>
      <c r="M360" s="65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76">
        <f ca="1">Prob_Min30_sma16</f>
        <v>1.2E-2</v>
      </c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>
        <f ca="1">O363*T358*Y360</f>
        <v>9.122039999999999E-4</v>
      </c>
      <c r="AL360" s="11"/>
      <c r="AM360" s="67">
        <f ca="1">M342+M343+W357</f>
        <v>3771.0228622680002</v>
      </c>
      <c r="AN360" s="11"/>
      <c r="AO360" s="79">
        <f ca="1">AK360*AM360</f>
        <v>3.4399421390523184</v>
      </c>
      <c r="AP360" s="68"/>
      <c r="AQ360" s="69">
        <f>0</f>
        <v>0</v>
      </c>
      <c r="AR360" s="68"/>
      <c r="AS360" s="80">
        <f t="shared" ref="AS360" ca="1" si="62">AK360*AQ360</f>
        <v>0</v>
      </c>
      <c r="AT360" s="68"/>
      <c r="AU360" s="81">
        <v>0</v>
      </c>
      <c r="AW360" s="80">
        <v>0</v>
      </c>
      <c r="AY360" s="82">
        <f ca="1">AU360+AO360</f>
        <v>3.4399421390523184</v>
      </c>
      <c r="BA360" s="83">
        <f ca="1">AW360+AS360</f>
        <v>0</v>
      </c>
    </row>
    <row r="361" spans="9:53" x14ac:dyDescent="0.3">
      <c r="I361" s="11"/>
      <c r="J361" s="11"/>
      <c r="K361" s="11"/>
      <c r="L361" s="11"/>
      <c r="M361" s="65"/>
      <c r="N361" s="11"/>
      <c r="O361" s="11" t="s">
        <v>214</v>
      </c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80"/>
      <c r="AP361" s="11"/>
      <c r="AQ361" s="69"/>
      <c r="AR361" s="11"/>
      <c r="AS361" s="80"/>
      <c r="AT361" s="11"/>
      <c r="AU361" s="81"/>
      <c r="AW361" s="80"/>
      <c r="AY361" s="83"/>
      <c r="BA361" s="83"/>
    </row>
    <row r="362" spans="9:53" x14ac:dyDescent="0.3">
      <c r="I362" s="11"/>
      <c r="J362" s="11"/>
      <c r="K362" s="11"/>
      <c r="L362" s="11"/>
      <c r="M362" s="65"/>
      <c r="N362" s="11"/>
      <c r="O362" s="11" t="s">
        <v>215</v>
      </c>
      <c r="P362" s="11"/>
      <c r="Q362" s="11"/>
      <c r="R362" s="77">
        <f ca="1">Cst_sma9_hosp</f>
        <v>10365.078230981773</v>
      </c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 t="s">
        <v>205</v>
      </c>
      <c r="AG362" s="11"/>
      <c r="AH362" s="11"/>
      <c r="AI362" s="11"/>
      <c r="AJ362" s="11"/>
      <c r="AK362" s="11"/>
      <c r="AL362" s="11"/>
      <c r="AM362" s="11"/>
      <c r="AN362" s="11"/>
      <c r="AO362" s="80"/>
      <c r="AP362" s="11"/>
      <c r="AQ362" s="69"/>
      <c r="AR362" s="11"/>
      <c r="AS362" s="80"/>
      <c r="AT362" s="11"/>
      <c r="AU362" s="81"/>
      <c r="AW362" s="80"/>
      <c r="AY362" s="83"/>
      <c r="BA362" s="83"/>
    </row>
    <row r="363" spans="9:53" x14ac:dyDescent="0.3">
      <c r="I363" s="11"/>
      <c r="J363" s="11"/>
      <c r="K363" s="11"/>
      <c r="L363" s="11"/>
      <c r="M363" s="65"/>
      <c r="N363" s="11"/>
      <c r="O363" s="76">
        <f>Prob_ISS_sma9</f>
        <v>0.76017000000000001</v>
      </c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76">
        <f ca="1">(1 - Prob_Min1y_sma16 * RR_Min1y_lar16_local)</f>
        <v>0.97211999999999998</v>
      </c>
      <c r="AG363" s="11"/>
      <c r="AH363" s="11"/>
      <c r="AI363" s="78">
        <f ca="1">U_sma16*((365-30)/365)</f>
        <v>0.73424657534246585</v>
      </c>
      <c r="AJ363" s="11"/>
      <c r="AK363" s="11">
        <f ca="1">O363*T367*Y365*AF363</f>
        <v>0.65610025036613995</v>
      </c>
      <c r="AL363" s="11"/>
      <c r="AM363" s="67">
        <f ca="1">M343+R362+AD364</f>
        <v>47037.149258881684</v>
      </c>
      <c r="AN363" s="11"/>
      <c r="AO363" s="79">
        <f ca="1">AK363*AM363</f>
        <v>30861.085405261765</v>
      </c>
      <c r="AP363" s="11"/>
      <c r="AQ363" s="69">
        <f ca="1">AD365+AI363</f>
        <v>0.8</v>
      </c>
      <c r="AR363" s="11"/>
      <c r="AS363" s="80">
        <f t="shared" ref="AS363" ca="1" si="63">AK363*AQ363</f>
        <v>0.52488020029291194</v>
      </c>
      <c r="AT363" s="11"/>
      <c r="AU363" s="81">
        <f ca="1">AK363*Cst_sma16_life</f>
        <v>20817.027824801396</v>
      </c>
      <c r="AW363" s="80">
        <f ca="1">AK363*QALY_sma16_life</f>
        <v>6.6962695053643424</v>
      </c>
      <c r="AY363" s="82">
        <f ca="1">AU363+AO363</f>
        <v>51678.113230063158</v>
      </c>
      <c r="BA363" s="83">
        <f ca="1">AW363+AS363</f>
        <v>7.221149705657254</v>
      </c>
    </row>
    <row r="364" spans="9:53" x14ac:dyDescent="0.3">
      <c r="I364" s="11"/>
      <c r="J364" s="11"/>
      <c r="K364" s="11"/>
      <c r="L364" s="11"/>
      <c r="M364" s="65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 t="s">
        <v>206</v>
      </c>
      <c r="Z364" s="11"/>
      <c r="AA364" s="11"/>
      <c r="AB364" s="11"/>
      <c r="AC364" s="11"/>
      <c r="AD364" s="77">
        <f ca="1">Cst_post_lar16_local</f>
        <v>36243.04816563191</v>
      </c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80"/>
      <c r="AP364" s="11"/>
      <c r="AQ364" s="69"/>
      <c r="AR364" s="11"/>
      <c r="AS364" s="80"/>
      <c r="AT364" s="11"/>
      <c r="AU364" s="81"/>
      <c r="AW364" s="80"/>
      <c r="AY364" s="83"/>
      <c r="BA364" s="83"/>
    </row>
    <row r="365" spans="9:53" x14ac:dyDescent="0.3">
      <c r="I365" s="11"/>
      <c r="J365" s="11"/>
      <c r="K365" s="11"/>
      <c r="L365" s="11"/>
      <c r="M365" s="65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76">
        <f ca="1">(1 - Prob_Min30_sma16 * RR_Min30_lar16_local)</f>
        <v>0.98650000000000004</v>
      </c>
      <c r="Z365" s="11"/>
      <c r="AA365" s="11"/>
      <c r="AB365" s="11"/>
      <c r="AC365" s="11"/>
      <c r="AD365" s="78">
        <f ca="1">U_sma16*(30/365)</f>
        <v>6.575342465753424E-2</v>
      </c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80"/>
      <c r="AP365" s="11"/>
      <c r="AQ365" s="69"/>
      <c r="AR365" s="11"/>
      <c r="AS365" s="80"/>
      <c r="AT365" s="11"/>
      <c r="AU365" s="81"/>
      <c r="AW365" s="80"/>
      <c r="AY365" s="83"/>
      <c r="BA365" s="83"/>
    </row>
    <row r="366" spans="9:53" x14ac:dyDescent="0.3">
      <c r="I366" s="11"/>
      <c r="J366" s="11"/>
      <c r="K366" s="11"/>
      <c r="L366" s="11"/>
      <c r="M366" s="65"/>
      <c r="N366" s="11"/>
      <c r="O366" s="11"/>
      <c r="P366" s="11"/>
      <c r="Q366" s="11"/>
      <c r="R366" s="11"/>
      <c r="S366" s="11"/>
      <c r="T366" s="11" t="s">
        <v>220</v>
      </c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 t="s">
        <v>207</v>
      </c>
      <c r="AG366" s="11"/>
      <c r="AH366" s="11"/>
      <c r="AI366" s="11"/>
      <c r="AJ366" s="11"/>
      <c r="AK366" s="11"/>
      <c r="AL366" s="11"/>
      <c r="AM366" s="11"/>
      <c r="AN366" s="11"/>
      <c r="AO366" s="80"/>
      <c r="AP366" s="11"/>
      <c r="AQ366" s="69"/>
      <c r="AR366" s="11"/>
      <c r="AS366" s="80"/>
      <c r="AT366" s="11"/>
      <c r="AU366" s="81"/>
      <c r="AW366" s="80"/>
      <c r="AY366" s="83"/>
      <c r="BA366" s="83"/>
    </row>
    <row r="367" spans="9:53" x14ac:dyDescent="0.3">
      <c r="I367" s="11"/>
      <c r="J367" s="11"/>
      <c r="K367" s="11"/>
      <c r="L367" s="11"/>
      <c r="M367" s="65"/>
      <c r="N367" s="11"/>
      <c r="O367" s="11"/>
      <c r="P367" s="11"/>
      <c r="Q367" s="11"/>
      <c r="R367" s="11"/>
      <c r="S367" s="11"/>
      <c r="T367" s="76">
        <f ca="1" xml:space="preserve"> Prob_R6_spe</f>
        <v>0.9</v>
      </c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76">
        <f ca="1">Prob_Min1y_sma16 * RR_Min1y_lar16_local</f>
        <v>2.7880000000000002E-2</v>
      </c>
      <c r="AG367" s="11"/>
      <c r="AH367" s="11"/>
      <c r="AI367" s="11"/>
      <c r="AJ367" s="11"/>
      <c r="AK367" s="11">
        <f ca="1">O363*T367*Y365*AF367</f>
        <v>1.8816684133860003E-2</v>
      </c>
      <c r="AL367" s="11"/>
      <c r="AM367" s="67">
        <f ca="1">M343+R362+AD364</f>
        <v>47037.149258881684</v>
      </c>
      <c r="AN367" s="11"/>
      <c r="AO367" s="79">
        <f ca="1">AK367*AM367</f>
        <v>885.08318016160376</v>
      </c>
      <c r="AP367" s="11"/>
      <c r="AQ367" s="69">
        <f ca="1">AD365</f>
        <v>6.575342465753424E-2</v>
      </c>
      <c r="AR367" s="11"/>
      <c r="AS367" s="80">
        <f t="shared" ref="AS367" ca="1" si="64">AK367*AQ367</f>
        <v>1.2372614225003836E-3</v>
      </c>
      <c r="AT367" s="11"/>
      <c r="AU367" s="81">
        <v>0</v>
      </c>
      <c r="AW367" s="80">
        <v>0</v>
      </c>
      <c r="AY367" s="82">
        <f ca="1">AU367+AO367</f>
        <v>885.08318016160376</v>
      </c>
      <c r="BA367" s="83">
        <f ca="1">AW367+AS367</f>
        <v>1.2372614225003836E-3</v>
      </c>
    </row>
    <row r="368" spans="9:53" x14ac:dyDescent="0.3">
      <c r="I368" s="11"/>
      <c r="J368" s="11"/>
      <c r="K368" s="11"/>
      <c r="L368" s="11"/>
      <c r="M368" s="65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 t="s">
        <v>208</v>
      </c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80"/>
      <c r="AP368" s="11"/>
      <c r="AQ368" s="69"/>
      <c r="AR368" s="11"/>
      <c r="AS368" s="80"/>
      <c r="AT368" s="11"/>
      <c r="AU368" s="81"/>
      <c r="AW368" s="80"/>
      <c r="AY368" s="83"/>
      <c r="BA368" s="83"/>
    </row>
    <row r="369" spans="9:53" x14ac:dyDescent="0.3">
      <c r="I369" s="11"/>
      <c r="J369" s="11"/>
      <c r="K369" s="11"/>
      <c r="L369" s="11"/>
      <c r="M369" s="65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76">
        <f ca="1">Prob_Min30_sma16 * RR_Min30_lar16_local</f>
        <v>1.35E-2</v>
      </c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>
        <f ca="1">O363*T367*Y369</f>
        <v>9.2360654999999996E-3</v>
      </c>
      <c r="AL369" s="11"/>
      <c r="AM369" s="67">
        <f ca="1">M343+R362</f>
        <v>10794.101093249774</v>
      </c>
      <c r="AN369" s="11"/>
      <c r="AO369" s="79">
        <f ca="1">AK369*AM369</f>
        <v>99.69502471087651</v>
      </c>
      <c r="AP369" s="11"/>
      <c r="AQ369" s="69">
        <f>0</f>
        <v>0</v>
      </c>
      <c r="AR369" s="11"/>
      <c r="AS369" s="80">
        <f t="shared" ref="AS369" ca="1" si="65">AK369*AQ369</f>
        <v>0</v>
      </c>
      <c r="AT369" s="11"/>
      <c r="AU369" s="81">
        <v>0</v>
      </c>
      <c r="AW369" s="80">
        <v>0</v>
      </c>
      <c r="AY369" s="82">
        <f ca="1">AU369+AO369</f>
        <v>99.69502471087651</v>
      </c>
      <c r="BA369" s="83">
        <f ca="1">AW369+AS369</f>
        <v>0</v>
      </c>
    </row>
    <row r="370" spans="9:53" x14ac:dyDescent="0.3"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69"/>
      <c r="AR370" s="11"/>
      <c r="AS370" s="11"/>
      <c r="AT370" s="11"/>
      <c r="AU370" s="36"/>
    </row>
    <row r="371" spans="9:53" x14ac:dyDescent="0.3"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69"/>
      <c r="AR371" s="11"/>
      <c r="AS371" s="11"/>
      <c r="AT371" s="11"/>
      <c r="AU371" s="36"/>
    </row>
  </sheetData>
  <mergeCells count="54">
    <mergeCell ref="AU316:AV316"/>
    <mergeCell ref="AW316:AX316"/>
    <mergeCell ref="AY316:AZ316"/>
    <mergeCell ref="BA316:BB316"/>
    <mergeCell ref="AK316:AL316"/>
    <mergeCell ref="AM316:AN316"/>
    <mergeCell ref="AO316:AP316"/>
    <mergeCell ref="AQ316:AR316"/>
    <mergeCell ref="AS316:AT316"/>
    <mergeCell ref="AY197:AZ197"/>
    <mergeCell ref="BA197:BB197"/>
    <mergeCell ref="AK257:AL257"/>
    <mergeCell ref="AM257:AN257"/>
    <mergeCell ref="AO257:AP257"/>
    <mergeCell ref="AQ257:AR257"/>
    <mergeCell ref="AS257:AT257"/>
    <mergeCell ref="AU257:AV257"/>
    <mergeCell ref="AW257:AX257"/>
    <mergeCell ref="AY257:AZ257"/>
    <mergeCell ref="BA257:BB257"/>
    <mergeCell ref="AW137:AX137"/>
    <mergeCell ref="AY137:AZ137"/>
    <mergeCell ref="BA137:BB137"/>
    <mergeCell ref="AK197:AL197"/>
    <mergeCell ref="AM197:AN197"/>
    <mergeCell ref="AO197:AP197"/>
    <mergeCell ref="AQ197:AR197"/>
    <mergeCell ref="AS197:AT197"/>
    <mergeCell ref="AU197:AV197"/>
    <mergeCell ref="AW197:AX197"/>
    <mergeCell ref="AK137:AL137"/>
    <mergeCell ref="AM137:AN137"/>
    <mergeCell ref="AO137:AP137"/>
    <mergeCell ref="AQ137:AR137"/>
    <mergeCell ref="AS137:AT137"/>
    <mergeCell ref="AU137:AV137"/>
    <mergeCell ref="AY75:AZ75"/>
    <mergeCell ref="BA75:BB75"/>
    <mergeCell ref="AK75:AL75"/>
    <mergeCell ref="AM75:AN75"/>
    <mergeCell ref="AO75:AP75"/>
    <mergeCell ref="AQ75:AR75"/>
    <mergeCell ref="AS75:AT75"/>
    <mergeCell ref="AU75:AV75"/>
    <mergeCell ref="AW75:AX75"/>
    <mergeCell ref="AW16:AX16"/>
    <mergeCell ref="AY16:AZ16"/>
    <mergeCell ref="BA16:BB16"/>
    <mergeCell ref="AK16:AL16"/>
    <mergeCell ref="AM16:AN16"/>
    <mergeCell ref="AO16:AP16"/>
    <mergeCell ref="AQ16:AR16"/>
    <mergeCell ref="AS16:AT16"/>
    <mergeCell ref="AU16:AV16"/>
  </mergeCells>
  <phoneticPr fontId="6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55BC1-997D-40FE-8B87-E26662BE13E7}">
  <sheetPr codeName="Sheet7"/>
  <dimension ref="A1:AT366"/>
  <sheetViews>
    <sheetView zoomScale="52" zoomScaleNormal="52" workbookViewId="0">
      <selection activeCell="O19" sqref="O19"/>
    </sheetView>
  </sheetViews>
  <sheetFormatPr defaultRowHeight="14.5" x14ac:dyDescent="0.3"/>
  <cols>
    <col min="2" max="2" width="9.69921875" customWidth="1"/>
    <col min="3" max="3" width="12.296875" customWidth="1"/>
    <col min="4" max="4" width="12.09765625" bestFit="1" customWidth="1"/>
    <col min="5" max="5" width="12.09765625" customWidth="1"/>
    <col min="9" max="9" width="11.8984375" bestFit="1" customWidth="1"/>
    <col min="19" max="19" width="11.59765625" bestFit="1" customWidth="1"/>
    <col min="21" max="21" width="8.8984375" bestFit="1" customWidth="1"/>
    <col min="34" max="34" width="11.59765625" bestFit="1" customWidth="1"/>
    <col min="36" max="36" width="8.8984375" bestFit="1" customWidth="1"/>
  </cols>
  <sheetData>
    <row r="1" spans="1:46" ht="23" x14ac:dyDescent="0.5">
      <c r="A1" s="50" t="s">
        <v>173</v>
      </c>
      <c r="H1" s="27"/>
      <c r="I1" s="27"/>
    </row>
    <row r="2" spans="1:46" ht="15" thickBot="1" x14ac:dyDescent="0.35">
      <c r="D2" s="2"/>
      <c r="E2" s="2"/>
      <c r="G2" s="46"/>
      <c r="I2" s="11"/>
      <c r="J2" s="11"/>
      <c r="P2" s="11"/>
      <c r="Q2" s="46"/>
      <c r="V2" s="11"/>
      <c r="W2" s="11"/>
      <c r="X2" s="11"/>
    </row>
    <row r="3" spans="1:46" ht="16" thickBot="1" x14ac:dyDescent="0.35">
      <c r="A3" s="35"/>
      <c r="B3" s="98" t="s">
        <v>121</v>
      </c>
      <c r="C3" s="73" t="s">
        <v>246</v>
      </c>
      <c r="D3" s="99" t="s">
        <v>247</v>
      </c>
      <c r="E3" s="11"/>
      <c r="F3" s="129"/>
      <c r="G3" s="130" t="s">
        <v>248</v>
      </c>
      <c r="H3" s="131">
        <v>3.5000000000000003E-2</v>
      </c>
      <c r="I3" s="11"/>
      <c r="J3" s="103" t="s">
        <v>225</v>
      </c>
      <c r="K3" s="71"/>
      <c r="L3" s="71" t="s">
        <v>226</v>
      </c>
      <c r="M3" s="71"/>
      <c r="N3" s="70"/>
      <c r="V3" s="11"/>
      <c r="W3" s="11"/>
      <c r="X3" s="11"/>
      <c r="AB3" s="35"/>
      <c r="AC3" s="27"/>
      <c r="AD3" s="27"/>
    </row>
    <row r="4" spans="1:46" ht="16" thickBot="1" x14ac:dyDescent="0.35">
      <c r="A4" s="27"/>
      <c r="B4" s="100" t="s">
        <v>191</v>
      </c>
      <c r="C4" s="11">
        <f ca="1">Cst_lar16_life</f>
        <v>43760.878988950091</v>
      </c>
      <c r="D4" s="41">
        <f ca="1">QALY_lar16_life</f>
        <v>5.4457982741804551</v>
      </c>
      <c r="E4" s="11"/>
      <c r="F4" s="114" t="s">
        <v>222</v>
      </c>
      <c r="G4" s="115"/>
      <c r="H4" s="116"/>
      <c r="I4" s="11"/>
      <c r="J4" s="104" t="s">
        <v>228</v>
      </c>
      <c r="K4" s="72"/>
      <c r="L4" s="72" t="s">
        <v>249</v>
      </c>
      <c r="M4" s="72"/>
      <c r="N4" s="44"/>
      <c r="V4" s="11"/>
      <c r="W4" s="11"/>
      <c r="X4" s="11"/>
      <c r="AB4" s="27"/>
    </row>
    <row r="5" spans="1:46" ht="16" thickBot="1" x14ac:dyDescent="0.35">
      <c r="A5" s="27"/>
      <c r="B5" s="101" t="s">
        <v>193</v>
      </c>
      <c r="C5" s="72">
        <f ca="1">Cst_sma16_life</f>
        <v>31728.425363630562</v>
      </c>
      <c r="D5" s="44">
        <f ca="1">QALY_sma16_life</f>
        <v>10.206168190954745</v>
      </c>
      <c r="E5" s="11"/>
      <c r="F5" s="117"/>
      <c r="G5" s="118" t="s">
        <v>177</v>
      </c>
      <c r="H5" s="119" t="s">
        <v>178</v>
      </c>
      <c r="I5" s="36"/>
      <c r="J5" s="11"/>
      <c r="K5" s="11"/>
      <c r="L5" s="11"/>
      <c r="M5" s="11"/>
      <c r="N5" s="11"/>
      <c r="P5" s="11"/>
      <c r="Q5" s="11"/>
      <c r="V5" s="11"/>
      <c r="W5" s="11"/>
      <c r="X5" s="11"/>
      <c r="AB5" s="27"/>
    </row>
    <row r="6" spans="1:46" ht="15.5" x14ac:dyDescent="0.3">
      <c r="A6" s="27"/>
      <c r="B6" s="11"/>
      <c r="C6" s="11"/>
      <c r="D6" s="11"/>
      <c r="E6" s="11"/>
      <c r="F6" s="117" t="s">
        <v>177</v>
      </c>
      <c r="G6" s="118" t="s">
        <v>224</v>
      </c>
      <c r="H6" s="119" t="s">
        <v>227</v>
      </c>
      <c r="I6" s="11"/>
      <c r="J6" s="123" t="s">
        <v>221</v>
      </c>
      <c r="K6" s="124"/>
      <c r="L6" s="11"/>
      <c r="M6" s="11"/>
      <c r="N6" s="11"/>
      <c r="P6" s="27"/>
      <c r="Q6" s="11"/>
    </row>
    <row r="7" spans="1:46" ht="16" thickBot="1" x14ac:dyDescent="0.35">
      <c r="A7" s="27"/>
      <c r="B7" s="11"/>
      <c r="C7" s="11"/>
      <c r="D7" s="11"/>
      <c r="E7" s="11"/>
      <c r="F7" s="120" t="s">
        <v>178</v>
      </c>
      <c r="G7" s="121">
        <v>0</v>
      </c>
      <c r="H7" s="122">
        <v>1</v>
      </c>
      <c r="I7" s="11"/>
      <c r="J7" s="125" t="s">
        <v>191</v>
      </c>
      <c r="K7" s="126">
        <f ca="1">HR_lar16</f>
        <v>5.19</v>
      </c>
      <c r="L7" s="11"/>
      <c r="M7" s="11"/>
      <c r="N7" s="11"/>
      <c r="P7" s="11"/>
      <c r="Q7" s="69"/>
      <c r="V7" s="102"/>
      <c r="W7" s="11"/>
    </row>
    <row r="8" spans="1:46" ht="16" thickBot="1" x14ac:dyDescent="0.35">
      <c r="A8" s="27"/>
      <c r="B8" s="11"/>
      <c r="C8" s="11"/>
      <c r="D8" s="11"/>
      <c r="E8" s="102"/>
      <c r="F8" s="11"/>
      <c r="G8" s="11"/>
      <c r="H8" s="11"/>
      <c r="I8" s="11"/>
      <c r="J8" s="127" t="s">
        <v>193</v>
      </c>
      <c r="K8" s="128">
        <f ca="1">HR_sma16</f>
        <v>1.38</v>
      </c>
      <c r="L8" s="11"/>
      <c r="M8" s="11"/>
      <c r="N8" s="11"/>
    </row>
    <row r="9" spans="1:46" ht="15.5" x14ac:dyDescent="0.3">
      <c r="A9" s="27"/>
      <c r="B9" s="11"/>
      <c r="C9" s="11"/>
      <c r="D9" s="11"/>
      <c r="E9" s="102"/>
      <c r="F9" s="11"/>
      <c r="G9" s="11"/>
      <c r="H9" s="11"/>
      <c r="I9" s="11"/>
      <c r="J9" s="11"/>
      <c r="K9" s="11"/>
      <c r="L9" s="11"/>
      <c r="M9" s="11"/>
      <c r="N9" s="11"/>
    </row>
    <row r="10" spans="1:46" ht="16" thickBot="1" x14ac:dyDescent="0.35">
      <c r="F10" s="102"/>
      <c r="G10" s="11"/>
      <c r="H10" s="11"/>
      <c r="AB10" s="27"/>
      <c r="AN10" s="27"/>
    </row>
    <row r="11" spans="1:46" ht="16" thickBot="1" x14ac:dyDescent="0.4">
      <c r="H11" s="39"/>
      <c r="I11" s="71"/>
      <c r="J11" s="71"/>
      <c r="K11" s="71"/>
      <c r="L11" s="71"/>
      <c r="M11" s="71"/>
      <c r="N11" s="71"/>
      <c r="O11" s="71"/>
      <c r="P11" s="71"/>
      <c r="Q11" s="71"/>
      <c r="R11" s="112" t="s">
        <v>233</v>
      </c>
      <c r="S11" s="112">
        <f ca="1">SUM(S15:S51)</f>
        <v>43760.878988950091</v>
      </c>
      <c r="T11" s="112" t="s">
        <v>234</v>
      </c>
      <c r="U11" s="113">
        <f ca="1">SUM(U15:U51)</f>
        <v>5.4457982741804551</v>
      </c>
      <c r="V11" s="11"/>
      <c r="W11" s="39"/>
      <c r="X11" s="71"/>
      <c r="Y11" s="71"/>
      <c r="Z11" s="71"/>
      <c r="AA11" s="71"/>
      <c r="AB11" s="71"/>
      <c r="AC11" s="71"/>
      <c r="AD11" s="71"/>
      <c r="AE11" s="71"/>
      <c r="AF11" s="71"/>
      <c r="AG11" s="112" t="s">
        <v>235</v>
      </c>
      <c r="AH11" s="112">
        <f ca="1">SUM(AH15:AH51)</f>
        <v>31728.425363630562</v>
      </c>
      <c r="AI11" s="112" t="s">
        <v>236</v>
      </c>
      <c r="AJ11" s="113">
        <f ca="1">SUM(AJ15:AJ51)</f>
        <v>10.206168190954745</v>
      </c>
      <c r="AN11" s="27"/>
    </row>
    <row r="12" spans="1:46" ht="23.5" thickBot="1" x14ac:dyDescent="0.55000000000000004">
      <c r="A12" s="50" t="s">
        <v>179</v>
      </c>
      <c r="H12" s="111" t="s">
        <v>191</v>
      </c>
      <c r="I12" s="11"/>
      <c r="J12" s="205" t="s">
        <v>192</v>
      </c>
      <c r="K12" s="206"/>
      <c r="L12" s="206"/>
      <c r="M12" s="207"/>
      <c r="N12" s="11"/>
      <c r="O12" s="202" t="s">
        <v>230</v>
      </c>
      <c r="P12" s="203"/>
      <c r="Q12" s="204"/>
      <c r="R12" s="199" t="s">
        <v>194</v>
      </c>
      <c r="S12" s="200"/>
      <c r="T12" s="208" t="s">
        <v>195</v>
      </c>
      <c r="U12" s="209"/>
      <c r="V12" s="11"/>
      <c r="W12" s="111" t="s">
        <v>193</v>
      </c>
      <c r="X12" s="11"/>
      <c r="Y12" s="205" t="s">
        <v>192</v>
      </c>
      <c r="Z12" s="206"/>
      <c r="AA12" s="206"/>
      <c r="AB12" s="207"/>
      <c r="AC12" s="11"/>
      <c r="AD12" s="202" t="s">
        <v>230</v>
      </c>
      <c r="AE12" s="203"/>
      <c r="AF12" s="204"/>
      <c r="AG12" s="199" t="s">
        <v>194</v>
      </c>
      <c r="AH12" s="200"/>
      <c r="AI12" s="199" t="s">
        <v>195</v>
      </c>
      <c r="AJ12" s="200"/>
    </row>
    <row r="13" spans="1:46" ht="15.5" x14ac:dyDescent="0.3">
      <c r="B13" s="25" t="s">
        <v>118</v>
      </c>
      <c r="C13" s="25" t="s">
        <v>60</v>
      </c>
      <c r="D13" s="25" t="s">
        <v>61</v>
      </c>
      <c r="E13" s="54" t="s">
        <v>229</v>
      </c>
      <c r="H13" s="74" t="s">
        <v>118</v>
      </c>
      <c r="I13" s="25" t="s">
        <v>227</v>
      </c>
      <c r="J13" s="7" t="s">
        <v>119</v>
      </c>
      <c r="K13" s="7" t="s">
        <v>58</v>
      </c>
      <c r="L13" s="7" t="s">
        <v>59</v>
      </c>
      <c r="M13" s="7" t="s">
        <v>223</v>
      </c>
      <c r="N13" s="25"/>
      <c r="O13" s="7" t="s">
        <v>58</v>
      </c>
      <c r="P13" s="7" t="s">
        <v>59</v>
      </c>
      <c r="Q13" s="7" t="s">
        <v>223</v>
      </c>
      <c r="R13" s="7" t="s">
        <v>231</v>
      </c>
      <c r="S13" s="7" t="s">
        <v>232</v>
      </c>
      <c r="T13" s="25" t="s">
        <v>231</v>
      </c>
      <c r="U13" s="105" t="s">
        <v>232</v>
      </c>
      <c r="V13" s="27"/>
      <c r="W13" s="74" t="s">
        <v>118</v>
      </c>
      <c r="X13" s="25" t="s">
        <v>227</v>
      </c>
      <c r="Y13" s="7" t="s">
        <v>119</v>
      </c>
      <c r="Z13" s="7" t="s">
        <v>58</v>
      </c>
      <c r="AA13" s="7" t="s">
        <v>59</v>
      </c>
      <c r="AB13" s="7" t="s">
        <v>223</v>
      </c>
      <c r="AC13" s="25"/>
      <c r="AD13" s="7" t="s">
        <v>58</v>
      </c>
      <c r="AE13" s="7" t="s">
        <v>59</v>
      </c>
      <c r="AF13" s="7" t="s">
        <v>223</v>
      </c>
      <c r="AG13" s="7" t="s">
        <v>231</v>
      </c>
      <c r="AH13" s="7" t="s">
        <v>232</v>
      </c>
      <c r="AI13" s="7" t="s">
        <v>231</v>
      </c>
      <c r="AJ13" s="110" t="s">
        <v>232</v>
      </c>
      <c r="AK13" s="27"/>
      <c r="AL13" s="27"/>
      <c r="AM13" s="27"/>
      <c r="AN13" s="27"/>
      <c r="AO13" s="27"/>
      <c r="AP13" s="27"/>
      <c r="AQ13" s="27"/>
      <c r="AR13" s="27"/>
      <c r="AS13" s="27"/>
      <c r="AT13" s="27"/>
    </row>
    <row r="14" spans="1:46" ht="15.5" x14ac:dyDescent="0.35">
      <c r="B14" s="8">
        <v>63</v>
      </c>
      <c r="C14" s="9">
        <v>1.0992E-2</v>
      </c>
      <c r="D14" s="9">
        <v>7.1320000000000003E-3</v>
      </c>
      <c r="E14" s="9">
        <f>C14*0.6+D14*0.4</f>
        <v>9.4479999999999998E-3</v>
      </c>
      <c r="G14" s="55"/>
      <c r="H14" s="132">
        <v>63</v>
      </c>
      <c r="I14" s="53">
        <f t="shared" ref="I14:I51" ca="1" si="0">1-((1-E14)^HR_lar16)</f>
        <v>4.8074240889697251E-2</v>
      </c>
      <c r="J14" s="8">
        <v>0</v>
      </c>
      <c r="K14" s="11">
        <v>1</v>
      </c>
      <c r="L14" s="11">
        <v>0</v>
      </c>
      <c r="M14" s="11"/>
      <c r="N14" s="11"/>
      <c r="O14" s="11"/>
      <c r="P14" s="11"/>
      <c r="Q14" s="11"/>
      <c r="R14" s="11"/>
      <c r="S14" s="11"/>
      <c r="T14" s="11"/>
      <c r="U14" s="41"/>
      <c r="V14" s="11"/>
      <c r="W14" s="132">
        <v>63</v>
      </c>
      <c r="X14" s="53">
        <f t="shared" ref="X14:X51" ca="1" si="1">1-((1-E14)^HR_sma16)</f>
        <v>1.3014788918177533E-2</v>
      </c>
      <c r="Y14" s="8">
        <v>0</v>
      </c>
      <c r="Z14" s="11">
        <v>1</v>
      </c>
      <c r="AA14" s="11">
        <v>0</v>
      </c>
      <c r="AB14" s="11"/>
      <c r="AC14" s="11"/>
      <c r="AD14" s="11"/>
      <c r="AE14" s="11"/>
      <c r="AF14" s="11"/>
      <c r="AG14" s="11"/>
      <c r="AH14" s="11"/>
      <c r="AI14" s="11"/>
      <c r="AJ14" s="41"/>
    </row>
    <row r="15" spans="1:46" ht="15.5" x14ac:dyDescent="0.35">
      <c r="B15" s="8">
        <v>64</v>
      </c>
      <c r="C15" s="9">
        <v>1.1806000000000001E-2</v>
      </c>
      <c r="D15" s="9">
        <v>7.7879999999999998E-3</v>
      </c>
      <c r="E15" s="9">
        <f t="shared" ref="E15:E51" si="2">C15*0.6+D15*0.4</f>
        <v>1.0198800000000001E-2</v>
      </c>
      <c r="G15" s="55"/>
      <c r="H15" s="106">
        <v>64</v>
      </c>
      <c r="I15" s="53">
        <f t="shared" ca="1" si="0"/>
        <v>5.1813002728626545E-2</v>
      </c>
      <c r="J15" s="8">
        <v>1</v>
      </c>
      <c r="K15" s="11">
        <f ca="1">K14-K14*I14</f>
        <v>0.95192575911030275</v>
      </c>
      <c r="L15" s="11">
        <f ca="1">K14*I14+0</f>
        <v>4.8074240889697251E-2</v>
      </c>
      <c r="M15" s="11">
        <f ca="1">K15+L15</f>
        <v>1</v>
      </c>
      <c r="N15" s="11"/>
      <c r="O15" s="11">
        <f ca="1">AVERAGE(K14:K15)</f>
        <v>0.97596287955515137</v>
      </c>
      <c r="P15" s="11">
        <f ca="1">AVERAGE(L14:L15)</f>
        <v>2.4037120444848625E-2</v>
      </c>
      <c r="Q15" s="11">
        <f ca="1">O15+P15</f>
        <v>1</v>
      </c>
      <c r="R15" s="11">
        <f t="shared" ref="R15:R51" ca="1" si="3">Cst_ann_lar16*O15</f>
        <v>5489.7911974977269</v>
      </c>
      <c r="S15" s="11">
        <f t="shared" ref="S15:S51" ca="1" si="4">R15*1/(1+dis_rt)^J15</f>
        <v>5304.1460845388674</v>
      </c>
      <c r="T15" s="11">
        <f t="shared" ref="T15:T51" ca="1" si="5">U_lar16*O15</f>
        <v>0.68317401568860592</v>
      </c>
      <c r="U15" s="41">
        <f t="shared" ref="U15:U51" ca="1" si="6">T15*1/(1+dis_rt)^J15</f>
        <v>0.66007151274261444</v>
      </c>
      <c r="V15" s="11"/>
      <c r="W15" s="106">
        <v>64</v>
      </c>
      <c r="X15" s="53">
        <f t="shared" ca="1" si="1"/>
        <v>1.4047013407115561E-2</v>
      </c>
      <c r="Y15" s="8">
        <v>1</v>
      </c>
      <c r="Z15" s="11">
        <f ca="1">Z14-Z14*X14</f>
        <v>0.98698521108182247</v>
      </c>
      <c r="AA15" s="11">
        <f ca="1">Z14*X14+0</f>
        <v>1.3014788918177533E-2</v>
      </c>
      <c r="AB15" s="11">
        <f ca="1">Z15+AA15</f>
        <v>1</v>
      </c>
      <c r="AC15" s="11"/>
      <c r="AD15" s="11">
        <f ca="1">AVERAGE(Z14:Z15)</f>
        <v>0.99349260554091123</v>
      </c>
      <c r="AE15" s="11">
        <f ca="1">AVERAGE(AA14:AA15)</f>
        <v>6.5073944590887667E-3</v>
      </c>
      <c r="AF15" s="11">
        <f ca="1">AD15+AE15</f>
        <v>1</v>
      </c>
      <c r="AG15" s="11">
        <f t="shared" ref="AG15:AG51" ca="1" si="7">Cst_ann_sma16*AD15</f>
        <v>2470.8161099802464</v>
      </c>
      <c r="AH15" s="11">
        <f t="shared" ref="AH15:AH51" ca="1" si="8">AG15*1/(1+dis_rt)^Y15</f>
        <v>2387.2619420098999</v>
      </c>
      <c r="AI15" s="11">
        <f t="shared" ref="AI15:AI51" ca="1" si="9">U_sma16*AD15</f>
        <v>0.79479408443272903</v>
      </c>
      <c r="AJ15" s="41">
        <f t="shared" ref="AJ15:AJ51" ca="1" si="10">AI15*1/(1+dis_rt)^Y15</f>
        <v>0.76791698979007639</v>
      </c>
    </row>
    <row r="16" spans="1:46" ht="15.5" x14ac:dyDescent="0.35">
      <c r="B16" s="8">
        <v>65</v>
      </c>
      <c r="C16" s="9">
        <v>1.3021E-2</v>
      </c>
      <c r="D16" s="9">
        <v>8.3660000000000002E-3</v>
      </c>
      <c r="E16" s="9">
        <f t="shared" si="2"/>
        <v>1.1158999999999999E-2</v>
      </c>
      <c r="H16" s="106">
        <v>65</v>
      </c>
      <c r="I16" s="53">
        <f t="shared" ca="1" si="0"/>
        <v>5.6577229835325982E-2</v>
      </c>
      <c r="J16" s="8">
        <v>2</v>
      </c>
      <c r="K16" s="11">
        <f ca="1">K15-K15*I15</f>
        <v>0.90260362715607079</v>
      </c>
      <c r="L16" s="11">
        <f ca="1">K15*I15+L15</f>
        <v>9.7396372843929269E-2</v>
      </c>
      <c r="M16" s="11">
        <f t="shared" ref="M16:M51" ca="1" si="11">K16+L16</f>
        <v>1</v>
      </c>
      <c r="N16" s="11"/>
      <c r="O16" s="11">
        <f t="shared" ref="O16:O51" ca="1" si="12">AVERAGE(K15:K16)</f>
        <v>0.92726469313318671</v>
      </c>
      <c r="P16" s="11">
        <f t="shared" ref="P16:P51" ca="1" si="13">AVERAGE(L15:L16)</f>
        <v>7.273530686681326E-2</v>
      </c>
      <c r="Q16" s="11">
        <f t="shared" ref="Q16:Q51" ca="1" si="14">O16+P16</f>
        <v>1</v>
      </c>
      <c r="R16" s="11">
        <f t="shared" ca="1" si="3"/>
        <v>5215.863898874175</v>
      </c>
      <c r="S16" s="11">
        <f t="shared" ca="1" si="4"/>
        <v>4869.0647612538687</v>
      </c>
      <c r="T16" s="11">
        <f t="shared" ca="1" si="5"/>
        <v>0.64908528519323061</v>
      </c>
      <c r="U16" s="41">
        <f t="shared" ca="1" si="6"/>
        <v>0.6059280591782592</v>
      </c>
      <c r="V16" s="11"/>
      <c r="W16" s="106">
        <v>65</v>
      </c>
      <c r="X16" s="53">
        <f t="shared" ca="1" si="1"/>
        <v>1.5366694356198418E-2</v>
      </c>
      <c r="Y16" s="8">
        <v>2</v>
      </c>
      <c r="Z16" s="11">
        <f ca="1">Z15-Z15*X15</f>
        <v>0.9731210165891313</v>
      </c>
      <c r="AA16" s="11">
        <f ca="1">Z15*X15+AA15</f>
        <v>2.6878983410868675E-2</v>
      </c>
      <c r="AB16" s="11">
        <f t="shared" ref="AB16:AB51" ca="1" si="15">Z16+AA16</f>
        <v>1</v>
      </c>
      <c r="AC16" s="11"/>
      <c r="AD16" s="11">
        <f t="shared" ref="AD16:AD51" ca="1" si="16">AVERAGE(Z15:Z16)</f>
        <v>0.98005311383547689</v>
      </c>
      <c r="AE16" s="11">
        <f t="shared" ref="AE16:AE51" ca="1" si="17">AVERAGE(AA15:AA16)</f>
        <v>1.9946886164523104E-2</v>
      </c>
      <c r="AF16" s="11">
        <f t="shared" ref="AF16:AF51" ca="1" si="18">AD16+AE16</f>
        <v>1</v>
      </c>
      <c r="AG16" s="11">
        <f t="shared" ca="1" si="7"/>
        <v>2437.3920941088309</v>
      </c>
      <c r="AH16" s="11">
        <f t="shared" ca="1" si="8"/>
        <v>2275.3316008390684</v>
      </c>
      <c r="AI16" s="11">
        <f t="shared" ca="1" si="9"/>
        <v>0.78404249106838153</v>
      </c>
      <c r="AJ16" s="41">
        <f t="shared" ca="1" si="10"/>
        <v>0.73191205495426415</v>
      </c>
    </row>
    <row r="17" spans="2:39" ht="15.5" x14ac:dyDescent="0.35">
      <c r="B17" s="8">
        <v>66</v>
      </c>
      <c r="C17" s="9">
        <v>1.4519000000000001E-2</v>
      </c>
      <c r="D17" s="9">
        <v>9.3209999999999994E-3</v>
      </c>
      <c r="E17" s="9">
        <f t="shared" si="2"/>
        <v>1.2439799999999999E-2</v>
      </c>
      <c r="H17" s="106">
        <v>66</v>
      </c>
      <c r="I17" s="53">
        <f t="shared" ca="1" si="0"/>
        <v>6.290207804827963E-2</v>
      </c>
      <c r="J17" s="8">
        <v>3</v>
      </c>
      <c r="K17" s="11">
        <f ca="1">K16-K16*I16</f>
        <v>0.85153681429226291</v>
      </c>
      <c r="L17" s="11">
        <f ca="1">K16*I16+L16</f>
        <v>0.14846318570773717</v>
      </c>
      <c r="M17" s="11">
        <f t="shared" ca="1" si="11"/>
        <v>1</v>
      </c>
      <c r="N17" s="11"/>
      <c r="O17" s="11">
        <f t="shared" ca="1" si="12"/>
        <v>0.87707022072416685</v>
      </c>
      <c r="P17" s="11">
        <f t="shared" ca="1" si="13"/>
        <v>0.12292977927583322</v>
      </c>
      <c r="Q17" s="11">
        <f t="shared" ca="1" si="14"/>
        <v>1</v>
      </c>
      <c r="R17" s="11">
        <f t="shared" ca="1" si="3"/>
        <v>4933.5199915734383</v>
      </c>
      <c r="S17" s="11">
        <f t="shared" ca="1" si="4"/>
        <v>4449.752369667026</v>
      </c>
      <c r="T17" s="11">
        <f t="shared" ca="1" si="5"/>
        <v>0.61394915450691678</v>
      </c>
      <c r="U17" s="41">
        <f t="shared" ca="1" si="6"/>
        <v>0.55374696155856329</v>
      </c>
      <c r="V17" s="11"/>
      <c r="W17" s="106">
        <v>66</v>
      </c>
      <c r="X17" s="53">
        <f t="shared" ca="1" si="1"/>
        <v>1.7126244067605545E-2</v>
      </c>
      <c r="Y17" s="8">
        <v>3</v>
      </c>
      <c r="Z17" s="11">
        <f ca="1">Z16-Z16*X16</f>
        <v>0.95816736335561303</v>
      </c>
      <c r="AA17" s="11">
        <f ca="1">Z16*X16+AA16</f>
        <v>4.1832636644386946E-2</v>
      </c>
      <c r="AB17" s="11">
        <f t="shared" ca="1" si="15"/>
        <v>1</v>
      </c>
      <c r="AC17" s="11"/>
      <c r="AD17" s="11">
        <f t="shared" ca="1" si="16"/>
        <v>0.96564418997237222</v>
      </c>
      <c r="AE17" s="11">
        <f t="shared" ca="1" si="17"/>
        <v>3.435581002762781E-2</v>
      </c>
      <c r="AF17" s="11">
        <f t="shared" ca="1" si="18"/>
        <v>1</v>
      </c>
      <c r="AG17" s="11">
        <f t="shared" ca="1" si="7"/>
        <v>2401.5571004612898</v>
      </c>
      <c r="AH17" s="11">
        <f t="shared" ca="1" si="8"/>
        <v>2166.0669090063066</v>
      </c>
      <c r="AI17" s="11">
        <f t="shared" ca="1" si="9"/>
        <v>0.77251535197789778</v>
      </c>
      <c r="AJ17" s="41">
        <f t="shared" ca="1" si="10"/>
        <v>0.69676458673302977</v>
      </c>
    </row>
    <row r="18" spans="2:39" ht="15.5" x14ac:dyDescent="0.35">
      <c r="B18" s="8">
        <v>67</v>
      </c>
      <c r="C18" s="9">
        <v>1.5762000000000002E-2</v>
      </c>
      <c r="D18" s="9">
        <v>1.0142E-2</v>
      </c>
      <c r="E18" s="9">
        <f t="shared" si="2"/>
        <v>1.3514000000000002E-2</v>
      </c>
      <c r="H18" s="106">
        <v>67</v>
      </c>
      <c r="I18" s="53">
        <f t="shared" ca="1" si="0"/>
        <v>6.8180258697267182E-2</v>
      </c>
      <c r="J18" s="8">
        <v>4</v>
      </c>
      <c r="K18" s="11">
        <f t="shared" ref="K18:K51" ca="1" si="19">K17-K17*I17</f>
        <v>0.79797337913866762</v>
      </c>
      <c r="L18" s="11">
        <f t="shared" ref="L18:L51" ca="1" si="20">K17*I17+L17</f>
        <v>0.2020266208613325</v>
      </c>
      <c r="M18" s="11">
        <f t="shared" ca="1" si="11"/>
        <v>1</v>
      </c>
      <c r="N18" s="11"/>
      <c r="O18" s="11">
        <f t="shared" ca="1" si="12"/>
        <v>0.82475509671546532</v>
      </c>
      <c r="P18" s="11">
        <f t="shared" ca="1" si="13"/>
        <v>0.17524490328453485</v>
      </c>
      <c r="Q18" s="11">
        <f t="shared" ca="1" si="14"/>
        <v>1.0000000000000002</v>
      </c>
      <c r="R18" s="11">
        <f t="shared" ca="1" si="3"/>
        <v>4639.247419024492</v>
      </c>
      <c r="S18" s="11">
        <f t="shared" ca="1" si="4"/>
        <v>4042.8361056795557</v>
      </c>
      <c r="T18" s="11">
        <f t="shared" ca="1" si="5"/>
        <v>0.57732856770082563</v>
      </c>
      <c r="U18" s="41">
        <f t="shared" ca="1" si="6"/>
        <v>0.50310849315123352</v>
      </c>
      <c r="V18" s="11"/>
      <c r="W18" s="106">
        <v>67</v>
      </c>
      <c r="X18" s="53">
        <f t="shared" ca="1" si="1"/>
        <v>1.8601300411799193E-2</v>
      </c>
      <c r="Y18" s="8">
        <v>4</v>
      </c>
      <c r="Z18" s="11">
        <f t="shared" ref="Z18:Z51" ca="1" si="21">Z17-Z17*X17</f>
        <v>0.94175755523317073</v>
      </c>
      <c r="AA18" s="11">
        <f t="shared" ref="AA18:AA51" ca="1" si="22">Z17*X17+AA17</f>
        <v>5.8242444766829257E-2</v>
      </c>
      <c r="AB18" s="11">
        <f t="shared" ca="1" si="15"/>
        <v>1</v>
      </c>
      <c r="AC18" s="11"/>
      <c r="AD18" s="11">
        <f t="shared" ca="1" si="16"/>
        <v>0.94996245929439183</v>
      </c>
      <c r="AE18" s="11">
        <f t="shared" ca="1" si="17"/>
        <v>5.0037540705608105E-2</v>
      </c>
      <c r="AF18" s="11">
        <f t="shared" ca="1" si="18"/>
        <v>0.99999999999999989</v>
      </c>
      <c r="AG18" s="11">
        <f t="shared" ca="1" si="7"/>
        <v>2362.5566362651525</v>
      </c>
      <c r="AH18" s="11">
        <f t="shared" ca="1" si="8"/>
        <v>2058.8316181709502</v>
      </c>
      <c r="AI18" s="11">
        <f t="shared" ca="1" si="9"/>
        <v>0.75996996743551348</v>
      </c>
      <c r="AJ18" s="41">
        <f t="shared" ca="1" si="10"/>
        <v>0.66226992140601537</v>
      </c>
    </row>
    <row r="19" spans="2:39" ht="15.5" x14ac:dyDescent="0.35">
      <c r="B19" s="8">
        <v>68</v>
      </c>
      <c r="C19" s="9">
        <v>1.7233999999999999E-2</v>
      </c>
      <c r="D19" s="9">
        <v>1.1268E-2</v>
      </c>
      <c r="E19" s="9">
        <f t="shared" si="2"/>
        <v>1.4847599999999999E-2</v>
      </c>
      <c r="H19" s="106">
        <v>68</v>
      </c>
      <c r="I19" s="53">
        <f t="shared" ca="1" si="0"/>
        <v>7.4699603606805054E-2</v>
      </c>
      <c r="J19" s="8">
        <v>5</v>
      </c>
      <c r="K19" s="11">
        <f t="shared" ca="1" si="19"/>
        <v>0.74356734771546074</v>
      </c>
      <c r="L19" s="11">
        <f t="shared" ca="1" si="20"/>
        <v>0.25643265228453932</v>
      </c>
      <c r="M19" s="11">
        <f t="shared" ca="1" si="11"/>
        <v>1</v>
      </c>
      <c r="N19" s="11"/>
      <c r="O19" s="11">
        <f t="shared" ca="1" si="12"/>
        <v>0.77077036342706418</v>
      </c>
      <c r="P19" s="11">
        <f t="shared" ca="1" si="13"/>
        <v>0.22922963657293591</v>
      </c>
      <c r="Q19" s="11">
        <f t="shared" ca="1" si="14"/>
        <v>1</v>
      </c>
      <c r="R19" s="11">
        <f t="shared" ca="1" si="3"/>
        <v>4335.5832942772358</v>
      </c>
      <c r="S19" s="11">
        <f t="shared" ca="1" si="4"/>
        <v>3650.4447964615169</v>
      </c>
      <c r="T19" s="11">
        <f t="shared" ca="1" si="5"/>
        <v>0.5395392543989449</v>
      </c>
      <c r="U19" s="41">
        <f t="shared" ca="1" si="6"/>
        <v>0.45427757467076657</v>
      </c>
      <c r="V19" s="11"/>
      <c r="W19" s="106">
        <v>68</v>
      </c>
      <c r="X19" s="53">
        <f t="shared" ca="1" si="1"/>
        <v>2.0431707247054121E-2</v>
      </c>
      <c r="Y19" s="8">
        <v>5</v>
      </c>
      <c r="Z19" s="11">
        <f t="shared" ca="1" si="21"/>
        <v>0.92423964003319692</v>
      </c>
      <c r="AA19" s="11">
        <f t="shared" ca="1" si="22"/>
        <v>7.576035996680304E-2</v>
      </c>
      <c r="AB19" s="11">
        <f t="shared" ca="1" si="15"/>
        <v>1</v>
      </c>
      <c r="AC19" s="11"/>
      <c r="AD19" s="11">
        <f t="shared" ca="1" si="16"/>
        <v>0.93299859763318382</v>
      </c>
      <c r="AE19" s="11">
        <f t="shared" ca="1" si="17"/>
        <v>6.7001402366816148E-2</v>
      </c>
      <c r="AF19" s="11">
        <f t="shared" ca="1" si="18"/>
        <v>1</v>
      </c>
      <c r="AG19" s="11">
        <f t="shared" ca="1" si="7"/>
        <v>2320.3675123137282</v>
      </c>
      <c r="AH19" s="11">
        <f t="shared" ca="1" si="8"/>
        <v>1953.6871826184254</v>
      </c>
      <c r="AI19" s="11">
        <f t="shared" ca="1" si="9"/>
        <v>0.74639887810654715</v>
      </c>
      <c r="AJ19" s="41">
        <f t="shared" ca="1" si="10"/>
        <v>0.62844782713901903</v>
      </c>
      <c r="AM19" s="11"/>
    </row>
    <row r="20" spans="2:39" ht="15.5" x14ac:dyDescent="0.35">
      <c r="B20" s="8">
        <v>69</v>
      </c>
      <c r="C20" s="9">
        <v>1.8783999999999999E-2</v>
      </c>
      <c r="D20" s="9">
        <v>1.2142999999999999E-2</v>
      </c>
      <c r="E20" s="9">
        <f t="shared" si="2"/>
        <v>1.6127599999999999E-2</v>
      </c>
      <c r="H20" s="106">
        <v>69</v>
      </c>
      <c r="I20" s="53">
        <f t="shared" ca="1" si="0"/>
        <v>8.0922241430009145E-2</v>
      </c>
      <c r="J20" s="8">
        <v>6</v>
      </c>
      <c r="K20" s="11">
        <f t="shared" ca="1" si="19"/>
        <v>0.6880231615861524</v>
      </c>
      <c r="L20" s="11">
        <f t="shared" ca="1" si="20"/>
        <v>0.3119768384138476</v>
      </c>
      <c r="M20" s="11">
        <f t="shared" ca="1" si="11"/>
        <v>1</v>
      </c>
      <c r="N20" s="11"/>
      <c r="O20" s="11">
        <f t="shared" ca="1" si="12"/>
        <v>0.71579525465080662</v>
      </c>
      <c r="P20" s="11">
        <f t="shared" ca="1" si="13"/>
        <v>0.28420474534919349</v>
      </c>
      <c r="Q20" s="11">
        <f t="shared" ca="1" si="14"/>
        <v>1</v>
      </c>
      <c r="R20" s="11">
        <f t="shared" ca="1" si="3"/>
        <v>4026.3483074107871</v>
      </c>
      <c r="S20" s="11">
        <f t="shared" ca="1" si="4"/>
        <v>3275.436942286105</v>
      </c>
      <c r="T20" s="11">
        <f t="shared" ca="1" si="5"/>
        <v>0.50105667825556466</v>
      </c>
      <c r="U20" s="41">
        <f t="shared" ca="1" si="6"/>
        <v>0.40760993059560424</v>
      </c>
      <c r="V20" s="11"/>
      <c r="W20" s="106">
        <v>69</v>
      </c>
      <c r="X20" s="53">
        <f t="shared" ca="1" si="1"/>
        <v>2.2187661111757184E-2</v>
      </c>
      <c r="Y20" s="8">
        <v>6</v>
      </c>
      <c r="Z20" s="11">
        <f t="shared" ca="1" si="21"/>
        <v>0.90535584628191601</v>
      </c>
      <c r="AA20" s="11">
        <f t="shared" ca="1" si="22"/>
        <v>9.4644153718084004E-2</v>
      </c>
      <c r="AB20" s="11">
        <f t="shared" ca="1" si="15"/>
        <v>1</v>
      </c>
      <c r="AC20" s="11"/>
      <c r="AD20" s="11">
        <f t="shared" ca="1" si="16"/>
        <v>0.91479774315755646</v>
      </c>
      <c r="AE20" s="11">
        <f t="shared" ca="1" si="17"/>
        <v>8.5202256842443522E-2</v>
      </c>
      <c r="AF20" s="11">
        <f t="shared" ca="1" si="18"/>
        <v>1</v>
      </c>
      <c r="AG20" s="11">
        <f t="shared" ca="1" si="7"/>
        <v>2275.1019872328429</v>
      </c>
      <c r="AH20" s="11">
        <f t="shared" ca="1" si="8"/>
        <v>1850.7969324797664</v>
      </c>
      <c r="AI20" s="11">
        <f t="shared" ca="1" si="9"/>
        <v>0.73183819452604526</v>
      </c>
      <c r="AJ20" s="41">
        <f t="shared" ca="1" si="10"/>
        <v>0.59535084277596029</v>
      </c>
    </row>
    <row r="21" spans="2:39" ht="15.5" x14ac:dyDescent="0.35">
      <c r="B21" s="8">
        <v>70</v>
      </c>
      <c r="C21" s="9">
        <v>2.0399E-2</v>
      </c>
      <c r="D21" s="9">
        <v>1.3565000000000001E-2</v>
      </c>
      <c r="E21" s="9">
        <f t="shared" si="2"/>
        <v>1.7665399999999998E-2</v>
      </c>
      <c r="H21" s="106">
        <v>70</v>
      </c>
      <c r="I21" s="53">
        <f t="shared" ca="1" si="0"/>
        <v>8.8353435978809403E-2</v>
      </c>
      <c r="J21" s="8">
        <v>7</v>
      </c>
      <c r="K21" s="11">
        <f t="shared" ca="1" si="19"/>
        <v>0.63234678519483956</v>
      </c>
      <c r="L21" s="11">
        <f t="shared" ca="1" si="20"/>
        <v>0.36765321480516044</v>
      </c>
      <c r="M21" s="11">
        <f t="shared" ca="1" si="11"/>
        <v>1</v>
      </c>
      <c r="N21" s="11"/>
      <c r="O21" s="11">
        <f t="shared" ca="1" si="12"/>
        <v>0.66018497339049598</v>
      </c>
      <c r="P21" s="11">
        <f t="shared" ca="1" si="13"/>
        <v>0.33981502660950402</v>
      </c>
      <c r="Q21" s="11">
        <f t="shared" ca="1" si="14"/>
        <v>1</v>
      </c>
      <c r="R21" s="11">
        <f t="shared" ca="1" si="3"/>
        <v>3713.5404753215398</v>
      </c>
      <c r="S21" s="11">
        <f t="shared" ca="1" si="4"/>
        <v>2918.8092457362236</v>
      </c>
      <c r="T21" s="11">
        <f t="shared" ca="1" si="5"/>
        <v>0.46212948137334714</v>
      </c>
      <c r="U21" s="41">
        <f t="shared" ca="1" si="6"/>
        <v>0.36322959502495222</v>
      </c>
      <c r="V21" s="11"/>
      <c r="W21" s="106">
        <v>70</v>
      </c>
      <c r="X21" s="53">
        <f t="shared" ca="1" si="1"/>
        <v>2.4296127317560368E-2</v>
      </c>
      <c r="Y21" s="8">
        <v>7</v>
      </c>
      <c r="Z21" s="11">
        <f t="shared" ca="1" si="21"/>
        <v>0.88526811757906476</v>
      </c>
      <c r="AA21" s="11">
        <f t="shared" ca="1" si="22"/>
        <v>0.11473188242093529</v>
      </c>
      <c r="AB21" s="11">
        <f t="shared" ca="1" si="15"/>
        <v>1</v>
      </c>
      <c r="AC21" s="11"/>
      <c r="AD21" s="11">
        <f t="shared" ca="1" si="16"/>
        <v>0.89531198193049044</v>
      </c>
      <c r="AE21" s="11">
        <f t="shared" ca="1" si="17"/>
        <v>0.10468801806950964</v>
      </c>
      <c r="AF21" s="11">
        <f t="shared" ca="1" si="18"/>
        <v>1</v>
      </c>
      <c r="AG21" s="11">
        <f t="shared" ca="1" si="7"/>
        <v>2226.6408990611299</v>
      </c>
      <c r="AH21" s="11">
        <f t="shared" ca="1" si="8"/>
        <v>1750.1196193509402</v>
      </c>
      <c r="AI21" s="11">
        <f t="shared" ca="1" si="9"/>
        <v>0.71624958554439244</v>
      </c>
      <c r="AJ21" s="41">
        <f t="shared" ca="1" si="10"/>
        <v>0.5629656998314243</v>
      </c>
    </row>
    <row r="22" spans="2:39" ht="15.5" x14ac:dyDescent="0.35">
      <c r="B22" s="8">
        <v>71</v>
      </c>
      <c r="C22" s="9">
        <v>2.2252000000000001E-2</v>
      </c>
      <c r="D22" s="9">
        <v>1.46E-2</v>
      </c>
      <c r="E22" s="9">
        <f t="shared" si="2"/>
        <v>1.9191200000000002E-2</v>
      </c>
      <c r="H22" s="106">
        <v>71</v>
      </c>
      <c r="I22" s="53">
        <f t="shared" ca="1" si="0"/>
        <v>9.5678625285460339E-2</v>
      </c>
      <c r="J22" s="8">
        <v>8</v>
      </c>
      <c r="K22" s="11">
        <f t="shared" ca="1" si="19"/>
        <v>0.57647677399272135</v>
      </c>
      <c r="L22" s="11">
        <f t="shared" ca="1" si="20"/>
        <v>0.42352322600727865</v>
      </c>
      <c r="M22" s="11">
        <f t="shared" ca="1" si="11"/>
        <v>1</v>
      </c>
      <c r="N22" s="11"/>
      <c r="O22" s="11">
        <f t="shared" ca="1" si="12"/>
        <v>0.60441177959378045</v>
      </c>
      <c r="P22" s="11">
        <f t="shared" ca="1" si="13"/>
        <v>0.39558822040621955</v>
      </c>
      <c r="Q22" s="11">
        <f t="shared" ca="1" si="14"/>
        <v>1</v>
      </c>
      <c r="R22" s="11">
        <f t="shared" ca="1" si="3"/>
        <v>3399.8162602150151</v>
      </c>
      <c r="S22" s="11">
        <f t="shared" ca="1" si="4"/>
        <v>2581.8597570191978</v>
      </c>
      <c r="T22" s="11">
        <f t="shared" ca="1" si="5"/>
        <v>0.42308824571564629</v>
      </c>
      <c r="U22" s="41">
        <f t="shared" ca="1" si="6"/>
        <v>0.32129810309572238</v>
      </c>
      <c r="V22" s="11"/>
      <c r="W22" s="106">
        <v>71</v>
      </c>
      <c r="X22" s="53">
        <f t="shared" ca="1" si="1"/>
        <v>2.6386901157641196E-2</v>
      </c>
      <c r="Y22" s="8">
        <v>8</v>
      </c>
      <c r="Z22" s="11">
        <f t="shared" ca="1" si="21"/>
        <v>0.86375953068418676</v>
      </c>
      <c r="AA22" s="11">
        <f t="shared" ca="1" si="22"/>
        <v>0.13624046931581324</v>
      </c>
      <c r="AB22" s="11">
        <f t="shared" ca="1" si="15"/>
        <v>1</v>
      </c>
      <c r="AC22" s="11"/>
      <c r="AD22" s="11">
        <f t="shared" ca="1" si="16"/>
        <v>0.87451382413162571</v>
      </c>
      <c r="AE22" s="11">
        <f t="shared" ca="1" si="17"/>
        <v>0.12548617586837427</v>
      </c>
      <c r="AF22" s="11">
        <f t="shared" ca="1" si="18"/>
        <v>1</v>
      </c>
      <c r="AG22" s="11">
        <f t="shared" ca="1" si="7"/>
        <v>2174.9158806153532</v>
      </c>
      <c r="AH22" s="11">
        <f t="shared" ca="1" si="8"/>
        <v>1651.6562535375424</v>
      </c>
      <c r="AI22" s="11">
        <f t="shared" ca="1" si="9"/>
        <v>0.69961105930530065</v>
      </c>
      <c r="AJ22" s="41">
        <f t="shared" ca="1" si="10"/>
        <v>0.53129272329313793</v>
      </c>
    </row>
    <row r="23" spans="2:39" ht="15.5" x14ac:dyDescent="0.35">
      <c r="B23" s="8">
        <v>72</v>
      </c>
      <c r="C23" s="9">
        <v>2.4541E-2</v>
      </c>
      <c r="D23" s="9">
        <v>1.6059E-2</v>
      </c>
      <c r="E23" s="9">
        <f t="shared" si="2"/>
        <v>2.1148199999999999E-2</v>
      </c>
      <c r="H23" s="106">
        <v>72</v>
      </c>
      <c r="I23" s="53">
        <f t="shared" ca="1" si="0"/>
        <v>0.10500432171299467</v>
      </c>
      <c r="J23" s="8">
        <v>9</v>
      </c>
      <c r="K23" s="11">
        <f t="shared" ca="1" si="19"/>
        <v>0.52132026874810078</v>
      </c>
      <c r="L23" s="11">
        <f t="shared" ca="1" si="20"/>
        <v>0.47867973125189922</v>
      </c>
      <c r="M23" s="11">
        <f t="shared" ca="1" si="11"/>
        <v>1</v>
      </c>
      <c r="N23" s="11"/>
      <c r="O23" s="11">
        <f t="shared" ca="1" si="12"/>
        <v>0.54889852137041106</v>
      </c>
      <c r="P23" s="11">
        <f t="shared" ca="1" si="13"/>
        <v>0.45110147862958894</v>
      </c>
      <c r="Q23" s="11">
        <f t="shared" ca="1" si="14"/>
        <v>1</v>
      </c>
      <c r="R23" s="11">
        <f t="shared" ca="1" si="3"/>
        <v>3087.5541827085622</v>
      </c>
      <c r="S23" s="11">
        <f t="shared" ca="1" si="4"/>
        <v>2265.434132166863</v>
      </c>
      <c r="T23" s="11">
        <f t="shared" ca="1" si="5"/>
        <v>0.38422896495928771</v>
      </c>
      <c r="U23" s="41">
        <f t="shared" ca="1" si="6"/>
        <v>0.28192069200298736</v>
      </c>
      <c r="V23" s="11"/>
      <c r="W23" s="106">
        <v>72</v>
      </c>
      <c r="X23" s="53">
        <f t="shared" ca="1" si="1"/>
        <v>2.9066731029621873E-2</v>
      </c>
      <c r="Y23" s="8">
        <v>9</v>
      </c>
      <c r="Z23" s="11">
        <f t="shared" ca="1" si="21"/>
        <v>0.84096759332405258</v>
      </c>
      <c r="AA23" s="11">
        <f t="shared" ca="1" si="22"/>
        <v>0.15903240667594742</v>
      </c>
      <c r="AB23" s="11">
        <f t="shared" ca="1" si="15"/>
        <v>1</v>
      </c>
      <c r="AC23" s="11"/>
      <c r="AD23" s="11">
        <f t="shared" ca="1" si="16"/>
        <v>0.85236356200411967</v>
      </c>
      <c r="AE23" s="11">
        <f t="shared" ca="1" si="17"/>
        <v>0.14763643799588033</v>
      </c>
      <c r="AF23" s="11">
        <f t="shared" ca="1" si="18"/>
        <v>1</v>
      </c>
      <c r="AG23" s="11">
        <f t="shared" ca="1" si="7"/>
        <v>2119.8281787042456</v>
      </c>
      <c r="AH23" s="11">
        <f t="shared" ca="1" si="8"/>
        <v>1555.3835904356054</v>
      </c>
      <c r="AI23" s="11">
        <f t="shared" ca="1" si="9"/>
        <v>0.68189084960329582</v>
      </c>
      <c r="AJ23" s="41">
        <f t="shared" ca="1" si="10"/>
        <v>0.50032443600662824</v>
      </c>
    </row>
    <row r="24" spans="2:39" ht="15.5" x14ac:dyDescent="0.35">
      <c r="B24" s="8">
        <v>73</v>
      </c>
      <c r="C24" s="9">
        <v>2.6325999999999999E-2</v>
      </c>
      <c r="D24" s="9">
        <v>1.7503999999999999E-2</v>
      </c>
      <c r="E24" s="9">
        <f t="shared" si="2"/>
        <v>2.27972E-2</v>
      </c>
      <c r="H24" s="106">
        <v>73</v>
      </c>
      <c r="I24" s="53">
        <f t="shared" ca="1" si="0"/>
        <v>0.11280189198005042</v>
      </c>
      <c r="J24" s="8">
        <v>10</v>
      </c>
      <c r="K24" s="11">
        <f t="shared" ca="1" si="19"/>
        <v>0.46657938753297035</v>
      </c>
      <c r="L24" s="11">
        <f t="shared" ca="1" si="20"/>
        <v>0.53342061246702965</v>
      </c>
      <c r="M24" s="11">
        <f t="shared" ca="1" si="11"/>
        <v>1</v>
      </c>
      <c r="N24" s="11"/>
      <c r="O24" s="11">
        <f t="shared" ca="1" si="12"/>
        <v>0.49394982814053556</v>
      </c>
      <c r="P24" s="11">
        <f t="shared" ca="1" si="13"/>
        <v>0.50605017185946444</v>
      </c>
      <c r="Q24" s="11">
        <f t="shared" ca="1" si="14"/>
        <v>1</v>
      </c>
      <c r="R24" s="11">
        <f t="shared" ca="1" si="3"/>
        <v>2778.4677832905127</v>
      </c>
      <c r="S24" s="11">
        <f t="shared" ca="1" si="4"/>
        <v>1969.7080848611306</v>
      </c>
      <c r="T24" s="11">
        <f t="shared" ca="1" si="5"/>
        <v>0.34576487969837488</v>
      </c>
      <c r="U24" s="41">
        <f t="shared" ca="1" si="6"/>
        <v>0.24511922833827401</v>
      </c>
      <c r="V24" s="11"/>
      <c r="W24" s="106">
        <v>73</v>
      </c>
      <c r="X24" s="53">
        <f t="shared" ca="1" si="1"/>
        <v>3.1323219409509995E-2</v>
      </c>
      <c r="Y24" s="8">
        <v>10</v>
      </c>
      <c r="Z24" s="11">
        <f t="shared" ca="1" si="21"/>
        <v>0.8165234144842739</v>
      </c>
      <c r="AA24" s="11">
        <f t="shared" ca="1" si="22"/>
        <v>0.1834765855157261</v>
      </c>
      <c r="AB24" s="11">
        <f t="shared" ca="1" si="15"/>
        <v>1</v>
      </c>
      <c r="AC24" s="11"/>
      <c r="AD24" s="11">
        <f t="shared" ca="1" si="16"/>
        <v>0.82874550390416324</v>
      </c>
      <c r="AE24" s="11">
        <f t="shared" ca="1" si="17"/>
        <v>0.17125449609583676</v>
      </c>
      <c r="AF24" s="11">
        <f t="shared" ca="1" si="18"/>
        <v>1</v>
      </c>
      <c r="AG24" s="11">
        <f t="shared" ca="1" si="7"/>
        <v>2061.090068209654</v>
      </c>
      <c r="AH24" s="11">
        <f t="shared" ca="1" si="8"/>
        <v>1461.1455261041813</v>
      </c>
      <c r="AI24" s="11">
        <f t="shared" ca="1" si="9"/>
        <v>0.66299640312333064</v>
      </c>
      <c r="AJ24" s="41">
        <f t="shared" ca="1" si="10"/>
        <v>0.47001062359603746</v>
      </c>
    </row>
    <row r="25" spans="2:39" ht="15.5" x14ac:dyDescent="0.35">
      <c r="B25" s="8">
        <v>74</v>
      </c>
      <c r="C25" s="9">
        <v>2.8955999999999999E-2</v>
      </c>
      <c r="D25" s="9">
        <v>1.9668999999999999E-2</v>
      </c>
      <c r="E25" s="9">
        <f t="shared" si="2"/>
        <v>2.5241199999999998E-2</v>
      </c>
      <c r="H25" s="106">
        <v>74</v>
      </c>
      <c r="I25" s="53">
        <f t="shared" ca="1" si="0"/>
        <v>0.12425778671906196</v>
      </c>
      <c r="J25" s="8">
        <v>11</v>
      </c>
      <c r="K25" s="11">
        <f t="shared" ca="1" si="19"/>
        <v>0.41394834986035817</v>
      </c>
      <c r="L25" s="11">
        <f t="shared" ca="1" si="20"/>
        <v>0.58605165013964189</v>
      </c>
      <c r="M25" s="11">
        <f t="shared" ca="1" si="11"/>
        <v>1</v>
      </c>
      <c r="N25" s="11"/>
      <c r="O25" s="11">
        <f t="shared" ca="1" si="12"/>
        <v>0.44026386869666423</v>
      </c>
      <c r="P25" s="11">
        <f t="shared" ca="1" si="13"/>
        <v>0.55973613130333577</v>
      </c>
      <c r="Q25" s="11">
        <f t="shared" ca="1" si="14"/>
        <v>1</v>
      </c>
      <c r="R25" s="11">
        <f t="shared" ca="1" si="3"/>
        <v>2476.4842614187364</v>
      </c>
      <c r="S25" s="11">
        <f t="shared" ca="1" si="4"/>
        <v>1696.2572799767072</v>
      </c>
      <c r="T25" s="11">
        <f t="shared" ca="1" si="5"/>
        <v>0.30818470808766496</v>
      </c>
      <c r="U25" s="41">
        <f t="shared" ca="1" si="6"/>
        <v>0.21108979484154577</v>
      </c>
      <c r="V25" s="11"/>
      <c r="W25" s="106">
        <v>74</v>
      </c>
      <c r="X25" s="53">
        <f t="shared" ca="1" si="1"/>
        <v>3.4664923154634764E-2</v>
      </c>
      <c r="Y25" s="8">
        <v>11</v>
      </c>
      <c r="Z25" s="11">
        <f t="shared" ca="1" si="21"/>
        <v>0.79094727241938068</v>
      </c>
      <c r="AA25" s="11">
        <f t="shared" ca="1" si="22"/>
        <v>0.20905272758061927</v>
      </c>
      <c r="AB25" s="11">
        <f t="shared" ca="1" si="15"/>
        <v>1</v>
      </c>
      <c r="AC25" s="11"/>
      <c r="AD25" s="11">
        <f t="shared" ca="1" si="16"/>
        <v>0.80373534345182729</v>
      </c>
      <c r="AE25" s="11">
        <f t="shared" ca="1" si="17"/>
        <v>0.19626465654817268</v>
      </c>
      <c r="AF25" s="11">
        <f t="shared" ca="1" si="18"/>
        <v>1</v>
      </c>
      <c r="AG25" s="11">
        <f t="shared" ca="1" si="7"/>
        <v>1998.8897991646945</v>
      </c>
      <c r="AH25" s="11">
        <f t="shared" ca="1" si="8"/>
        <v>1369.1310001549757</v>
      </c>
      <c r="AI25" s="11">
        <f t="shared" ca="1" si="9"/>
        <v>0.64298827476146192</v>
      </c>
      <c r="AJ25" s="41">
        <f t="shared" ca="1" si="10"/>
        <v>0.44041206277602762</v>
      </c>
    </row>
    <row r="26" spans="2:39" ht="15.5" x14ac:dyDescent="0.35">
      <c r="B26" s="8">
        <v>75</v>
      </c>
      <c r="C26" s="9">
        <v>3.2433999999999998E-2</v>
      </c>
      <c r="D26" s="9">
        <v>2.2216E-2</v>
      </c>
      <c r="E26" s="9">
        <f t="shared" si="2"/>
        <v>2.8346799999999998E-2</v>
      </c>
      <c r="H26" s="106">
        <v>75</v>
      </c>
      <c r="I26" s="53">
        <f t="shared" ca="1" si="0"/>
        <v>0.13864223992386726</v>
      </c>
      <c r="J26" s="8">
        <v>12</v>
      </c>
      <c r="K26" s="11">
        <f t="shared" ca="1" si="19"/>
        <v>0.36251204409070215</v>
      </c>
      <c r="L26" s="11">
        <f t="shared" ca="1" si="20"/>
        <v>0.63748795590929797</v>
      </c>
      <c r="M26" s="11">
        <f t="shared" ca="1" si="11"/>
        <v>1</v>
      </c>
      <c r="N26" s="11"/>
      <c r="O26" s="11">
        <f t="shared" ca="1" si="12"/>
        <v>0.38823019697553018</v>
      </c>
      <c r="P26" s="11">
        <f t="shared" ca="1" si="13"/>
        <v>0.61176980302446993</v>
      </c>
      <c r="Q26" s="11">
        <f t="shared" ca="1" si="14"/>
        <v>1</v>
      </c>
      <c r="R26" s="11">
        <f t="shared" ca="1" si="3"/>
        <v>2183.7948579873573</v>
      </c>
      <c r="S26" s="11">
        <f t="shared" ca="1" si="4"/>
        <v>1445.1989639057133</v>
      </c>
      <c r="T26" s="11">
        <f t="shared" ca="1" si="5"/>
        <v>0.2717611378828711</v>
      </c>
      <c r="U26" s="41">
        <f t="shared" ca="1" si="6"/>
        <v>0.1798469821749332</v>
      </c>
      <c r="V26" s="11"/>
      <c r="W26" s="106">
        <v>75</v>
      </c>
      <c r="X26" s="53">
        <f t="shared" ca="1" si="1"/>
        <v>3.8906646862687633E-2</v>
      </c>
      <c r="Y26" s="8">
        <v>12</v>
      </c>
      <c r="Z26" s="11">
        <f t="shared" ca="1" si="21"/>
        <v>0.76352914600159483</v>
      </c>
      <c r="AA26" s="11">
        <f t="shared" ca="1" si="22"/>
        <v>0.23647085399840506</v>
      </c>
      <c r="AB26" s="11">
        <f t="shared" ca="1" si="15"/>
        <v>0.99999999999999989</v>
      </c>
      <c r="AC26" s="11"/>
      <c r="AD26" s="11">
        <f t="shared" ca="1" si="16"/>
        <v>0.7772382092104877</v>
      </c>
      <c r="AE26" s="11">
        <f t="shared" ca="1" si="17"/>
        <v>0.22276179078951217</v>
      </c>
      <c r="AF26" s="11">
        <f t="shared" ca="1" si="18"/>
        <v>0.99999999999999989</v>
      </c>
      <c r="AG26" s="11">
        <f t="shared" ca="1" si="7"/>
        <v>1932.9914263064829</v>
      </c>
      <c r="AH26" s="11">
        <f t="shared" ca="1" si="8"/>
        <v>1279.2214416657121</v>
      </c>
      <c r="AI26" s="11">
        <f t="shared" ca="1" si="9"/>
        <v>0.62179056736839022</v>
      </c>
      <c r="AJ26" s="41">
        <f t="shared" ca="1" si="10"/>
        <v>0.41149061251812213</v>
      </c>
    </row>
    <row r="27" spans="2:39" ht="15.5" x14ac:dyDescent="0.35">
      <c r="B27" s="8">
        <v>76</v>
      </c>
      <c r="C27" s="9">
        <v>3.7275000000000003E-2</v>
      </c>
      <c r="D27" s="9">
        <v>2.5242000000000001E-2</v>
      </c>
      <c r="E27" s="9">
        <f t="shared" si="2"/>
        <v>3.2461799999999999E-2</v>
      </c>
      <c r="H27" s="106">
        <v>76</v>
      </c>
      <c r="I27" s="53">
        <f t="shared" ca="1" si="0"/>
        <v>0.15740758289779821</v>
      </c>
      <c r="J27" s="8">
        <v>13</v>
      </c>
      <c r="K27" s="11">
        <f t="shared" ca="1" si="19"/>
        <v>0.31225256229858744</v>
      </c>
      <c r="L27" s="11">
        <f t="shared" ca="1" si="20"/>
        <v>0.68774743770141267</v>
      </c>
      <c r="M27" s="11">
        <f t="shared" ca="1" si="11"/>
        <v>1</v>
      </c>
      <c r="N27" s="11"/>
      <c r="O27" s="11">
        <f t="shared" ca="1" si="12"/>
        <v>0.33738230319464479</v>
      </c>
      <c r="P27" s="11">
        <f t="shared" ca="1" si="13"/>
        <v>0.66261769680535532</v>
      </c>
      <c r="Q27" s="11">
        <f t="shared" ca="1" si="14"/>
        <v>1</v>
      </c>
      <c r="R27" s="11">
        <f t="shared" ca="1" si="3"/>
        <v>1897.775455469877</v>
      </c>
      <c r="S27" s="11">
        <f t="shared" ca="1" si="4"/>
        <v>1213.4455075681251</v>
      </c>
      <c r="T27" s="11">
        <f t="shared" ca="1" si="5"/>
        <v>0.23616761223625135</v>
      </c>
      <c r="U27" s="41">
        <f t="shared" ca="1" si="6"/>
        <v>0.15100655205292224</v>
      </c>
      <c r="V27" s="11"/>
      <c r="W27" s="106">
        <v>76</v>
      </c>
      <c r="X27" s="53">
        <f t="shared" ca="1" si="1"/>
        <v>4.4519107496666432E-2</v>
      </c>
      <c r="Y27" s="8">
        <v>13</v>
      </c>
      <c r="Z27" s="11">
        <f t="shared" ca="1" si="21"/>
        <v>0.73382278714874127</v>
      </c>
      <c r="AA27" s="11">
        <f t="shared" ca="1" si="22"/>
        <v>0.26617721285125856</v>
      </c>
      <c r="AB27" s="11">
        <f t="shared" ca="1" si="15"/>
        <v>0.99999999999999978</v>
      </c>
      <c r="AC27" s="11"/>
      <c r="AD27" s="11">
        <f t="shared" ca="1" si="16"/>
        <v>0.74867596657516811</v>
      </c>
      <c r="AE27" s="11">
        <f t="shared" ca="1" si="17"/>
        <v>0.25132403342483178</v>
      </c>
      <c r="AF27" s="11">
        <f t="shared" ca="1" si="18"/>
        <v>0.99999999999999989</v>
      </c>
      <c r="AG27" s="11">
        <f t="shared" ca="1" si="7"/>
        <v>1861.957128872443</v>
      </c>
      <c r="AH27" s="11">
        <f t="shared" ca="1" si="8"/>
        <v>1190.5431207904951</v>
      </c>
      <c r="AI27" s="11">
        <f t="shared" ca="1" si="9"/>
        <v>0.59894077326013451</v>
      </c>
      <c r="AJ27" s="41">
        <f t="shared" ca="1" si="10"/>
        <v>0.38296521778544274</v>
      </c>
    </row>
    <row r="28" spans="2:39" ht="15.5" x14ac:dyDescent="0.35">
      <c r="B28" s="8">
        <v>77</v>
      </c>
      <c r="C28" s="9">
        <v>4.0621999999999998E-2</v>
      </c>
      <c r="D28" s="9">
        <v>2.8153000000000001E-2</v>
      </c>
      <c r="E28" s="9">
        <f t="shared" si="2"/>
        <v>3.5634399999999997E-2</v>
      </c>
      <c r="H28" s="106">
        <v>77</v>
      </c>
      <c r="I28" s="53">
        <f t="shared" ca="1" si="0"/>
        <v>0.17164885670358998</v>
      </c>
      <c r="J28" s="8">
        <v>14</v>
      </c>
      <c r="K28" s="11">
        <f t="shared" ca="1" si="19"/>
        <v>0.26310164121352264</v>
      </c>
      <c r="L28" s="11">
        <f t="shared" ca="1" si="20"/>
        <v>0.73689835878647747</v>
      </c>
      <c r="M28" s="11">
        <f t="shared" ca="1" si="11"/>
        <v>1</v>
      </c>
      <c r="N28" s="11"/>
      <c r="O28" s="11">
        <f t="shared" ca="1" si="12"/>
        <v>0.28767710175605504</v>
      </c>
      <c r="P28" s="11">
        <f t="shared" ca="1" si="13"/>
        <v>0.71232289824394512</v>
      </c>
      <c r="Q28" s="11">
        <f t="shared" ca="1" si="14"/>
        <v>1.0000000000000002</v>
      </c>
      <c r="R28" s="11">
        <f t="shared" ca="1" si="3"/>
        <v>1618.1836973778097</v>
      </c>
      <c r="S28" s="11">
        <f t="shared" ca="1" si="4"/>
        <v>999.68442156258936</v>
      </c>
      <c r="T28" s="11">
        <f t="shared" ca="1" si="5"/>
        <v>0.20137397122923853</v>
      </c>
      <c r="U28" s="41">
        <f t="shared" ca="1" si="6"/>
        <v>0.12440517246112222</v>
      </c>
      <c r="V28" s="11"/>
      <c r="W28" s="106">
        <v>77</v>
      </c>
      <c r="X28" s="53">
        <f t="shared" ca="1" si="1"/>
        <v>4.8840039685610348E-2</v>
      </c>
      <c r="Y28" s="8">
        <v>14</v>
      </c>
      <c r="Z28" s="11">
        <f t="shared" ca="1" si="21"/>
        <v>0.7011536516041631</v>
      </c>
      <c r="AA28" s="11">
        <f t="shared" ca="1" si="22"/>
        <v>0.29884634839583674</v>
      </c>
      <c r="AB28" s="11">
        <f t="shared" ca="1" si="15"/>
        <v>0.99999999999999978</v>
      </c>
      <c r="AC28" s="11"/>
      <c r="AD28" s="11">
        <f t="shared" ca="1" si="16"/>
        <v>0.71748821937645224</v>
      </c>
      <c r="AE28" s="11">
        <f t="shared" ca="1" si="17"/>
        <v>0.28251178062354765</v>
      </c>
      <c r="AF28" s="11">
        <f t="shared" ca="1" si="18"/>
        <v>0.99999999999999989</v>
      </c>
      <c r="AG28" s="11">
        <f t="shared" ca="1" si="7"/>
        <v>1784.3932015892367</v>
      </c>
      <c r="AH28" s="11">
        <f t="shared" ca="1" si="8"/>
        <v>1102.365626635323</v>
      </c>
      <c r="AI28" s="11">
        <f t="shared" ca="1" si="9"/>
        <v>0.57399057550116184</v>
      </c>
      <c r="AJ28" s="41">
        <f t="shared" ca="1" si="10"/>
        <v>0.35460092533504561</v>
      </c>
    </row>
    <row r="29" spans="2:39" ht="15.5" x14ac:dyDescent="0.35">
      <c r="B29" s="8">
        <v>78</v>
      </c>
      <c r="C29" s="9">
        <v>4.5796000000000003E-2</v>
      </c>
      <c r="D29" s="9">
        <v>3.1684999999999998E-2</v>
      </c>
      <c r="E29" s="9">
        <f t="shared" si="2"/>
        <v>4.0151600000000003E-2</v>
      </c>
      <c r="H29" s="106">
        <v>78</v>
      </c>
      <c r="I29" s="53">
        <f t="shared" ca="1" si="0"/>
        <v>0.19158990328572267</v>
      </c>
      <c r="J29" s="8">
        <v>15</v>
      </c>
      <c r="K29" s="11">
        <f t="shared" ca="1" si="19"/>
        <v>0.21794054530238335</v>
      </c>
      <c r="L29" s="11">
        <f t="shared" ca="1" si="20"/>
        <v>0.78205945469761673</v>
      </c>
      <c r="M29" s="11">
        <f t="shared" ca="1" si="11"/>
        <v>1</v>
      </c>
      <c r="N29" s="11"/>
      <c r="O29" s="11">
        <f t="shared" ca="1" si="12"/>
        <v>0.24052109325795301</v>
      </c>
      <c r="P29" s="11">
        <f t="shared" ca="1" si="13"/>
        <v>0.7594789067420471</v>
      </c>
      <c r="Q29" s="11">
        <f t="shared" ca="1" si="14"/>
        <v>1</v>
      </c>
      <c r="R29" s="11">
        <f t="shared" ca="1" si="3"/>
        <v>1352.9311495759857</v>
      </c>
      <c r="S29" s="11">
        <f t="shared" ca="1" si="4"/>
        <v>807.55191082717863</v>
      </c>
      <c r="T29" s="11">
        <f t="shared" ca="1" si="5"/>
        <v>0.1683647652805671</v>
      </c>
      <c r="U29" s="41">
        <f t="shared" ca="1" si="6"/>
        <v>0.10049534890293778</v>
      </c>
      <c r="V29" s="11"/>
      <c r="W29" s="106">
        <v>78</v>
      </c>
      <c r="X29" s="53">
        <f t="shared" ca="1" si="1"/>
        <v>5.4982936130594906E-2</v>
      </c>
      <c r="Y29" s="8">
        <v>15</v>
      </c>
      <c r="Z29" s="11">
        <f t="shared" ca="1" si="21"/>
        <v>0.66690927943410516</v>
      </c>
      <c r="AA29" s="11">
        <f t="shared" ca="1" si="22"/>
        <v>0.33309072056589467</v>
      </c>
      <c r="AB29" s="11">
        <f t="shared" ca="1" si="15"/>
        <v>0.99999999999999978</v>
      </c>
      <c r="AC29" s="11"/>
      <c r="AD29" s="11">
        <f t="shared" ca="1" si="16"/>
        <v>0.68403146551913419</v>
      </c>
      <c r="AE29" s="11">
        <f t="shared" ca="1" si="17"/>
        <v>0.3159685344808657</v>
      </c>
      <c r="AF29" s="11">
        <f t="shared" ca="1" si="18"/>
        <v>0.99999999999999989</v>
      </c>
      <c r="AG29" s="11">
        <f t="shared" ca="1" si="7"/>
        <v>1701.1862547460867</v>
      </c>
      <c r="AH29" s="11">
        <f t="shared" ca="1" si="8"/>
        <v>1015.4221159914066</v>
      </c>
      <c r="AI29" s="11">
        <f t="shared" ca="1" si="9"/>
        <v>0.54722517241530733</v>
      </c>
      <c r="AJ29" s="41">
        <f t="shared" ca="1" si="10"/>
        <v>0.32663357169003832</v>
      </c>
    </row>
    <row r="30" spans="2:39" ht="15.5" x14ac:dyDescent="0.35">
      <c r="B30" s="8">
        <v>79</v>
      </c>
      <c r="C30" s="9">
        <v>5.1618999999999998E-2</v>
      </c>
      <c r="D30" s="9">
        <v>3.6102000000000002E-2</v>
      </c>
      <c r="E30" s="9">
        <f t="shared" si="2"/>
        <v>4.54122E-2</v>
      </c>
      <c r="H30" s="106">
        <v>79</v>
      </c>
      <c r="I30" s="53">
        <f t="shared" ca="1" si="0"/>
        <v>0.21432232076448843</v>
      </c>
      <c r="J30" s="8">
        <v>16</v>
      </c>
      <c r="K30" s="11">
        <f t="shared" ca="1" si="19"/>
        <v>0.17618533730586206</v>
      </c>
      <c r="L30" s="11">
        <f t="shared" ca="1" si="20"/>
        <v>0.82381466269413806</v>
      </c>
      <c r="M30" s="11">
        <f t="shared" ca="1" si="11"/>
        <v>1</v>
      </c>
      <c r="N30" s="11"/>
      <c r="O30" s="11">
        <f t="shared" ca="1" si="12"/>
        <v>0.19706294130412272</v>
      </c>
      <c r="P30" s="11">
        <f t="shared" ca="1" si="13"/>
        <v>0.80293705869587739</v>
      </c>
      <c r="Q30" s="11">
        <f t="shared" ca="1" si="14"/>
        <v>1</v>
      </c>
      <c r="R30" s="11">
        <f t="shared" ca="1" si="3"/>
        <v>1108.4790448356903</v>
      </c>
      <c r="S30" s="11">
        <f t="shared" ca="1" si="4"/>
        <v>639.26641816870358</v>
      </c>
      <c r="T30" s="11">
        <f t="shared" ca="1" si="5"/>
        <v>0.13794405891288589</v>
      </c>
      <c r="U30" s="41">
        <f t="shared" ca="1" si="6"/>
        <v>7.9553154260994213E-2</v>
      </c>
      <c r="V30" s="11"/>
      <c r="W30" s="106">
        <v>79</v>
      </c>
      <c r="X30" s="53">
        <f t="shared" ca="1" si="1"/>
        <v>6.212293891350773E-2</v>
      </c>
      <c r="Y30" s="8">
        <v>16</v>
      </c>
      <c r="Z30" s="11">
        <f t="shared" ca="1" si="21"/>
        <v>0.63024064911807864</v>
      </c>
      <c r="AA30" s="11">
        <f t="shared" ca="1" si="22"/>
        <v>0.36975935088192113</v>
      </c>
      <c r="AB30" s="11">
        <f t="shared" ca="1" si="15"/>
        <v>0.99999999999999978</v>
      </c>
      <c r="AC30" s="11"/>
      <c r="AD30" s="11">
        <f t="shared" ca="1" si="16"/>
        <v>0.64857496427609185</v>
      </c>
      <c r="AE30" s="11">
        <f t="shared" ca="1" si="17"/>
        <v>0.35142503572390793</v>
      </c>
      <c r="AF30" s="11">
        <f t="shared" ca="1" si="18"/>
        <v>0.99999999999999978</v>
      </c>
      <c r="AG30" s="11">
        <f t="shared" ca="1" si="7"/>
        <v>1613.0059361546405</v>
      </c>
      <c r="AH30" s="11">
        <f t="shared" ca="1" si="8"/>
        <v>930.23005901142631</v>
      </c>
      <c r="AI30" s="11">
        <f t="shared" ca="1" si="9"/>
        <v>0.51885997142087348</v>
      </c>
      <c r="AJ30" s="41">
        <f t="shared" ca="1" si="10"/>
        <v>0.29922961287058342</v>
      </c>
    </row>
    <row r="31" spans="2:39" ht="15.5" x14ac:dyDescent="0.35">
      <c r="B31" s="8">
        <v>80</v>
      </c>
      <c r="C31" s="9">
        <v>5.8434E-2</v>
      </c>
      <c r="D31" s="9">
        <v>4.1002999999999998E-2</v>
      </c>
      <c r="E31" s="9">
        <f t="shared" si="2"/>
        <v>5.1461599999999996E-2</v>
      </c>
      <c r="H31" s="106">
        <v>80</v>
      </c>
      <c r="I31" s="53">
        <f t="shared" ca="1" si="0"/>
        <v>0.23982248323628008</v>
      </c>
      <c r="J31" s="8">
        <v>17</v>
      </c>
      <c r="K31" s="11">
        <f t="shared" ca="1" si="19"/>
        <v>0.13842488692979549</v>
      </c>
      <c r="L31" s="11">
        <f t="shared" ca="1" si="20"/>
        <v>0.86157511307020462</v>
      </c>
      <c r="M31" s="11">
        <f t="shared" ca="1" si="11"/>
        <v>1</v>
      </c>
      <c r="N31" s="11"/>
      <c r="O31" s="11">
        <f t="shared" ca="1" si="12"/>
        <v>0.15730511211782877</v>
      </c>
      <c r="P31" s="11">
        <f t="shared" ca="1" si="13"/>
        <v>0.8426948878821714</v>
      </c>
      <c r="Q31" s="11">
        <f t="shared" ca="1" si="14"/>
        <v>1.0000000000000002</v>
      </c>
      <c r="R31" s="11">
        <f t="shared" ca="1" si="3"/>
        <v>884.84125566278681</v>
      </c>
      <c r="S31" s="11">
        <f t="shared" ca="1" si="4"/>
        <v>493.03689185494187</v>
      </c>
      <c r="T31" s="11">
        <f t="shared" ca="1" si="5"/>
        <v>0.11011357848248013</v>
      </c>
      <c r="U31" s="41">
        <f t="shared" ca="1" si="6"/>
        <v>6.1355702097503878E-2</v>
      </c>
      <c r="V31" s="11"/>
      <c r="W31" s="106">
        <v>80</v>
      </c>
      <c r="X31" s="53">
        <f t="shared" ca="1" si="1"/>
        <v>7.0315081472066443E-2</v>
      </c>
      <c r="Y31" s="8">
        <v>17</v>
      </c>
      <c r="Z31" s="11">
        <f t="shared" ca="1" si="21"/>
        <v>0.59108824777210678</v>
      </c>
      <c r="AA31" s="11">
        <f t="shared" ca="1" si="22"/>
        <v>0.408911752227893</v>
      </c>
      <c r="AB31" s="11">
        <f t="shared" ca="1" si="15"/>
        <v>0.99999999999999978</v>
      </c>
      <c r="AC31" s="11"/>
      <c r="AD31" s="11">
        <f t="shared" ca="1" si="16"/>
        <v>0.61066444844509271</v>
      </c>
      <c r="AE31" s="11">
        <f t="shared" ca="1" si="17"/>
        <v>0.38933555155490707</v>
      </c>
      <c r="AF31" s="11">
        <f t="shared" ca="1" si="18"/>
        <v>0.99999999999999978</v>
      </c>
      <c r="AG31" s="11">
        <f t="shared" ca="1" si="7"/>
        <v>1518.7224832829456</v>
      </c>
      <c r="AH31" s="11">
        <f t="shared" ca="1" si="8"/>
        <v>846.23790759752399</v>
      </c>
      <c r="AI31" s="11">
        <f t="shared" ca="1" si="9"/>
        <v>0.48853155875607418</v>
      </c>
      <c r="AJ31" s="41">
        <f t="shared" ca="1" si="10"/>
        <v>0.27221163091194978</v>
      </c>
    </row>
    <row r="32" spans="2:39" ht="15.5" x14ac:dyDescent="0.35">
      <c r="B32" s="8">
        <v>81</v>
      </c>
      <c r="C32" s="9">
        <v>6.4439999999999997E-2</v>
      </c>
      <c r="D32" s="9">
        <v>4.6822000000000003E-2</v>
      </c>
      <c r="E32" s="9">
        <f t="shared" si="2"/>
        <v>5.7392799999999994E-2</v>
      </c>
      <c r="H32" s="106">
        <v>81</v>
      </c>
      <c r="I32" s="53">
        <f t="shared" ca="1" si="0"/>
        <v>0.26417149677577845</v>
      </c>
      <c r="J32" s="8">
        <v>18</v>
      </c>
      <c r="K32" s="11">
        <f t="shared" ca="1" si="19"/>
        <v>0.10522748680459065</v>
      </c>
      <c r="L32" s="11">
        <f t="shared" ca="1" si="20"/>
        <v>0.89477251319540951</v>
      </c>
      <c r="M32" s="11">
        <f t="shared" ca="1" si="11"/>
        <v>1.0000000000000002</v>
      </c>
      <c r="N32" s="11"/>
      <c r="O32" s="11">
        <f t="shared" ca="1" si="12"/>
        <v>0.12182618686719307</v>
      </c>
      <c r="P32" s="11">
        <f t="shared" ca="1" si="13"/>
        <v>0.87817381313280707</v>
      </c>
      <c r="Q32" s="11">
        <f t="shared" ca="1" si="14"/>
        <v>1.0000000000000002</v>
      </c>
      <c r="R32" s="11">
        <f t="shared" ca="1" si="3"/>
        <v>685.27230112796099</v>
      </c>
      <c r="S32" s="11">
        <f t="shared" ca="1" si="4"/>
        <v>368.92397693751656</v>
      </c>
      <c r="T32" s="11">
        <f t="shared" ca="1" si="5"/>
        <v>8.5278330807035146E-2</v>
      </c>
      <c r="U32" s="41">
        <f t="shared" ca="1" si="6"/>
        <v>4.5910539352224285E-2</v>
      </c>
      <c r="V32" s="11"/>
      <c r="W32" s="106">
        <v>81</v>
      </c>
      <c r="X32" s="53">
        <f t="shared" ca="1" si="1"/>
        <v>7.8327904967461226E-2</v>
      </c>
      <c r="Y32" s="8">
        <v>18</v>
      </c>
      <c r="Z32" s="11">
        <f t="shared" ca="1" si="21"/>
        <v>0.54952582947283013</v>
      </c>
      <c r="AA32" s="11">
        <f t="shared" ca="1" si="22"/>
        <v>0.4504741705271697</v>
      </c>
      <c r="AB32" s="11">
        <f t="shared" ca="1" si="15"/>
        <v>0.99999999999999978</v>
      </c>
      <c r="AC32" s="11"/>
      <c r="AD32" s="11">
        <f t="shared" ca="1" si="16"/>
        <v>0.57030703862246845</v>
      </c>
      <c r="AE32" s="11">
        <f t="shared" ca="1" si="17"/>
        <v>0.42969296137753132</v>
      </c>
      <c r="AF32" s="11">
        <f t="shared" ca="1" si="18"/>
        <v>0.99999999999999978</v>
      </c>
      <c r="AG32" s="11">
        <f t="shared" ca="1" si="7"/>
        <v>1418.353605054079</v>
      </c>
      <c r="AH32" s="11">
        <f t="shared" ca="1" si="8"/>
        <v>763.5864631022132</v>
      </c>
      <c r="AI32" s="11">
        <f t="shared" ca="1" si="9"/>
        <v>0.45624563089797476</v>
      </c>
      <c r="AJ32" s="41">
        <f t="shared" ca="1" si="10"/>
        <v>0.24562491776508669</v>
      </c>
    </row>
    <row r="33" spans="2:36" ht="15.5" x14ac:dyDescent="0.35">
      <c r="B33" s="8">
        <v>82</v>
      </c>
      <c r="C33" s="9">
        <v>7.2256000000000001E-2</v>
      </c>
      <c r="D33" s="9">
        <v>5.1847999999999998E-2</v>
      </c>
      <c r="E33" s="9">
        <f t="shared" si="2"/>
        <v>6.4092800000000005E-2</v>
      </c>
      <c r="H33" s="106">
        <v>82</v>
      </c>
      <c r="I33" s="53">
        <f t="shared" ca="1" si="0"/>
        <v>0.2909152071522495</v>
      </c>
      <c r="J33" s="8">
        <v>19</v>
      </c>
      <c r="K33" s="11">
        <f t="shared" ca="1" si="19"/>
        <v>7.7429384113468461E-2</v>
      </c>
      <c r="L33" s="11">
        <f t="shared" ca="1" si="20"/>
        <v>0.92257061588653166</v>
      </c>
      <c r="M33" s="11">
        <f t="shared" ca="1" si="11"/>
        <v>1.0000000000000002</v>
      </c>
      <c r="N33" s="11"/>
      <c r="O33" s="11">
        <f t="shared" ca="1" si="12"/>
        <v>9.132843545902955E-2</v>
      </c>
      <c r="P33" s="11">
        <f t="shared" ca="1" si="13"/>
        <v>0.90867156454097064</v>
      </c>
      <c r="Q33" s="11">
        <f t="shared" ca="1" si="14"/>
        <v>1.0000000000000002</v>
      </c>
      <c r="R33" s="11">
        <f t="shared" ca="1" si="3"/>
        <v>513.72244945704119</v>
      </c>
      <c r="S33" s="11">
        <f t="shared" ca="1" si="4"/>
        <v>267.21565536451448</v>
      </c>
      <c r="T33" s="11">
        <f t="shared" ca="1" si="5"/>
        <v>6.3929904821320688E-2</v>
      </c>
      <c r="U33" s="41">
        <f t="shared" ca="1" si="6"/>
        <v>3.325350377869514E-2</v>
      </c>
      <c r="V33" s="11"/>
      <c r="W33" s="106">
        <v>82</v>
      </c>
      <c r="X33" s="53">
        <f t="shared" ca="1" si="1"/>
        <v>8.7356325809630486E-2</v>
      </c>
      <c r="Y33" s="8">
        <v>19</v>
      </c>
      <c r="Z33" s="11">
        <f t="shared" ca="1" si="21"/>
        <v>0.50648262252471699</v>
      </c>
      <c r="AA33" s="11">
        <f t="shared" ca="1" si="22"/>
        <v>0.49351737747528285</v>
      </c>
      <c r="AB33" s="11">
        <f t="shared" ca="1" si="15"/>
        <v>0.99999999999999978</v>
      </c>
      <c r="AC33" s="11"/>
      <c r="AD33" s="11">
        <f t="shared" ca="1" si="16"/>
        <v>0.52800422599877361</v>
      </c>
      <c r="AE33" s="11">
        <f t="shared" ca="1" si="17"/>
        <v>0.47199577400122628</v>
      </c>
      <c r="AF33" s="11">
        <f t="shared" ca="1" si="18"/>
        <v>0.99999999999999989</v>
      </c>
      <c r="AG33" s="11">
        <f t="shared" ca="1" si="7"/>
        <v>1313.1465100589501</v>
      </c>
      <c r="AH33" s="11">
        <f t="shared" ca="1" si="8"/>
        <v>683.04062951870276</v>
      </c>
      <c r="AI33" s="11">
        <f t="shared" ca="1" si="9"/>
        <v>0.4224033807990189</v>
      </c>
      <c r="AJ33" s="41">
        <f t="shared" ca="1" si="10"/>
        <v>0.21971552216122323</v>
      </c>
    </row>
    <row r="34" spans="2:36" ht="15.5" x14ac:dyDescent="0.35">
      <c r="B34" s="8">
        <v>83</v>
      </c>
      <c r="C34" s="9">
        <v>7.9641000000000003E-2</v>
      </c>
      <c r="D34" s="9">
        <v>5.8248000000000001E-2</v>
      </c>
      <c r="E34" s="9">
        <f t="shared" si="2"/>
        <v>7.1083800000000003E-2</v>
      </c>
      <c r="H34" s="106">
        <v>83</v>
      </c>
      <c r="I34" s="53">
        <f t="shared" ca="1" si="0"/>
        <v>0.31797824720522683</v>
      </c>
      <c r="J34" s="8">
        <v>20</v>
      </c>
      <c r="K34" s="11">
        <f t="shared" ca="1" si="19"/>
        <v>5.4903998794427686E-2</v>
      </c>
      <c r="L34" s="11">
        <f t="shared" ca="1" si="20"/>
        <v>0.94509600120557247</v>
      </c>
      <c r="M34" s="11">
        <f t="shared" ca="1" si="11"/>
        <v>1.0000000000000002</v>
      </c>
      <c r="N34" s="11"/>
      <c r="O34" s="11">
        <f t="shared" ca="1" si="12"/>
        <v>6.6166691453948073E-2</v>
      </c>
      <c r="P34" s="11">
        <f t="shared" ca="1" si="13"/>
        <v>0.93383330854605207</v>
      </c>
      <c r="Q34" s="11">
        <f t="shared" ca="1" si="14"/>
        <v>1.0000000000000002</v>
      </c>
      <c r="R34" s="11">
        <f t="shared" ca="1" si="3"/>
        <v>372.18763942845789</v>
      </c>
      <c r="S34" s="11">
        <f t="shared" ca="1" si="4"/>
        <v>187.04881018389867</v>
      </c>
      <c r="T34" s="11">
        <f t="shared" ca="1" si="5"/>
        <v>4.6316684017763649E-2</v>
      </c>
      <c r="U34" s="41">
        <f t="shared" ca="1" si="6"/>
        <v>2.3277185267329612E-2</v>
      </c>
      <c r="V34" s="11"/>
      <c r="W34" s="106">
        <v>83</v>
      </c>
      <c r="X34" s="53">
        <f t="shared" ca="1" si="1"/>
        <v>9.6750726512224827E-2</v>
      </c>
      <c r="Y34" s="8">
        <v>20</v>
      </c>
      <c r="Z34" s="11">
        <f t="shared" ca="1" si="21"/>
        <v>0.46223816153453173</v>
      </c>
      <c r="AA34" s="11">
        <f t="shared" ca="1" si="22"/>
        <v>0.5377618384654681</v>
      </c>
      <c r="AB34" s="11">
        <f t="shared" ca="1" si="15"/>
        <v>0.99999999999999978</v>
      </c>
      <c r="AC34" s="11"/>
      <c r="AD34" s="11">
        <f t="shared" ca="1" si="16"/>
        <v>0.48436039202962433</v>
      </c>
      <c r="AE34" s="11">
        <f t="shared" ca="1" si="17"/>
        <v>0.51563960797037545</v>
      </c>
      <c r="AF34" s="11">
        <f t="shared" ca="1" si="18"/>
        <v>0.99999999999999978</v>
      </c>
      <c r="AG34" s="11">
        <f t="shared" ca="1" si="7"/>
        <v>1204.6042949776756</v>
      </c>
      <c r="AH34" s="11">
        <f t="shared" ca="1" si="8"/>
        <v>605.39302289564466</v>
      </c>
      <c r="AI34" s="11">
        <f t="shared" ca="1" si="9"/>
        <v>0.38748831362369951</v>
      </c>
      <c r="AJ34" s="41">
        <f t="shared" ca="1" si="10"/>
        <v>0.19473840704323112</v>
      </c>
    </row>
    <row r="35" spans="2:36" ht="15.5" x14ac:dyDescent="0.35">
      <c r="B35" s="8">
        <v>84</v>
      </c>
      <c r="C35" s="9">
        <v>8.9278999999999997E-2</v>
      </c>
      <c r="D35" s="9">
        <v>6.5995999999999999E-2</v>
      </c>
      <c r="E35" s="9">
        <f t="shared" si="2"/>
        <v>7.9965800000000004E-2</v>
      </c>
      <c r="H35" s="106">
        <v>84</v>
      </c>
      <c r="I35" s="53">
        <f t="shared" ca="1" si="0"/>
        <v>0.35115253542315339</v>
      </c>
      <c r="J35" s="8">
        <v>21</v>
      </c>
      <c r="K35" s="11">
        <f t="shared" ca="1" si="19"/>
        <v>3.7445721493217683E-2</v>
      </c>
      <c r="L35" s="11">
        <f t="shared" ca="1" si="20"/>
        <v>0.96255427850678243</v>
      </c>
      <c r="M35" s="11">
        <f t="shared" ca="1" si="11"/>
        <v>1.0000000000000002</v>
      </c>
      <c r="N35" s="11"/>
      <c r="O35" s="11">
        <f t="shared" ca="1" si="12"/>
        <v>4.6174860143822688E-2</v>
      </c>
      <c r="P35" s="11">
        <f t="shared" ca="1" si="13"/>
        <v>0.95382513985617745</v>
      </c>
      <c r="Q35" s="11">
        <f t="shared" ca="1" si="14"/>
        <v>1.0000000000000002</v>
      </c>
      <c r="R35" s="11">
        <f t="shared" ca="1" si="3"/>
        <v>259.73358830900264</v>
      </c>
      <c r="S35" s="11">
        <f t="shared" ca="1" si="4"/>
        <v>126.11907297113562</v>
      </c>
      <c r="T35" s="11">
        <f t="shared" ca="1" si="5"/>
        <v>3.2322402100675877E-2</v>
      </c>
      <c r="U35" s="41">
        <f t="shared" ca="1" si="6"/>
        <v>1.5694817969741318E-2</v>
      </c>
      <c r="V35" s="11"/>
      <c r="W35" s="106">
        <v>84</v>
      </c>
      <c r="X35" s="53">
        <f t="shared" ca="1" si="1"/>
        <v>0.10864751286718088</v>
      </c>
      <c r="Y35" s="8">
        <v>21</v>
      </c>
      <c r="Z35" s="11">
        <f t="shared" ca="1" si="21"/>
        <v>0.41751628358439064</v>
      </c>
      <c r="AA35" s="11">
        <f t="shared" ca="1" si="22"/>
        <v>0.58248371641560914</v>
      </c>
      <c r="AB35" s="11">
        <f t="shared" ca="1" si="15"/>
        <v>0.99999999999999978</v>
      </c>
      <c r="AC35" s="11"/>
      <c r="AD35" s="11">
        <f t="shared" ca="1" si="16"/>
        <v>0.43987722255946116</v>
      </c>
      <c r="AE35" s="11">
        <f t="shared" ca="1" si="17"/>
        <v>0.56012277744053862</v>
      </c>
      <c r="AF35" s="11">
        <f t="shared" ca="1" si="18"/>
        <v>0.99999999999999978</v>
      </c>
      <c r="AG35" s="11">
        <f t="shared" ca="1" si="7"/>
        <v>1093.9746525053799</v>
      </c>
      <c r="AH35" s="11">
        <f t="shared" ca="1" si="8"/>
        <v>531.2022596929429</v>
      </c>
      <c r="AI35" s="11">
        <f t="shared" ca="1" si="9"/>
        <v>0.35190177804756895</v>
      </c>
      <c r="AJ35" s="41">
        <f t="shared" ca="1" si="10"/>
        <v>0.17087326407493139</v>
      </c>
    </row>
    <row r="36" spans="2:36" ht="15.5" x14ac:dyDescent="0.35">
      <c r="B36" s="8">
        <v>85</v>
      </c>
      <c r="C36" s="9">
        <v>9.9786E-2</v>
      </c>
      <c r="D36" s="9">
        <v>7.4903999999999998E-2</v>
      </c>
      <c r="E36" s="9">
        <f t="shared" si="2"/>
        <v>8.9833200000000002E-2</v>
      </c>
      <c r="H36" s="106">
        <v>85</v>
      </c>
      <c r="I36" s="53">
        <f t="shared" ca="1" si="0"/>
        <v>0.38646698600790608</v>
      </c>
      <c r="J36" s="8">
        <v>22</v>
      </c>
      <c r="K36" s="11">
        <f t="shared" ca="1" si="19"/>
        <v>2.4296561450125025E-2</v>
      </c>
      <c r="L36" s="11">
        <f t="shared" ca="1" si="20"/>
        <v>0.97570343854987507</v>
      </c>
      <c r="M36" s="11">
        <f t="shared" ca="1" si="11"/>
        <v>1</v>
      </c>
      <c r="N36" s="11"/>
      <c r="O36" s="11">
        <f t="shared" ca="1" si="12"/>
        <v>3.0871141471671353E-2</v>
      </c>
      <c r="P36" s="11">
        <f t="shared" ca="1" si="13"/>
        <v>0.96912885852832875</v>
      </c>
      <c r="Q36" s="11">
        <f t="shared" ca="1" si="14"/>
        <v>1</v>
      </c>
      <c r="R36" s="11">
        <f t="shared" ca="1" si="3"/>
        <v>173.65017077815136</v>
      </c>
      <c r="S36" s="11">
        <f t="shared" ca="1" si="4"/>
        <v>81.468087151468922</v>
      </c>
      <c r="T36" s="11">
        <f t="shared" ca="1" si="5"/>
        <v>2.1609799030169945E-2</v>
      </c>
      <c r="U36" s="41">
        <f t="shared" ca="1" si="6"/>
        <v>1.0138250845516132E-2</v>
      </c>
      <c r="V36" s="11"/>
      <c r="W36" s="106">
        <v>85</v>
      </c>
      <c r="X36" s="53">
        <f t="shared" ca="1" si="1"/>
        <v>0.12181307677909281</v>
      </c>
      <c r="Y36" s="8">
        <v>22</v>
      </c>
      <c r="Z36" s="11">
        <f t="shared" ca="1" si="21"/>
        <v>0.37215417779139803</v>
      </c>
      <c r="AA36" s="11">
        <f t="shared" ca="1" si="22"/>
        <v>0.62784582220860174</v>
      </c>
      <c r="AB36" s="11">
        <f t="shared" ca="1" si="15"/>
        <v>0.99999999999999978</v>
      </c>
      <c r="AC36" s="11"/>
      <c r="AD36" s="11">
        <f t="shared" ca="1" si="16"/>
        <v>0.39483523068789433</v>
      </c>
      <c r="AE36" s="11">
        <f t="shared" ca="1" si="17"/>
        <v>0.60516476931210539</v>
      </c>
      <c r="AF36" s="11">
        <f t="shared" ca="1" si="18"/>
        <v>0.99999999999999978</v>
      </c>
      <c r="AG36" s="11">
        <f t="shared" ca="1" si="7"/>
        <v>981.95521872079325</v>
      </c>
      <c r="AH36" s="11">
        <f t="shared" ca="1" si="8"/>
        <v>460.68491023707452</v>
      </c>
      <c r="AI36" s="11">
        <f t="shared" ca="1" si="9"/>
        <v>0.31586818455031551</v>
      </c>
      <c r="AJ36" s="41">
        <f t="shared" ca="1" si="10"/>
        <v>0.14818975801755513</v>
      </c>
    </row>
    <row r="37" spans="2:36" ht="15.5" x14ac:dyDescent="0.35">
      <c r="B37" s="8">
        <v>86</v>
      </c>
      <c r="C37" s="9">
        <v>0.112011</v>
      </c>
      <c r="D37" s="9">
        <v>8.5365999999999997E-2</v>
      </c>
      <c r="E37" s="9">
        <f t="shared" si="2"/>
        <v>0.101353</v>
      </c>
      <c r="H37" s="106">
        <v>86</v>
      </c>
      <c r="I37" s="53">
        <f t="shared" ca="1" si="0"/>
        <v>0.42571486025984395</v>
      </c>
      <c r="J37" s="8">
        <v>23</v>
      </c>
      <c r="K37" s="11">
        <f t="shared" ca="1" si="19"/>
        <v>1.4906742576139328E-2</v>
      </c>
      <c r="L37" s="11">
        <f t="shared" ca="1" si="20"/>
        <v>0.98509325742386078</v>
      </c>
      <c r="M37" s="11">
        <f t="shared" ca="1" si="11"/>
        <v>1</v>
      </c>
      <c r="N37" s="11"/>
      <c r="O37" s="11">
        <f t="shared" ca="1" si="12"/>
        <v>1.9601652013132177E-2</v>
      </c>
      <c r="P37" s="11">
        <f t="shared" ca="1" si="13"/>
        <v>0.98039834798686787</v>
      </c>
      <c r="Q37" s="11">
        <f t="shared" ca="1" si="14"/>
        <v>1</v>
      </c>
      <c r="R37" s="11">
        <f t="shared" ca="1" si="3"/>
        <v>110.25929257386849</v>
      </c>
      <c r="S37" s="11">
        <f t="shared" ca="1" si="4"/>
        <v>49.97895329251056</v>
      </c>
      <c r="T37" s="11">
        <f t="shared" ca="1" si="5"/>
        <v>1.3721156409192522E-2</v>
      </c>
      <c r="U37" s="41">
        <f t="shared" ca="1" si="6"/>
        <v>6.2196030764013139E-3</v>
      </c>
      <c r="V37" s="11"/>
      <c r="W37" s="106">
        <v>86</v>
      </c>
      <c r="X37" s="53">
        <f t="shared" ca="1" si="1"/>
        <v>0.13711484443785682</v>
      </c>
      <c r="Y37" s="8">
        <v>23</v>
      </c>
      <c r="Z37" s="11">
        <f t="shared" ca="1" si="21"/>
        <v>0.32682093235843429</v>
      </c>
      <c r="AA37" s="11">
        <f t="shared" ca="1" si="22"/>
        <v>0.67317906764156543</v>
      </c>
      <c r="AB37" s="11">
        <f t="shared" ca="1" si="15"/>
        <v>0.99999999999999978</v>
      </c>
      <c r="AC37" s="11"/>
      <c r="AD37" s="11">
        <f t="shared" ca="1" si="16"/>
        <v>0.34948755507491613</v>
      </c>
      <c r="AE37" s="11">
        <f t="shared" ca="1" si="17"/>
        <v>0.65051244492508364</v>
      </c>
      <c r="AF37" s="11">
        <f t="shared" ca="1" si="18"/>
        <v>0.99999999999999978</v>
      </c>
      <c r="AG37" s="11">
        <f t="shared" ca="1" si="7"/>
        <v>869.17554947131646</v>
      </c>
      <c r="AH37" s="11">
        <f t="shared" ca="1" si="8"/>
        <v>393.98478963499667</v>
      </c>
      <c r="AI37" s="11">
        <f t="shared" ca="1" si="9"/>
        <v>0.27959004405993293</v>
      </c>
      <c r="AJ37" s="41">
        <f t="shared" ca="1" si="10"/>
        <v>0.12673415026457471</v>
      </c>
    </row>
    <row r="38" spans="2:36" ht="15.5" x14ac:dyDescent="0.35">
      <c r="B38" s="8">
        <v>87</v>
      </c>
      <c r="C38" s="9">
        <v>0.126777</v>
      </c>
      <c r="D38" s="9">
        <v>9.6462999999999993E-2</v>
      </c>
      <c r="E38" s="9">
        <f t="shared" si="2"/>
        <v>0.1146514</v>
      </c>
      <c r="H38" s="106">
        <v>87</v>
      </c>
      <c r="I38" s="53">
        <f t="shared" ca="1" si="0"/>
        <v>0.4684755554586616</v>
      </c>
      <c r="J38" s="8">
        <v>24</v>
      </c>
      <c r="K38" s="11">
        <f t="shared" ca="1" si="19"/>
        <v>8.560720743408707E-3</v>
      </c>
      <c r="L38" s="11">
        <f t="shared" ca="1" si="20"/>
        <v>0.99143927925659137</v>
      </c>
      <c r="M38" s="11">
        <f t="shared" ca="1" si="11"/>
        <v>1</v>
      </c>
      <c r="N38" s="11"/>
      <c r="O38" s="11">
        <f t="shared" ca="1" si="12"/>
        <v>1.1733731659774017E-2</v>
      </c>
      <c r="P38" s="11">
        <f t="shared" ca="1" si="13"/>
        <v>0.98826626834022613</v>
      </c>
      <c r="Q38" s="11">
        <f t="shared" ca="1" si="14"/>
        <v>1.0000000000000002</v>
      </c>
      <c r="R38" s="11">
        <f t="shared" ca="1" si="3"/>
        <v>66.002240586228851</v>
      </c>
      <c r="S38" s="11">
        <f t="shared" ca="1" si="4"/>
        <v>28.906152117755965</v>
      </c>
      <c r="T38" s="11">
        <f t="shared" ca="1" si="5"/>
        <v>8.2136121618418111E-3</v>
      </c>
      <c r="U38" s="41">
        <f t="shared" ca="1" si="6"/>
        <v>3.5972100413207415E-3</v>
      </c>
      <c r="V38" s="11"/>
      <c r="W38" s="106">
        <v>87</v>
      </c>
      <c r="X38" s="53">
        <f t="shared" ca="1" si="1"/>
        <v>0.15468662488606377</v>
      </c>
      <c r="Y38" s="8">
        <v>24</v>
      </c>
      <c r="Z38" s="11">
        <f t="shared" ca="1" si="21"/>
        <v>0.28200893105907227</v>
      </c>
      <c r="AA38" s="11">
        <f t="shared" ca="1" si="22"/>
        <v>0.71799106894092746</v>
      </c>
      <c r="AB38" s="11">
        <f t="shared" ca="1" si="15"/>
        <v>0.99999999999999978</v>
      </c>
      <c r="AC38" s="11"/>
      <c r="AD38" s="11">
        <f t="shared" ca="1" si="16"/>
        <v>0.30441493170875328</v>
      </c>
      <c r="AE38" s="11">
        <f t="shared" ca="1" si="17"/>
        <v>0.69558506829124644</v>
      </c>
      <c r="AF38" s="11">
        <f t="shared" ca="1" si="18"/>
        <v>0.99999999999999978</v>
      </c>
      <c r="AG38" s="11">
        <f t="shared" ca="1" si="7"/>
        <v>757.07993515966939</v>
      </c>
      <c r="AH38" s="11">
        <f t="shared" ca="1" si="8"/>
        <v>331.56855853151609</v>
      </c>
      <c r="AI38" s="11">
        <f t="shared" ca="1" si="9"/>
        <v>0.24353194536700262</v>
      </c>
      <c r="AJ38" s="41">
        <f t="shared" ca="1" si="10"/>
        <v>0.10665655280466943</v>
      </c>
    </row>
    <row r="39" spans="2:36" ht="15.5" x14ac:dyDescent="0.35">
      <c r="B39" s="8">
        <v>88</v>
      </c>
      <c r="C39" s="9">
        <v>0.14127000000000001</v>
      </c>
      <c r="D39" s="9">
        <v>0.10999</v>
      </c>
      <c r="E39" s="9">
        <f t="shared" si="2"/>
        <v>0.12875800000000001</v>
      </c>
      <c r="H39" s="106">
        <v>88</v>
      </c>
      <c r="I39" s="53">
        <f t="shared" ca="1" si="0"/>
        <v>0.51098701742930408</v>
      </c>
      <c r="J39" s="8">
        <v>25</v>
      </c>
      <c r="K39" s="11">
        <f t="shared" ca="1" si="19"/>
        <v>4.5502323380138265E-3</v>
      </c>
      <c r="L39" s="11">
        <f t="shared" ca="1" si="20"/>
        <v>0.99544976766198623</v>
      </c>
      <c r="M39" s="11">
        <f t="shared" ca="1" si="11"/>
        <v>1</v>
      </c>
      <c r="N39" s="11"/>
      <c r="O39" s="11">
        <f t="shared" ca="1" si="12"/>
        <v>6.5554765407112667E-3</v>
      </c>
      <c r="P39" s="11">
        <f t="shared" ca="1" si="13"/>
        <v>0.9934445234592888</v>
      </c>
      <c r="Q39" s="11">
        <f t="shared" ca="1" si="14"/>
        <v>1</v>
      </c>
      <c r="R39" s="11">
        <f t="shared" ca="1" si="3"/>
        <v>36.874555541500875</v>
      </c>
      <c r="S39" s="11">
        <f t="shared" ca="1" si="4"/>
        <v>15.603357158055077</v>
      </c>
      <c r="T39" s="11">
        <f t="shared" ca="1" si="5"/>
        <v>4.5888335784978864E-3</v>
      </c>
      <c r="U39" s="41">
        <f t="shared" ca="1" si="6"/>
        <v>1.9417511130024095E-3</v>
      </c>
      <c r="V39" s="11"/>
      <c r="W39" s="106">
        <v>88</v>
      </c>
      <c r="X39" s="53">
        <f t="shared" ca="1" si="1"/>
        <v>0.17321698036700051</v>
      </c>
      <c r="Y39" s="8">
        <v>25</v>
      </c>
      <c r="Z39" s="11">
        <f t="shared" ca="1" si="21"/>
        <v>0.23838592132581773</v>
      </c>
      <c r="AA39" s="11">
        <f t="shared" ca="1" si="22"/>
        <v>0.76161407867418196</v>
      </c>
      <c r="AB39" s="11">
        <f t="shared" ca="1" si="15"/>
        <v>0.99999999999999967</v>
      </c>
      <c r="AC39" s="11"/>
      <c r="AD39" s="11">
        <f t="shared" ca="1" si="16"/>
        <v>0.26019742619244501</v>
      </c>
      <c r="AE39" s="11">
        <f t="shared" ca="1" si="17"/>
        <v>0.73980257380755465</v>
      </c>
      <c r="AF39" s="11">
        <f t="shared" ca="1" si="18"/>
        <v>0.99999999999999967</v>
      </c>
      <c r="AG39" s="11">
        <f t="shared" ca="1" si="7"/>
        <v>647.11099894061078</v>
      </c>
      <c r="AH39" s="11">
        <f t="shared" ca="1" si="8"/>
        <v>273.82307092521438</v>
      </c>
      <c r="AI39" s="11">
        <f t="shared" ca="1" si="9"/>
        <v>0.20815794095395601</v>
      </c>
      <c r="AJ39" s="41">
        <f t="shared" ca="1" si="10"/>
        <v>8.8081406007306587E-2</v>
      </c>
    </row>
    <row r="40" spans="2:36" ht="15.5" x14ac:dyDescent="0.35">
      <c r="B40" s="8">
        <v>89</v>
      </c>
      <c r="C40" s="9">
        <v>0.15698699999999999</v>
      </c>
      <c r="D40" s="9">
        <v>0.12453</v>
      </c>
      <c r="E40" s="9">
        <f t="shared" si="2"/>
        <v>0.1440042</v>
      </c>
      <c r="H40" s="106">
        <v>89</v>
      </c>
      <c r="I40" s="53">
        <f t="shared" ca="1" si="0"/>
        <v>0.55380183556204443</v>
      </c>
      <c r="J40" s="8">
        <v>26</v>
      </c>
      <c r="K40" s="11">
        <f t="shared" ca="1" si="19"/>
        <v>2.2251226870017723E-3</v>
      </c>
      <c r="L40" s="11">
        <f t="shared" ca="1" si="20"/>
        <v>0.9977748773129983</v>
      </c>
      <c r="M40" s="11">
        <f t="shared" ca="1" si="11"/>
        <v>1</v>
      </c>
      <c r="N40" s="11"/>
      <c r="O40" s="11">
        <f t="shared" ca="1" si="12"/>
        <v>3.3876775125077996E-3</v>
      </c>
      <c r="P40" s="11">
        <f t="shared" ca="1" si="13"/>
        <v>0.99661232248749232</v>
      </c>
      <c r="Q40" s="11">
        <f t="shared" ca="1" si="14"/>
        <v>1.0000000000000002</v>
      </c>
      <c r="R40" s="11">
        <f t="shared" ca="1" si="3"/>
        <v>19.055686007856373</v>
      </c>
      <c r="S40" s="11">
        <f t="shared" ca="1" si="4"/>
        <v>7.7906822828006543</v>
      </c>
      <c r="T40" s="11">
        <f t="shared" ca="1" si="5"/>
        <v>2.3713742587554596E-3</v>
      </c>
      <c r="U40" s="41">
        <f t="shared" ca="1" si="6"/>
        <v>9.6950712852630363E-4</v>
      </c>
      <c r="V40" s="11"/>
      <c r="W40" s="106">
        <v>89</v>
      </c>
      <c r="X40" s="53">
        <f t="shared" ca="1" si="1"/>
        <v>0.19311646288100204</v>
      </c>
      <c r="Y40" s="8">
        <v>26</v>
      </c>
      <c r="Z40" s="11">
        <f t="shared" ca="1" si="21"/>
        <v>0.19709343187175424</v>
      </c>
      <c r="AA40" s="11">
        <f t="shared" ca="1" si="22"/>
        <v>0.80290656812824546</v>
      </c>
      <c r="AB40" s="11">
        <f t="shared" ca="1" si="15"/>
        <v>0.99999999999999967</v>
      </c>
      <c r="AC40" s="11"/>
      <c r="AD40" s="11">
        <f t="shared" ca="1" si="16"/>
        <v>0.21773967659878599</v>
      </c>
      <c r="AE40" s="11">
        <f t="shared" ca="1" si="17"/>
        <v>0.78226032340121376</v>
      </c>
      <c r="AF40" s="11">
        <f t="shared" ca="1" si="18"/>
        <v>0.99999999999999978</v>
      </c>
      <c r="AG40" s="11">
        <f t="shared" ca="1" si="7"/>
        <v>541.51857570118079</v>
      </c>
      <c r="AH40" s="11">
        <f t="shared" ca="1" si="8"/>
        <v>221.39319318041274</v>
      </c>
      <c r="AI40" s="11">
        <f t="shared" ca="1" si="9"/>
        <v>0.17419174127902881</v>
      </c>
      <c r="AJ40" s="41">
        <f t="shared" ca="1" si="10"/>
        <v>7.1216145775766057E-2</v>
      </c>
    </row>
    <row r="41" spans="2:36" ht="15.5" x14ac:dyDescent="0.35">
      <c r="B41" s="8">
        <v>90</v>
      </c>
      <c r="C41" s="9">
        <v>0.175981</v>
      </c>
      <c r="D41" s="9">
        <v>0.139541</v>
      </c>
      <c r="E41" s="9">
        <f t="shared" si="2"/>
        <v>0.16140499999999999</v>
      </c>
      <c r="H41" s="106">
        <v>90</v>
      </c>
      <c r="I41" s="53">
        <f t="shared" ca="1" si="0"/>
        <v>0.59891513480232872</v>
      </c>
      <c r="J41" s="8">
        <v>27</v>
      </c>
      <c r="K41" s="11">
        <f t="shared" ca="1" si="19"/>
        <v>9.9284565858944233E-4</v>
      </c>
      <c r="L41" s="11">
        <f t="shared" ca="1" si="20"/>
        <v>0.99900715434141063</v>
      </c>
      <c r="M41" s="11">
        <f t="shared" ca="1" si="11"/>
        <v>1</v>
      </c>
      <c r="N41" s="11"/>
      <c r="O41" s="11">
        <f t="shared" ca="1" si="12"/>
        <v>1.6089841727956072E-3</v>
      </c>
      <c r="P41" s="11">
        <f t="shared" ca="1" si="13"/>
        <v>0.99839101582720446</v>
      </c>
      <c r="Q41" s="11">
        <f t="shared" ca="1" si="14"/>
        <v>1</v>
      </c>
      <c r="R41" s="11">
        <f t="shared" ca="1" si="3"/>
        <v>9.0505359719752896</v>
      </c>
      <c r="S41" s="11">
        <f t="shared" ca="1" si="4"/>
        <v>3.575072508409602</v>
      </c>
      <c r="T41" s="11">
        <f t="shared" ca="1" si="5"/>
        <v>1.1262889209569249E-3</v>
      </c>
      <c r="U41" s="41">
        <f t="shared" ca="1" si="6"/>
        <v>4.4489791215763933E-4</v>
      </c>
      <c r="V41" s="11"/>
      <c r="W41" s="106">
        <v>90</v>
      </c>
      <c r="X41" s="53">
        <f t="shared" ca="1" si="1"/>
        <v>0.21566403299597048</v>
      </c>
      <c r="Y41" s="8">
        <v>27</v>
      </c>
      <c r="Z41" s="11">
        <f t="shared" ca="1" si="21"/>
        <v>0.1590314454516033</v>
      </c>
      <c r="AA41" s="11">
        <f t="shared" ca="1" si="22"/>
        <v>0.84096855454839636</v>
      </c>
      <c r="AB41" s="11">
        <f t="shared" ca="1" si="15"/>
        <v>0.99999999999999967</v>
      </c>
      <c r="AC41" s="11"/>
      <c r="AD41" s="11">
        <f t="shared" ca="1" si="16"/>
        <v>0.17806243866167876</v>
      </c>
      <c r="AE41" s="11">
        <f t="shared" ca="1" si="17"/>
        <v>0.82193756133832085</v>
      </c>
      <c r="AF41" s="11">
        <f t="shared" ca="1" si="18"/>
        <v>0.99999999999999956</v>
      </c>
      <c r="AG41" s="11">
        <f t="shared" ca="1" si="7"/>
        <v>442.84128495159507</v>
      </c>
      <c r="AH41" s="11">
        <f t="shared" ca="1" si="8"/>
        <v>174.92772895677442</v>
      </c>
      <c r="AI41" s="11">
        <f t="shared" ca="1" si="9"/>
        <v>0.14244995092934301</v>
      </c>
      <c r="AJ41" s="41">
        <f t="shared" ca="1" si="10"/>
        <v>5.6269474533743279E-2</v>
      </c>
    </row>
    <row r="42" spans="2:36" ht="15.5" x14ac:dyDescent="0.35">
      <c r="B42" s="8">
        <v>91</v>
      </c>
      <c r="C42" s="9">
        <v>0.194163</v>
      </c>
      <c r="D42" s="9">
        <v>0.157667</v>
      </c>
      <c r="E42" s="9">
        <f t="shared" si="2"/>
        <v>0.17956460000000002</v>
      </c>
      <c r="H42" s="106">
        <v>91</v>
      </c>
      <c r="I42" s="53">
        <f t="shared" ca="1" si="0"/>
        <v>0.64199393089747581</v>
      </c>
      <c r="J42" s="8">
        <v>28</v>
      </c>
      <c r="K42" s="11">
        <f t="shared" ca="1" si="19"/>
        <v>3.9821536713743964E-4</v>
      </c>
      <c r="L42" s="11">
        <f t="shared" ca="1" si="20"/>
        <v>0.99960178463286264</v>
      </c>
      <c r="M42" s="11">
        <f t="shared" ca="1" si="11"/>
        <v>1</v>
      </c>
      <c r="N42" s="11"/>
      <c r="O42" s="11">
        <f t="shared" ca="1" si="12"/>
        <v>6.9553051286344093E-4</v>
      </c>
      <c r="P42" s="11">
        <f t="shared" ca="1" si="13"/>
        <v>0.99930446948713669</v>
      </c>
      <c r="Q42" s="11">
        <f t="shared" ca="1" si="14"/>
        <v>1.0000000000000002</v>
      </c>
      <c r="R42" s="11">
        <f t="shared" ca="1" si="3"/>
        <v>3.9123591348568554</v>
      </c>
      <c r="S42" s="11">
        <f t="shared" ca="1" si="4"/>
        <v>1.4931688450117362</v>
      </c>
      <c r="T42" s="11">
        <f t="shared" ca="1" si="5"/>
        <v>4.8687135900440861E-4</v>
      </c>
      <c r="U42" s="41">
        <f t="shared" ca="1" si="6"/>
        <v>1.8581656737923826E-4</v>
      </c>
      <c r="V42" s="11"/>
      <c r="W42" s="106">
        <v>91</v>
      </c>
      <c r="X42" s="53">
        <f t="shared" ca="1" si="1"/>
        <v>0.2390059528561177</v>
      </c>
      <c r="Y42" s="8">
        <v>28</v>
      </c>
      <c r="Z42" s="11">
        <f t="shared" ca="1" si="21"/>
        <v>0.12473408255233184</v>
      </c>
      <c r="AA42" s="11">
        <f t="shared" ca="1" si="22"/>
        <v>0.8752659174476678</v>
      </c>
      <c r="AB42" s="11">
        <f t="shared" ca="1" si="15"/>
        <v>0.99999999999999967</v>
      </c>
      <c r="AC42" s="11"/>
      <c r="AD42" s="11">
        <f t="shared" ca="1" si="16"/>
        <v>0.14188276400196759</v>
      </c>
      <c r="AE42" s="11">
        <f t="shared" ca="1" si="17"/>
        <v>0.85811723599803202</v>
      </c>
      <c r="AF42" s="11">
        <f t="shared" ca="1" si="18"/>
        <v>0.99999999999999956</v>
      </c>
      <c r="AG42" s="11">
        <f t="shared" ca="1" si="7"/>
        <v>352.86243407289339</v>
      </c>
      <c r="AH42" s="11">
        <f t="shared" ca="1" si="8"/>
        <v>134.67147952712926</v>
      </c>
      <c r="AI42" s="11">
        <f t="shared" ca="1" si="9"/>
        <v>0.11350621120157407</v>
      </c>
      <c r="AJ42" s="41">
        <f t="shared" ca="1" si="10"/>
        <v>4.3320138167150551E-2</v>
      </c>
    </row>
    <row r="43" spans="2:36" ht="15.5" x14ac:dyDescent="0.35">
      <c r="B43" s="8">
        <v>92</v>
      </c>
      <c r="C43" s="9">
        <v>0.21428900000000001</v>
      </c>
      <c r="D43" s="9">
        <v>0.176368</v>
      </c>
      <c r="E43" s="9">
        <f t="shared" si="2"/>
        <v>0.19912060000000001</v>
      </c>
      <c r="H43" s="106">
        <v>92</v>
      </c>
      <c r="I43" s="53">
        <f t="shared" ca="1" si="0"/>
        <v>0.6841263721329548</v>
      </c>
      <c r="J43" s="8">
        <v>29</v>
      </c>
      <c r="K43" s="11">
        <f t="shared" ca="1" si="19"/>
        <v>1.4256351824509328E-4</v>
      </c>
      <c r="L43" s="11">
        <f t="shared" ca="1" si="20"/>
        <v>0.99985743648175496</v>
      </c>
      <c r="M43" s="11">
        <f t="shared" ca="1" si="11"/>
        <v>1</v>
      </c>
      <c r="N43" s="11"/>
      <c r="O43" s="11">
        <f t="shared" ca="1" si="12"/>
        <v>2.7038944269126646E-4</v>
      </c>
      <c r="P43" s="11">
        <f t="shared" ca="1" si="13"/>
        <v>0.9997296105573088</v>
      </c>
      <c r="Q43" s="11">
        <f t="shared" ca="1" si="14"/>
        <v>1</v>
      </c>
      <c r="R43" s="11">
        <f t="shared" ca="1" si="3"/>
        <v>1.5209406151383738</v>
      </c>
      <c r="S43" s="11">
        <f t="shared" ca="1" si="4"/>
        <v>0.56084404565635748</v>
      </c>
      <c r="T43" s="11">
        <f t="shared" ca="1" si="5"/>
        <v>1.8927260988388652E-4</v>
      </c>
      <c r="U43" s="41">
        <f t="shared" ca="1" si="6"/>
        <v>6.9793925681680045E-5</v>
      </c>
      <c r="V43" s="11"/>
      <c r="W43" s="106">
        <v>92</v>
      </c>
      <c r="X43" s="53">
        <f t="shared" ca="1" si="1"/>
        <v>0.26392404729307295</v>
      </c>
      <c r="Y43" s="8">
        <v>29</v>
      </c>
      <c r="Z43" s="11">
        <f t="shared" ca="1" si="21"/>
        <v>9.4921894298278131E-2</v>
      </c>
      <c r="AA43" s="11">
        <f t="shared" ca="1" si="22"/>
        <v>0.90507810570172154</v>
      </c>
      <c r="AB43" s="11">
        <f t="shared" ca="1" si="15"/>
        <v>0.99999999999999967</v>
      </c>
      <c r="AC43" s="11"/>
      <c r="AD43" s="11">
        <f t="shared" ca="1" si="16"/>
        <v>0.10982798842530499</v>
      </c>
      <c r="AE43" s="11">
        <f t="shared" ca="1" si="17"/>
        <v>0.89017201157469472</v>
      </c>
      <c r="AF43" s="11">
        <f t="shared" ca="1" si="18"/>
        <v>0.99999999999999967</v>
      </c>
      <c r="AG43" s="11">
        <f t="shared" ca="1" si="7"/>
        <v>273.14220721373351</v>
      </c>
      <c r="AH43" s="11">
        <f t="shared" ca="1" si="8"/>
        <v>100.72068495542169</v>
      </c>
      <c r="AI43" s="11">
        <f t="shared" ca="1" si="9"/>
        <v>8.786239074024399E-2</v>
      </c>
      <c r="AJ43" s="41">
        <f t="shared" ca="1" si="10"/>
        <v>3.2399094477015417E-2</v>
      </c>
    </row>
    <row r="44" spans="2:36" ht="15.5" x14ac:dyDescent="0.35">
      <c r="B44" s="8">
        <v>93</v>
      </c>
      <c r="C44" s="9">
        <v>0.237842</v>
      </c>
      <c r="D44" s="9">
        <v>0.19815099999999999</v>
      </c>
      <c r="E44" s="9">
        <f t="shared" si="2"/>
        <v>0.22196560000000001</v>
      </c>
      <c r="H44" s="106">
        <v>93</v>
      </c>
      <c r="I44" s="53">
        <f t="shared" ca="1" si="0"/>
        <v>0.72817852274396255</v>
      </c>
      <c r="J44" s="8">
        <v>30</v>
      </c>
      <c r="K44" s="11">
        <f t="shared" ca="1" si="19"/>
        <v>4.5032055709567302E-5</v>
      </c>
      <c r="L44" s="11">
        <f t="shared" ca="1" si="20"/>
        <v>0.99995496794429051</v>
      </c>
      <c r="M44" s="11">
        <f t="shared" ca="1" si="11"/>
        <v>1</v>
      </c>
      <c r="N44" s="11"/>
      <c r="O44" s="11">
        <f t="shared" ca="1" si="12"/>
        <v>9.3797786977330291E-5</v>
      </c>
      <c r="P44" s="11">
        <f t="shared" ca="1" si="13"/>
        <v>0.99990620221302273</v>
      </c>
      <c r="Q44" s="11">
        <f t="shared" ca="1" si="14"/>
        <v>1</v>
      </c>
      <c r="R44" s="11">
        <f t="shared" ca="1" si="3"/>
        <v>0.52761255174748289</v>
      </c>
      <c r="S44" s="11">
        <f t="shared" ca="1" si="4"/>
        <v>0.18797696135041822</v>
      </c>
      <c r="T44" s="11">
        <f t="shared" ca="1" si="5"/>
        <v>6.5658450884131193E-5</v>
      </c>
      <c r="U44" s="41">
        <f t="shared" ca="1" si="6"/>
        <v>2.3392688523607593E-5</v>
      </c>
      <c r="V44" s="11"/>
      <c r="W44" s="106">
        <v>93</v>
      </c>
      <c r="X44" s="53">
        <f t="shared" ca="1" si="1"/>
        <v>0.29274122734587382</v>
      </c>
      <c r="Y44" s="8">
        <v>30</v>
      </c>
      <c r="Z44" s="11">
        <f t="shared" ca="1" si="21"/>
        <v>6.9869723778351295E-2</v>
      </c>
      <c r="AA44" s="11">
        <f t="shared" ca="1" si="22"/>
        <v>0.93013027622164834</v>
      </c>
      <c r="AB44" s="11">
        <f t="shared" ca="1" si="15"/>
        <v>0.99999999999999967</v>
      </c>
      <c r="AC44" s="11"/>
      <c r="AD44" s="11">
        <f t="shared" ca="1" si="16"/>
        <v>8.2395809038314713E-2</v>
      </c>
      <c r="AE44" s="11">
        <f t="shared" ca="1" si="17"/>
        <v>0.917604190961685</v>
      </c>
      <c r="AF44" s="11">
        <f t="shared" ca="1" si="18"/>
        <v>0.99999999999999967</v>
      </c>
      <c r="AG44" s="11">
        <f t="shared" ca="1" si="7"/>
        <v>204.9183770782887</v>
      </c>
      <c r="AH44" s="11">
        <f t="shared" ca="1" si="8"/>
        <v>73.007993688655958</v>
      </c>
      <c r="AI44" s="11">
        <f t="shared" ca="1" si="9"/>
        <v>6.591664723065177E-2</v>
      </c>
      <c r="AJ44" s="41">
        <f t="shared" ca="1" si="10"/>
        <v>2.3484678307569267E-2</v>
      </c>
    </row>
    <row r="45" spans="2:36" ht="15.5" x14ac:dyDescent="0.35">
      <c r="B45" s="8">
        <v>94</v>
      </c>
      <c r="C45" s="9">
        <v>0.25914100000000001</v>
      </c>
      <c r="D45" s="9">
        <v>0.214888</v>
      </c>
      <c r="E45" s="9">
        <f t="shared" si="2"/>
        <v>0.24143980000000001</v>
      </c>
      <c r="H45" s="106">
        <v>94</v>
      </c>
      <c r="I45" s="53">
        <f t="shared" ca="1" si="0"/>
        <v>0.76168664959525789</v>
      </c>
      <c r="J45" s="8">
        <v>31</v>
      </c>
      <c r="K45" s="11">
        <f t="shared" ca="1" si="19"/>
        <v>1.2240679906850762E-5</v>
      </c>
      <c r="L45" s="11">
        <f t="shared" ca="1" si="20"/>
        <v>0.99998775932009321</v>
      </c>
      <c r="M45" s="11">
        <f t="shared" ca="1" si="11"/>
        <v>1</v>
      </c>
      <c r="N45" s="11"/>
      <c r="O45" s="11">
        <f t="shared" ca="1" si="12"/>
        <v>2.8636367808209032E-5</v>
      </c>
      <c r="P45" s="11">
        <f t="shared" ca="1" si="13"/>
        <v>0.99997136363219186</v>
      </c>
      <c r="Q45" s="11">
        <f t="shared" ca="1" si="14"/>
        <v>1</v>
      </c>
      <c r="R45" s="11">
        <f t="shared" ca="1" si="3"/>
        <v>0.16107956892117581</v>
      </c>
      <c r="S45" s="11">
        <f t="shared" ca="1" si="4"/>
        <v>5.5448476131150282E-2</v>
      </c>
      <c r="T45" s="11">
        <f t="shared" ca="1" si="5"/>
        <v>2.004545746574632E-5</v>
      </c>
      <c r="U45" s="41">
        <f t="shared" ca="1" si="6"/>
        <v>6.9002548074320341E-6</v>
      </c>
      <c r="V45" s="11"/>
      <c r="W45" s="106">
        <v>94</v>
      </c>
      <c r="X45" s="53">
        <f t="shared" ca="1" si="1"/>
        <v>0.31705414671134846</v>
      </c>
      <c r="Y45" s="8">
        <v>31</v>
      </c>
      <c r="Z45" s="11">
        <f t="shared" ca="1" si="21"/>
        <v>4.9415975085159554E-2</v>
      </c>
      <c r="AA45" s="11">
        <f t="shared" ca="1" si="22"/>
        <v>0.95058402491484006</v>
      </c>
      <c r="AB45" s="11">
        <f t="shared" ca="1" si="15"/>
        <v>0.99999999999999967</v>
      </c>
      <c r="AC45" s="11"/>
      <c r="AD45" s="11">
        <f t="shared" ca="1" si="16"/>
        <v>5.9642849431755421E-2</v>
      </c>
      <c r="AE45" s="11">
        <f t="shared" ca="1" si="17"/>
        <v>0.9403571505682442</v>
      </c>
      <c r="AF45" s="11">
        <f t="shared" ca="1" si="18"/>
        <v>0.99999999999999967</v>
      </c>
      <c r="AG45" s="11">
        <f t="shared" ca="1" si="7"/>
        <v>148.33176653677575</v>
      </c>
      <c r="AH45" s="11">
        <f t="shared" ca="1" si="8"/>
        <v>51.060295674931638</v>
      </c>
      <c r="AI45" s="11">
        <f t="shared" ca="1" si="9"/>
        <v>4.7714279545404338E-2</v>
      </c>
      <c r="AJ45" s="41">
        <f t="shared" ca="1" si="10"/>
        <v>1.6424703071952276E-2</v>
      </c>
    </row>
    <row r="46" spans="2:36" ht="15.5" x14ac:dyDescent="0.35">
      <c r="B46" s="8">
        <v>95</v>
      </c>
      <c r="C46" s="9">
        <v>0.28511399999999998</v>
      </c>
      <c r="D46" s="9">
        <v>0.23768</v>
      </c>
      <c r="E46" s="9">
        <f t="shared" si="2"/>
        <v>0.2661404</v>
      </c>
      <c r="H46" s="106">
        <v>95</v>
      </c>
      <c r="I46" s="53">
        <f t="shared" ca="1" si="0"/>
        <v>0.79930739722029021</v>
      </c>
      <c r="J46" s="8">
        <v>32</v>
      </c>
      <c r="K46" s="11">
        <f t="shared" ca="1" si="19"/>
        <v>2.9171174398336124E-6</v>
      </c>
      <c r="L46" s="11">
        <f t="shared" ca="1" si="20"/>
        <v>0.99999708288256017</v>
      </c>
      <c r="M46" s="11">
        <f t="shared" ca="1" si="11"/>
        <v>1</v>
      </c>
      <c r="N46" s="11"/>
      <c r="O46" s="11">
        <f t="shared" ca="1" si="12"/>
        <v>7.5788986733421871E-6</v>
      </c>
      <c r="P46" s="11">
        <f t="shared" ca="1" si="13"/>
        <v>0.99999242110132669</v>
      </c>
      <c r="Q46" s="11">
        <f t="shared" ca="1" si="14"/>
        <v>1</v>
      </c>
      <c r="R46" s="11">
        <f t="shared" ca="1" si="3"/>
        <v>4.2631305037549805E-2</v>
      </c>
      <c r="S46" s="11">
        <f t="shared" ca="1" si="4"/>
        <v>1.4178733319965624E-2</v>
      </c>
      <c r="T46" s="11">
        <f t="shared" ca="1" si="5"/>
        <v>5.3052290713395303E-6</v>
      </c>
      <c r="U46" s="41">
        <f t="shared" ca="1" si="6"/>
        <v>1.7644645909290551E-6</v>
      </c>
      <c r="V46" s="11"/>
      <c r="W46" s="106">
        <v>95</v>
      </c>
      <c r="X46" s="53">
        <f t="shared" ca="1" si="1"/>
        <v>0.34755198800235265</v>
      </c>
      <c r="Y46" s="8">
        <v>32</v>
      </c>
      <c r="Z46" s="11">
        <f t="shared" ca="1" si="21"/>
        <v>3.3748435270625037E-2</v>
      </c>
      <c r="AA46" s="11">
        <f t="shared" ca="1" si="22"/>
        <v>0.96625156472937457</v>
      </c>
      <c r="AB46" s="11">
        <f t="shared" ca="1" si="15"/>
        <v>0.99999999999999956</v>
      </c>
      <c r="AC46" s="11"/>
      <c r="AD46" s="11">
        <f t="shared" ca="1" si="16"/>
        <v>4.1582205177892295E-2</v>
      </c>
      <c r="AE46" s="11">
        <f t="shared" ca="1" si="17"/>
        <v>0.95841779482210732</v>
      </c>
      <c r="AF46" s="11">
        <f t="shared" ca="1" si="18"/>
        <v>0.99999999999999956</v>
      </c>
      <c r="AG46" s="11">
        <f t="shared" ca="1" si="7"/>
        <v>103.41494427741814</v>
      </c>
      <c r="AH46" s="11">
        <f t="shared" ca="1" si="8"/>
        <v>34.394746182813336</v>
      </c>
      <c r="AI46" s="11">
        <f t="shared" ca="1" si="9"/>
        <v>3.3265764142313838E-2</v>
      </c>
      <c r="AJ46" s="41">
        <f t="shared" ca="1" si="10"/>
        <v>1.1063850802674172E-2</v>
      </c>
    </row>
    <row r="47" spans="2:36" ht="15.5" x14ac:dyDescent="0.35">
      <c r="B47" s="8">
        <v>96</v>
      </c>
      <c r="C47" s="9">
        <v>0.303039</v>
      </c>
      <c r="D47" s="9">
        <v>0.26136399999999999</v>
      </c>
      <c r="E47" s="9">
        <f t="shared" si="2"/>
        <v>0.28636899999999998</v>
      </c>
      <c r="H47" s="106">
        <v>96</v>
      </c>
      <c r="I47" s="53">
        <f t="shared" ca="1" si="0"/>
        <v>0.82640846571787629</v>
      </c>
      <c r="J47" s="8">
        <v>33</v>
      </c>
      <c r="K47" s="11">
        <f t="shared" ca="1" si="19"/>
        <v>5.8544389161429118E-7</v>
      </c>
      <c r="L47" s="11">
        <f t="shared" ca="1" si="20"/>
        <v>0.99999941455610841</v>
      </c>
      <c r="M47" s="11">
        <f t="shared" ca="1" si="11"/>
        <v>1</v>
      </c>
      <c r="N47" s="11"/>
      <c r="O47" s="11">
        <f t="shared" ca="1" si="12"/>
        <v>1.7512806657239518E-6</v>
      </c>
      <c r="P47" s="11">
        <f t="shared" ca="1" si="13"/>
        <v>0.99999824871933429</v>
      </c>
      <c r="Q47" s="11">
        <f t="shared" ca="1" si="14"/>
        <v>1</v>
      </c>
      <c r="R47" s="11">
        <f t="shared" ca="1" si="3"/>
        <v>9.8509537446972283E-3</v>
      </c>
      <c r="S47" s="11">
        <f t="shared" ca="1" si="4"/>
        <v>3.1655322081620887E-3</v>
      </c>
      <c r="T47" s="11">
        <f t="shared" ca="1" si="5"/>
        <v>1.2258964660067662E-6</v>
      </c>
      <c r="U47" s="41">
        <f t="shared" ca="1" si="6"/>
        <v>3.939328970157266E-7</v>
      </c>
      <c r="V47" s="11"/>
      <c r="W47" s="106">
        <v>96</v>
      </c>
      <c r="X47" s="53">
        <f t="shared" ca="1" si="1"/>
        <v>0.37223988916028306</v>
      </c>
      <c r="Y47" s="8">
        <v>33</v>
      </c>
      <c r="Z47" s="11">
        <f t="shared" ca="1" si="21"/>
        <v>2.2019099500350588E-2</v>
      </c>
      <c r="AA47" s="11">
        <f t="shared" ca="1" si="22"/>
        <v>0.97798090049964903</v>
      </c>
      <c r="AB47" s="11">
        <f t="shared" ca="1" si="15"/>
        <v>0.99999999999999967</v>
      </c>
      <c r="AC47" s="11"/>
      <c r="AD47" s="11">
        <f t="shared" ca="1" si="16"/>
        <v>2.7883767385487812E-2</v>
      </c>
      <c r="AE47" s="11">
        <f t="shared" ca="1" si="17"/>
        <v>0.97211623261451185</v>
      </c>
      <c r="AF47" s="11">
        <f t="shared" ca="1" si="18"/>
        <v>0.99999999999999967</v>
      </c>
      <c r="AG47" s="11">
        <f t="shared" ca="1" si="7"/>
        <v>69.346929487708195</v>
      </c>
      <c r="AH47" s="11">
        <f t="shared" ca="1" si="8"/>
        <v>22.284130503470614</v>
      </c>
      <c r="AI47" s="11">
        <f t="shared" ca="1" si="9"/>
        <v>2.2307013908390252E-2</v>
      </c>
      <c r="AJ47" s="41">
        <f t="shared" ca="1" si="10"/>
        <v>7.1681963822985495E-3</v>
      </c>
    </row>
    <row r="48" spans="2:36" ht="15.5" x14ac:dyDescent="0.35">
      <c r="B48" s="8">
        <v>97</v>
      </c>
      <c r="C48" s="9">
        <v>0.32954299999999997</v>
      </c>
      <c r="D48" s="9">
        <v>0.285694</v>
      </c>
      <c r="E48" s="9">
        <f t="shared" si="2"/>
        <v>0.31200339999999999</v>
      </c>
      <c r="H48" s="106">
        <v>97</v>
      </c>
      <c r="I48" s="53">
        <f t="shared" ca="1" si="0"/>
        <v>0.85642697344357044</v>
      </c>
      <c r="J48" s="8">
        <v>34</v>
      </c>
      <c r="K48" s="11">
        <f t="shared" ca="1" si="19"/>
        <v>1.016281033814221E-7</v>
      </c>
      <c r="L48" s="11">
        <f t="shared" ca="1" si="20"/>
        <v>0.99999989837189662</v>
      </c>
      <c r="M48" s="11">
        <f t="shared" ca="1" si="11"/>
        <v>1</v>
      </c>
      <c r="N48" s="11"/>
      <c r="O48" s="11">
        <f t="shared" ca="1" si="12"/>
        <v>3.4353599749785664E-7</v>
      </c>
      <c r="P48" s="11">
        <f t="shared" ca="1" si="13"/>
        <v>0.99999965646400257</v>
      </c>
      <c r="Q48" s="11">
        <f t="shared" ca="1" si="14"/>
        <v>1</v>
      </c>
      <c r="R48" s="11">
        <f t="shared" ca="1" si="3"/>
        <v>1.9323899859254436E-3</v>
      </c>
      <c r="S48" s="11">
        <f t="shared" ca="1" si="4"/>
        <v>5.9996081339924972E-4</v>
      </c>
      <c r="T48" s="11">
        <f t="shared" ca="1" si="5"/>
        <v>2.4047519824849966E-7</v>
      </c>
      <c r="U48" s="41">
        <f t="shared" ca="1" si="6"/>
        <v>7.4661790111906634E-8</v>
      </c>
      <c r="V48" s="11"/>
      <c r="W48" s="106">
        <v>97</v>
      </c>
      <c r="X48" s="53">
        <f t="shared" ca="1" si="1"/>
        <v>0.4031446611472248</v>
      </c>
      <c r="Y48" s="8">
        <v>34</v>
      </c>
      <c r="Z48" s="11">
        <f t="shared" ca="1" si="21"/>
        <v>1.3822712342930841E-2</v>
      </c>
      <c r="AA48" s="11">
        <f t="shared" ca="1" si="22"/>
        <v>0.9861772876570688</v>
      </c>
      <c r="AB48" s="11">
        <f t="shared" ca="1" si="15"/>
        <v>0.99999999999999967</v>
      </c>
      <c r="AC48" s="11"/>
      <c r="AD48" s="11">
        <f t="shared" ca="1" si="16"/>
        <v>1.7920905921640716E-2</v>
      </c>
      <c r="AE48" s="11">
        <f t="shared" ca="1" si="17"/>
        <v>0.98207909407835892</v>
      </c>
      <c r="AF48" s="11">
        <f t="shared" ca="1" si="18"/>
        <v>0.99999999999999967</v>
      </c>
      <c r="AG48" s="11">
        <f t="shared" ca="1" si="7"/>
        <v>44.569293027120459</v>
      </c>
      <c r="AH48" s="11">
        <f t="shared" ca="1" si="8"/>
        <v>13.837698131298632</v>
      </c>
      <c r="AI48" s="11">
        <f t="shared" ca="1" si="9"/>
        <v>1.4336724737312574E-2</v>
      </c>
      <c r="AJ48" s="41">
        <f t="shared" ca="1" si="10"/>
        <v>4.4512096924161264E-3</v>
      </c>
    </row>
    <row r="49" spans="2:46" ht="15.5" x14ac:dyDescent="0.35">
      <c r="B49" s="8">
        <v>98</v>
      </c>
      <c r="C49" s="9">
        <v>0.34871600000000003</v>
      </c>
      <c r="D49" s="9">
        <v>0.31426399999999999</v>
      </c>
      <c r="E49" s="9">
        <f t="shared" si="2"/>
        <v>0.33493519999999999</v>
      </c>
      <c r="H49" s="106">
        <v>98</v>
      </c>
      <c r="I49" s="53">
        <f t="shared" ca="1" si="0"/>
        <v>0.87958960940656472</v>
      </c>
      <c r="J49" s="8">
        <v>35</v>
      </c>
      <c r="K49" s="11">
        <f t="shared" ca="1" si="19"/>
        <v>1.4591054385660479E-8</v>
      </c>
      <c r="L49" s="11">
        <f t="shared" ca="1" si="20"/>
        <v>0.99999998540894564</v>
      </c>
      <c r="M49" s="11">
        <f t="shared" ca="1" si="11"/>
        <v>1</v>
      </c>
      <c r="N49" s="11"/>
      <c r="O49" s="11">
        <f t="shared" ca="1" si="12"/>
        <v>5.8109578883541292E-8</v>
      </c>
      <c r="P49" s="11">
        <f t="shared" ca="1" si="13"/>
        <v>0.99999994189042107</v>
      </c>
      <c r="Q49" s="11">
        <f t="shared" ca="1" si="14"/>
        <v>1</v>
      </c>
      <c r="R49" s="11">
        <f t="shared" ca="1" si="3"/>
        <v>3.2686638121991976E-4</v>
      </c>
      <c r="S49" s="11">
        <f t="shared" ca="1" si="4"/>
        <v>9.8052351219905429E-5</v>
      </c>
      <c r="T49" s="11">
        <f t="shared" ca="1" si="5"/>
        <v>4.0676705218478903E-8</v>
      </c>
      <c r="U49" s="41">
        <f t="shared" ca="1" si="6"/>
        <v>1.2202070374032675E-8</v>
      </c>
      <c r="V49" s="11"/>
      <c r="W49" s="106">
        <v>98</v>
      </c>
      <c r="X49" s="53">
        <f t="shared" ca="1" si="1"/>
        <v>0.43042323030727669</v>
      </c>
      <c r="Y49" s="8">
        <v>35</v>
      </c>
      <c r="Z49" s="11">
        <f t="shared" ca="1" si="21"/>
        <v>8.2501596593044253E-3</v>
      </c>
      <c r="AA49" s="11">
        <f t="shared" ca="1" si="22"/>
        <v>0.99174984034069524</v>
      </c>
      <c r="AB49" s="11">
        <f t="shared" ca="1" si="15"/>
        <v>0.99999999999999967</v>
      </c>
      <c r="AC49" s="11"/>
      <c r="AD49" s="11">
        <f t="shared" ca="1" si="16"/>
        <v>1.1036436001117634E-2</v>
      </c>
      <c r="AE49" s="11">
        <f t="shared" ca="1" si="17"/>
        <v>0.98896356399888208</v>
      </c>
      <c r="AF49" s="11">
        <f t="shared" ca="1" si="18"/>
        <v>0.99999999999999967</v>
      </c>
      <c r="AG49" s="11">
        <f t="shared" ca="1" si="7"/>
        <v>27.447616334779557</v>
      </c>
      <c r="AH49" s="11">
        <f t="shared" ca="1" si="8"/>
        <v>8.2336498081039302</v>
      </c>
      <c r="AI49" s="11">
        <f t="shared" ca="1" si="9"/>
        <v>8.8291488008941082E-3</v>
      </c>
      <c r="AJ49" s="41">
        <f t="shared" ca="1" si="10"/>
        <v>2.6485403484049637E-3</v>
      </c>
    </row>
    <row r="50" spans="2:46" ht="15.5" x14ac:dyDescent="0.35">
      <c r="B50" s="8">
        <v>99</v>
      </c>
      <c r="C50" s="9">
        <v>0.387546</v>
      </c>
      <c r="D50" s="9">
        <v>0.33128400000000002</v>
      </c>
      <c r="E50" s="9">
        <f t="shared" si="2"/>
        <v>0.36504120000000001</v>
      </c>
      <c r="H50" s="106">
        <v>99</v>
      </c>
      <c r="I50" s="53">
        <f t="shared" ca="1" si="0"/>
        <v>0.90532193213968859</v>
      </c>
      <c r="J50" s="8">
        <v>36</v>
      </c>
      <c r="K50" s="11">
        <f t="shared" ca="1" si="19"/>
        <v>1.7569145577474353E-9</v>
      </c>
      <c r="L50" s="11">
        <f t="shared" ca="1" si="20"/>
        <v>0.9999999982430855</v>
      </c>
      <c r="M50" s="11">
        <f t="shared" ca="1" si="11"/>
        <v>1</v>
      </c>
      <c r="N50" s="11"/>
      <c r="O50" s="11">
        <f t="shared" ca="1" si="12"/>
        <v>8.1739844717039571E-9</v>
      </c>
      <c r="P50" s="11">
        <f t="shared" ca="1" si="13"/>
        <v>0.99999999182601562</v>
      </c>
      <c r="Q50" s="11">
        <f t="shared" ca="1" si="14"/>
        <v>1</v>
      </c>
      <c r="R50" s="11">
        <f t="shared" ca="1" si="3"/>
        <v>4.5978662653334757E-5</v>
      </c>
      <c r="S50" s="11">
        <f t="shared" ca="1" si="4"/>
        <v>1.3326120701435545E-5</v>
      </c>
      <c r="T50" s="11">
        <f t="shared" ca="1" si="5"/>
        <v>5.7217891301927695E-9</v>
      </c>
      <c r="U50" s="41">
        <f t="shared" ca="1" si="6"/>
        <v>1.6583616872897565E-9</v>
      </c>
      <c r="V50" s="11"/>
      <c r="W50" s="106">
        <v>99</v>
      </c>
      <c r="X50" s="53">
        <f t="shared" ca="1" si="1"/>
        <v>0.46569547254578891</v>
      </c>
      <c r="Y50" s="8">
        <v>36</v>
      </c>
      <c r="Z50" s="11">
        <f t="shared" ca="1" si="21"/>
        <v>4.6990992881958335E-3</v>
      </c>
      <c r="AA50" s="11">
        <f t="shared" ca="1" si="22"/>
        <v>0.99530090071180388</v>
      </c>
      <c r="AB50" s="11">
        <f t="shared" ca="1" si="15"/>
        <v>0.99999999999999967</v>
      </c>
      <c r="AC50" s="11"/>
      <c r="AD50" s="11">
        <f t="shared" ca="1" si="16"/>
        <v>6.4746294737501294E-3</v>
      </c>
      <c r="AE50" s="11">
        <f t="shared" ca="1" si="17"/>
        <v>0.99352537052624956</v>
      </c>
      <c r="AF50" s="11">
        <f t="shared" ca="1" si="18"/>
        <v>0.99999999999999967</v>
      </c>
      <c r="AG50" s="11">
        <f t="shared" ca="1" si="7"/>
        <v>16.102403501216571</v>
      </c>
      <c r="AH50" s="11">
        <f t="shared" ca="1" si="8"/>
        <v>4.6670033501913313</v>
      </c>
      <c r="AI50" s="11">
        <f t="shared" ca="1" si="9"/>
        <v>5.1797035790001038E-3</v>
      </c>
      <c r="AJ50" s="41">
        <f t="shared" ca="1" si="10"/>
        <v>1.5012475593699497E-3</v>
      </c>
    </row>
    <row r="51" spans="2:46" ht="16" thickBot="1" x14ac:dyDescent="0.4">
      <c r="B51" s="8">
        <v>100</v>
      </c>
      <c r="C51" s="8">
        <v>0.40120899999999998</v>
      </c>
      <c r="D51" s="8">
        <v>0.35932700000000001</v>
      </c>
      <c r="E51" s="9">
        <f t="shared" si="2"/>
        <v>0.38445620000000003</v>
      </c>
      <c r="H51" s="107">
        <v>100</v>
      </c>
      <c r="I51" s="108">
        <f t="shared" ca="1" si="0"/>
        <v>0.91941503733165619</v>
      </c>
      <c r="J51" s="109">
        <v>37</v>
      </c>
      <c r="K51" s="72">
        <f t="shared" ca="1" si="19"/>
        <v>1.663412757231807E-10</v>
      </c>
      <c r="L51" s="72">
        <f t="shared" ca="1" si="20"/>
        <v>0.99999999983365873</v>
      </c>
      <c r="M51" s="72">
        <f t="shared" ca="1" si="11"/>
        <v>1</v>
      </c>
      <c r="N51" s="72"/>
      <c r="O51" s="72">
        <f t="shared" ca="1" si="12"/>
        <v>9.6162791673530791E-10</v>
      </c>
      <c r="P51" s="72">
        <f t="shared" ca="1" si="13"/>
        <v>0.99999999903837211</v>
      </c>
      <c r="Q51" s="72">
        <f t="shared" ca="1" si="14"/>
        <v>1</v>
      </c>
      <c r="R51" s="72">
        <f t="shared" ca="1" si="3"/>
        <v>5.4091570316361068E-6</v>
      </c>
      <c r="S51" s="72">
        <f t="shared" ca="1" si="4"/>
        <v>1.5147349535030189E-6</v>
      </c>
      <c r="T51" s="72">
        <f t="shared" ca="1" si="5"/>
        <v>6.7313954171471546E-10</v>
      </c>
      <c r="U51" s="44">
        <f t="shared" ca="1" si="6"/>
        <v>1.8850034976926456E-10</v>
      </c>
      <c r="V51" s="11"/>
      <c r="W51" s="107">
        <v>100</v>
      </c>
      <c r="X51" s="108">
        <f t="shared" ca="1" si="1"/>
        <v>0.48810915009078715</v>
      </c>
      <c r="Y51" s="109">
        <v>37</v>
      </c>
      <c r="Z51" s="72">
        <f t="shared" ca="1" si="21"/>
        <v>2.5107500246398947E-3</v>
      </c>
      <c r="AA51" s="72">
        <f t="shared" ca="1" si="22"/>
        <v>0.99748924997535982</v>
      </c>
      <c r="AB51" s="72">
        <f t="shared" ca="1" si="15"/>
        <v>0.99999999999999967</v>
      </c>
      <c r="AC51" s="72"/>
      <c r="AD51" s="72">
        <f t="shared" ca="1" si="16"/>
        <v>3.6049246564178643E-3</v>
      </c>
      <c r="AE51" s="72">
        <f t="shared" ca="1" si="17"/>
        <v>0.99639507534358185</v>
      </c>
      <c r="AF51" s="72">
        <f t="shared" ca="1" si="18"/>
        <v>0.99999999999999967</v>
      </c>
      <c r="AG51" s="72">
        <f t="shared" ca="1" si="7"/>
        <v>8.9654476205112292</v>
      </c>
      <c r="AH51" s="72">
        <f t="shared" ca="1" si="8"/>
        <v>2.5106087335166909</v>
      </c>
      <c r="AI51" s="72">
        <f t="shared" ca="1" si="9"/>
        <v>2.8839397251342914E-3</v>
      </c>
      <c r="AJ51" s="44">
        <f t="shared" ca="1" si="10"/>
        <v>8.0759428500737937E-4</v>
      </c>
    </row>
    <row r="52" spans="2:46" ht="15.5" x14ac:dyDescent="0.3">
      <c r="AB52" s="27"/>
      <c r="AN52" s="27"/>
    </row>
    <row r="53" spans="2:46" ht="15.5" x14ac:dyDescent="0.3">
      <c r="AB53" s="27"/>
      <c r="AN53" s="27"/>
    </row>
    <row r="54" spans="2:46" ht="15.5" x14ac:dyDescent="0.3">
      <c r="AB54" s="27"/>
      <c r="AN54" s="27"/>
    </row>
    <row r="55" spans="2:46" ht="15.5" x14ac:dyDescent="0.3">
      <c r="H55" s="27"/>
      <c r="K55" s="27"/>
      <c r="W55" s="201"/>
      <c r="X55" s="201"/>
      <c r="Y55" s="201"/>
      <c r="Z55" s="201"/>
      <c r="AA55" s="201"/>
      <c r="AB55" s="201"/>
      <c r="AC55" s="201"/>
      <c r="AD55" s="201"/>
      <c r="AE55" s="201"/>
      <c r="AF55" s="201"/>
      <c r="AG55" s="201"/>
      <c r="AH55" s="201"/>
      <c r="AI55" s="201"/>
      <c r="AJ55" s="201"/>
      <c r="AK55" s="201"/>
      <c r="AL55" s="201"/>
      <c r="AM55" s="201"/>
      <c r="AN55" s="201"/>
      <c r="AO55" s="201"/>
      <c r="AP55" s="201"/>
      <c r="AQ55" s="201"/>
      <c r="AR55" s="201"/>
      <c r="AS55" s="201"/>
      <c r="AT55" s="201"/>
    </row>
    <row r="56" spans="2:46" ht="15.5" x14ac:dyDescent="0.3"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</row>
    <row r="57" spans="2:46" ht="15.5" x14ac:dyDescent="0.3">
      <c r="G57" s="55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</row>
    <row r="58" spans="2:46" ht="15.5" x14ac:dyDescent="0.35">
      <c r="G58" s="55"/>
      <c r="H58" s="8"/>
      <c r="I58" s="53"/>
      <c r="J58" s="8"/>
    </row>
    <row r="59" spans="2:46" ht="15.5" x14ac:dyDescent="0.35">
      <c r="H59" s="8"/>
      <c r="I59" s="53"/>
      <c r="J59" s="8"/>
    </row>
    <row r="60" spans="2:46" ht="15.5" x14ac:dyDescent="0.35">
      <c r="H60" s="8"/>
      <c r="I60" s="53"/>
      <c r="J60" s="8"/>
    </row>
    <row r="61" spans="2:46" ht="15.5" x14ac:dyDescent="0.35">
      <c r="H61" s="8"/>
      <c r="I61" s="53"/>
      <c r="J61" s="8"/>
    </row>
    <row r="62" spans="2:46" ht="15.5" x14ac:dyDescent="0.35">
      <c r="H62" s="8"/>
      <c r="I62" s="53"/>
      <c r="J62" s="8"/>
    </row>
    <row r="63" spans="2:46" ht="15.5" x14ac:dyDescent="0.35">
      <c r="H63" s="8"/>
      <c r="I63" s="53"/>
      <c r="J63" s="8"/>
    </row>
    <row r="64" spans="2:46" ht="15.5" x14ac:dyDescent="0.35">
      <c r="H64" s="8"/>
      <c r="I64" s="53"/>
      <c r="J64" s="8"/>
    </row>
    <row r="65" spans="8:10" ht="15.5" x14ac:dyDescent="0.35">
      <c r="H65" s="8"/>
      <c r="I65" s="53"/>
      <c r="J65" s="8"/>
    </row>
    <row r="66" spans="8:10" ht="15.5" x14ac:dyDescent="0.35">
      <c r="H66" s="8"/>
      <c r="I66" s="53"/>
      <c r="J66" s="8"/>
    </row>
    <row r="67" spans="8:10" ht="15.5" x14ac:dyDescent="0.35">
      <c r="H67" s="8"/>
      <c r="I67" s="53"/>
      <c r="J67" s="8"/>
    </row>
    <row r="68" spans="8:10" ht="15.5" x14ac:dyDescent="0.35">
      <c r="H68" s="8"/>
      <c r="I68" s="53"/>
      <c r="J68" s="8"/>
    </row>
    <row r="69" spans="8:10" ht="15.5" x14ac:dyDescent="0.35">
      <c r="H69" s="8"/>
      <c r="I69" s="53"/>
      <c r="J69" s="8"/>
    </row>
    <row r="70" spans="8:10" ht="15.5" x14ac:dyDescent="0.35">
      <c r="H70" s="8"/>
      <c r="I70" s="53"/>
      <c r="J70" s="8"/>
    </row>
    <row r="71" spans="8:10" ht="15.5" x14ac:dyDescent="0.35">
      <c r="H71" s="8"/>
      <c r="I71" s="53"/>
      <c r="J71" s="8"/>
    </row>
    <row r="72" spans="8:10" ht="15.5" x14ac:dyDescent="0.35">
      <c r="H72" s="8"/>
      <c r="I72" s="53"/>
      <c r="J72" s="8"/>
    </row>
    <row r="73" spans="8:10" ht="15.5" x14ac:dyDescent="0.35">
      <c r="H73" s="8"/>
      <c r="I73" s="53"/>
      <c r="J73" s="8"/>
    </row>
    <row r="74" spans="8:10" ht="15.5" x14ac:dyDescent="0.35">
      <c r="H74" s="8"/>
      <c r="I74" s="53"/>
      <c r="J74" s="8"/>
    </row>
    <row r="75" spans="8:10" ht="15.5" x14ac:dyDescent="0.35">
      <c r="H75" s="8"/>
      <c r="I75" s="53"/>
      <c r="J75" s="8"/>
    </row>
    <row r="76" spans="8:10" ht="15.5" x14ac:dyDescent="0.35">
      <c r="H76" s="8"/>
      <c r="I76" s="53"/>
      <c r="J76" s="8"/>
    </row>
    <row r="77" spans="8:10" ht="15.5" x14ac:dyDescent="0.35">
      <c r="H77" s="8"/>
      <c r="I77" s="53"/>
      <c r="J77" s="8"/>
    </row>
    <row r="78" spans="8:10" ht="15.5" x14ac:dyDescent="0.35">
      <c r="H78" s="8"/>
      <c r="I78" s="53"/>
      <c r="J78" s="8"/>
    </row>
    <row r="79" spans="8:10" ht="15.5" x14ac:dyDescent="0.35">
      <c r="H79" s="8"/>
      <c r="I79" s="53"/>
      <c r="J79" s="8"/>
    </row>
    <row r="80" spans="8:10" ht="15.5" x14ac:dyDescent="0.35">
      <c r="H80" s="8"/>
      <c r="I80" s="53"/>
      <c r="J80" s="8"/>
    </row>
    <row r="81" spans="8:10" ht="15.5" x14ac:dyDescent="0.35">
      <c r="H81" s="8"/>
      <c r="I81" s="53"/>
      <c r="J81" s="8"/>
    </row>
    <row r="82" spans="8:10" ht="15.5" x14ac:dyDescent="0.35">
      <c r="H82" s="8"/>
      <c r="I82" s="53"/>
      <c r="J82" s="8"/>
    </row>
    <row r="83" spans="8:10" ht="15.5" x14ac:dyDescent="0.35">
      <c r="H83" s="8"/>
      <c r="I83" s="53"/>
      <c r="J83" s="8"/>
    </row>
    <row r="84" spans="8:10" ht="15.5" x14ac:dyDescent="0.35">
      <c r="H84" s="8"/>
      <c r="I84" s="53"/>
      <c r="J84" s="8"/>
    </row>
    <row r="85" spans="8:10" ht="15.5" x14ac:dyDescent="0.35">
      <c r="H85" s="8"/>
      <c r="I85" s="53"/>
      <c r="J85" s="8"/>
    </row>
    <row r="86" spans="8:10" ht="15.5" x14ac:dyDescent="0.35">
      <c r="H86" s="8"/>
      <c r="I86" s="53"/>
      <c r="J86" s="8"/>
    </row>
    <row r="87" spans="8:10" ht="15.5" x14ac:dyDescent="0.35">
      <c r="H87" s="8"/>
      <c r="I87" s="53"/>
      <c r="J87" s="8"/>
    </row>
    <row r="88" spans="8:10" ht="15.5" x14ac:dyDescent="0.35">
      <c r="H88" s="8"/>
      <c r="I88" s="53"/>
      <c r="J88" s="8"/>
    </row>
    <row r="89" spans="8:10" ht="15.5" x14ac:dyDescent="0.35">
      <c r="H89" s="8"/>
      <c r="I89" s="53"/>
      <c r="J89" s="8"/>
    </row>
    <row r="90" spans="8:10" ht="15.5" x14ac:dyDescent="0.35">
      <c r="H90" s="8"/>
      <c r="I90" s="53"/>
      <c r="J90" s="8"/>
    </row>
    <row r="91" spans="8:10" ht="15.5" x14ac:dyDescent="0.35">
      <c r="H91" s="8"/>
      <c r="I91" s="53"/>
      <c r="J91" s="8"/>
    </row>
    <row r="92" spans="8:10" ht="15.5" x14ac:dyDescent="0.35">
      <c r="H92" s="8"/>
      <c r="I92" s="53"/>
      <c r="J92" s="8"/>
    </row>
    <row r="93" spans="8:10" ht="15.5" x14ac:dyDescent="0.35">
      <c r="H93" s="8"/>
      <c r="I93" s="53"/>
      <c r="J93" s="8"/>
    </row>
    <row r="94" spans="8:10" ht="15.5" x14ac:dyDescent="0.35">
      <c r="H94" s="8"/>
      <c r="I94" s="53"/>
      <c r="J94" s="8"/>
    </row>
    <row r="95" spans="8:10" ht="15.5" x14ac:dyDescent="0.35">
      <c r="H95" s="8"/>
      <c r="I95" s="53"/>
      <c r="J95" s="8"/>
    </row>
    <row r="96" spans="8:10" ht="15.5" x14ac:dyDescent="0.35">
      <c r="H96" s="8"/>
      <c r="I96" s="53"/>
      <c r="J96" s="8"/>
    </row>
    <row r="97" spans="8:10" ht="15.5" x14ac:dyDescent="0.35">
      <c r="H97" s="8"/>
      <c r="I97" s="53"/>
      <c r="J97" s="8"/>
    </row>
    <row r="98" spans="8:10" ht="15.5" x14ac:dyDescent="0.35">
      <c r="H98" s="8"/>
      <c r="I98" s="53"/>
      <c r="J98" s="8"/>
    </row>
    <row r="99" spans="8:10" ht="15.5" x14ac:dyDescent="0.35">
      <c r="H99" s="8"/>
      <c r="I99" s="53"/>
      <c r="J99" s="8"/>
    </row>
    <row r="100" spans="8:10" ht="15.5" x14ac:dyDescent="0.35">
      <c r="H100" s="8"/>
      <c r="I100" s="53"/>
      <c r="J100" s="8"/>
    </row>
    <row r="101" spans="8:10" ht="15.5" x14ac:dyDescent="0.35">
      <c r="H101" s="8"/>
      <c r="I101" s="53"/>
      <c r="J101" s="8"/>
    </row>
    <row r="102" spans="8:10" ht="15.5" x14ac:dyDescent="0.35">
      <c r="H102" s="8"/>
      <c r="I102" s="53"/>
      <c r="J102" s="8"/>
    </row>
    <row r="103" spans="8:10" ht="15.5" x14ac:dyDescent="0.35">
      <c r="H103" s="8"/>
      <c r="I103" s="53"/>
      <c r="J103" s="8"/>
    </row>
    <row r="104" spans="8:10" ht="15.5" x14ac:dyDescent="0.35">
      <c r="H104" s="8"/>
      <c r="I104" s="53"/>
      <c r="J104" s="8"/>
    </row>
    <row r="105" spans="8:10" ht="15.5" x14ac:dyDescent="0.35">
      <c r="H105" s="8"/>
      <c r="I105" s="53"/>
      <c r="J105" s="8"/>
    </row>
    <row r="106" spans="8:10" ht="15.5" x14ac:dyDescent="0.35">
      <c r="H106" s="8"/>
      <c r="I106" s="53"/>
      <c r="J106" s="8"/>
    </row>
    <row r="107" spans="8:10" ht="15.5" x14ac:dyDescent="0.35">
      <c r="H107" s="8"/>
      <c r="I107" s="53"/>
      <c r="J107" s="8"/>
    </row>
    <row r="108" spans="8:10" ht="15.5" x14ac:dyDescent="0.35">
      <c r="H108" s="8"/>
      <c r="I108" s="53"/>
      <c r="J108" s="8"/>
    </row>
    <row r="109" spans="8:10" ht="15.5" x14ac:dyDescent="0.35">
      <c r="H109" s="8"/>
      <c r="I109" s="53"/>
      <c r="J109" s="8"/>
    </row>
    <row r="110" spans="8:10" ht="15.5" x14ac:dyDescent="0.35">
      <c r="H110" s="8"/>
      <c r="I110" s="53"/>
      <c r="J110" s="8"/>
    </row>
    <row r="111" spans="8:10" ht="15.5" x14ac:dyDescent="0.35">
      <c r="H111" s="8"/>
      <c r="I111" s="53"/>
      <c r="J111" s="8"/>
    </row>
    <row r="112" spans="8:10" ht="15.5" x14ac:dyDescent="0.35">
      <c r="H112" s="8"/>
      <c r="I112" s="53"/>
      <c r="J112" s="8"/>
    </row>
    <row r="113" spans="8:10" ht="15.5" x14ac:dyDescent="0.35">
      <c r="H113" s="8"/>
      <c r="I113" s="53"/>
      <c r="J113" s="8"/>
    </row>
    <row r="114" spans="8:10" ht="15.5" x14ac:dyDescent="0.35">
      <c r="H114" s="8"/>
      <c r="I114" s="53"/>
      <c r="J114" s="8"/>
    </row>
    <row r="115" spans="8:10" ht="15.5" x14ac:dyDescent="0.35">
      <c r="H115" s="8"/>
      <c r="I115" s="53"/>
      <c r="J115" s="8"/>
    </row>
    <row r="116" spans="8:10" ht="15.5" x14ac:dyDescent="0.35">
      <c r="H116" s="8"/>
      <c r="I116" s="53"/>
      <c r="J116" s="8"/>
    </row>
    <row r="117" spans="8:10" ht="15.5" x14ac:dyDescent="0.35">
      <c r="H117" s="8"/>
      <c r="I117" s="53"/>
      <c r="J117" s="8"/>
    </row>
    <row r="118" spans="8:10" ht="15.5" x14ac:dyDescent="0.35">
      <c r="H118" s="8"/>
      <c r="I118" s="53"/>
      <c r="J118" s="8"/>
    </row>
    <row r="119" spans="8:10" ht="15.5" x14ac:dyDescent="0.35">
      <c r="H119" s="8"/>
      <c r="I119" s="53"/>
      <c r="J119" s="8"/>
    </row>
    <row r="120" spans="8:10" ht="15.5" x14ac:dyDescent="0.35">
      <c r="H120" s="8"/>
      <c r="I120" s="53"/>
      <c r="J120" s="8"/>
    </row>
    <row r="121" spans="8:10" ht="15.5" x14ac:dyDescent="0.35">
      <c r="H121" s="8"/>
      <c r="I121" s="53"/>
      <c r="J121" s="8"/>
    </row>
    <row r="122" spans="8:10" ht="15.5" x14ac:dyDescent="0.35">
      <c r="H122" s="8"/>
      <c r="I122" s="53"/>
      <c r="J122" s="8"/>
    </row>
    <row r="123" spans="8:10" ht="15.5" x14ac:dyDescent="0.35">
      <c r="H123" s="8"/>
      <c r="I123" s="53"/>
      <c r="J123" s="8"/>
    </row>
    <row r="124" spans="8:10" ht="15.5" x14ac:dyDescent="0.35">
      <c r="H124" s="8"/>
      <c r="I124" s="53"/>
      <c r="J124" s="8"/>
    </row>
    <row r="125" spans="8:10" ht="15.5" x14ac:dyDescent="0.35">
      <c r="H125" s="8"/>
      <c r="I125" s="53"/>
      <c r="J125" s="8"/>
    </row>
    <row r="126" spans="8:10" ht="15.5" x14ac:dyDescent="0.35">
      <c r="H126" s="8"/>
      <c r="I126" s="53"/>
      <c r="J126" s="8"/>
    </row>
    <row r="127" spans="8:10" ht="15.5" x14ac:dyDescent="0.35">
      <c r="H127" s="8"/>
      <c r="I127" s="53"/>
      <c r="J127" s="8"/>
    </row>
    <row r="128" spans="8:10" ht="15.5" x14ac:dyDescent="0.35">
      <c r="H128" s="8"/>
      <c r="I128" s="53"/>
      <c r="J128" s="8"/>
    </row>
    <row r="129" spans="8:10" ht="15.5" x14ac:dyDescent="0.35">
      <c r="H129" s="8"/>
      <c r="I129" s="53"/>
      <c r="J129" s="8"/>
    </row>
    <row r="130" spans="8:10" ht="15.5" x14ac:dyDescent="0.35">
      <c r="H130" s="8"/>
      <c r="I130" s="53"/>
      <c r="J130" s="8"/>
    </row>
    <row r="131" spans="8:10" ht="15.5" x14ac:dyDescent="0.35">
      <c r="H131" s="8"/>
      <c r="I131" s="53"/>
      <c r="J131" s="8"/>
    </row>
    <row r="132" spans="8:10" ht="15.5" x14ac:dyDescent="0.35">
      <c r="H132" s="8"/>
      <c r="I132" s="53"/>
      <c r="J132" s="8"/>
    </row>
    <row r="133" spans="8:10" ht="15.5" x14ac:dyDescent="0.35">
      <c r="H133" s="8"/>
      <c r="I133" s="53"/>
      <c r="J133" s="8"/>
    </row>
    <row r="134" spans="8:10" ht="15.5" x14ac:dyDescent="0.35">
      <c r="H134" s="8"/>
      <c r="I134" s="53"/>
      <c r="J134" s="8"/>
    </row>
    <row r="135" spans="8:10" ht="15.5" x14ac:dyDescent="0.35">
      <c r="H135" s="8"/>
      <c r="I135" s="53"/>
      <c r="J135" s="8"/>
    </row>
    <row r="136" spans="8:10" ht="15.5" x14ac:dyDescent="0.35">
      <c r="H136" s="8"/>
      <c r="I136" s="53"/>
      <c r="J136" s="8"/>
    </row>
    <row r="137" spans="8:10" ht="15.5" x14ac:dyDescent="0.35">
      <c r="H137" s="8"/>
      <c r="I137" s="53"/>
      <c r="J137" s="8"/>
    </row>
    <row r="138" spans="8:10" ht="15.5" x14ac:dyDescent="0.35">
      <c r="H138" s="8"/>
      <c r="I138" s="53"/>
      <c r="J138" s="8"/>
    </row>
    <row r="139" spans="8:10" ht="15.5" x14ac:dyDescent="0.35">
      <c r="H139" s="8"/>
      <c r="I139" s="53"/>
      <c r="J139" s="8"/>
    </row>
    <row r="140" spans="8:10" ht="15.5" x14ac:dyDescent="0.35">
      <c r="H140" s="8"/>
      <c r="I140" s="53"/>
      <c r="J140" s="8"/>
    </row>
    <row r="141" spans="8:10" ht="15.5" x14ac:dyDescent="0.35">
      <c r="H141" s="8"/>
      <c r="I141" s="53"/>
      <c r="J141" s="8"/>
    </row>
    <row r="142" spans="8:10" ht="15.5" x14ac:dyDescent="0.35">
      <c r="H142" s="8"/>
      <c r="I142" s="53"/>
      <c r="J142" s="8"/>
    </row>
    <row r="143" spans="8:10" ht="15.5" x14ac:dyDescent="0.35">
      <c r="H143" s="8"/>
      <c r="I143" s="53"/>
      <c r="J143" s="8"/>
    </row>
    <row r="144" spans="8:10" ht="15.5" x14ac:dyDescent="0.35">
      <c r="H144" s="8"/>
      <c r="I144" s="53"/>
      <c r="J144" s="8"/>
    </row>
    <row r="145" spans="8:46" ht="15.5" x14ac:dyDescent="0.35">
      <c r="H145" s="8"/>
      <c r="I145" s="53"/>
      <c r="J145" s="8"/>
    </row>
    <row r="146" spans="8:46" ht="15.5" x14ac:dyDescent="0.35">
      <c r="H146" s="8"/>
      <c r="I146" s="53"/>
      <c r="J146" s="8"/>
    </row>
    <row r="147" spans="8:46" ht="15.5" x14ac:dyDescent="0.35">
      <c r="H147" s="8"/>
      <c r="I147" s="53"/>
      <c r="J147" s="8"/>
    </row>
    <row r="148" spans="8:46" ht="15.5" x14ac:dyDescent="0.35">
      <c r="H148" s="8"/>
      <c r="I148" s="53"/>
      <c r="J148" s="8"/>
    </row>
    <row r="149" spans="8:46" ht="15.5" x14ac:dyDescent="0.35">
      <c r="H149" s="8"/>
      <c r="I149" s="53"/>
      <c r="J149" s="8"/>
    </row>
    <row r="150" spans="8:46" ht="15.5" x14ac:dyDescent="0.35">
      <c r="H150" s="8"/>
      <c r="I150" s="53"/>
      <c r="J150" s="8"/>
    </row>
    <row r="151" spans="8:46" ht="15.5" x14ac:dyDescent="0.35">
      <c r="H151" s="8"/>
      <c r="I151" s="53"/>
      <c r="J151" s="8"/>
    </row>
    <row r="152" spans="8:46" ht="15.5" x14ac:dyDescent="0.35">
      <c r="H152" s="8"/>
      <c r="I152" s="53"/>
      <c r="J152" s="8"/>
    </row>
    <row r="153" spans="8:46" ht="15.5" x14ac:dyDescent="0.35">
      <c r="H153" s="8"/>
      <c r="I153" s="53"/>
      <c r="J153" s="8"/>
    </row>
    <row r="154" spans="8:46" ht="15.5" x14ac:dyDescent="0.35">
      <c r="H154" s="8"/>
      <c r="I154" s="53"/>
      <c r="J154" s="8"/>
    </row>
    <row r="155" spans="8:46" ht="15.5" x14ac:dyDescent="0.35">
      <c r="H155" s="8"/>
      <c r="I155" s="53"/>
      <c r="J155" s="8"/>
    </row>
    <row r="156" spans="8:46" ht="15.5" x14ac:dyDescent="0.35">
      <c r="H156" s="8"/>
      <c r="I156" s="53"/>
      <c r="J156" s="8"/>
    </row>
    <row r="157" spans="8:46" ht="15.5" x14ac:dyDescent="0.3">
      <c r="AB157" s="27"/>
      <c r="AN157" s="27"/>
    </row>
    <row r="158" spans="8:46" ht="15.5" x14ac:dyDescent="0.3">
      <c r="AB158" s="27"/>
      <c r="AN158" s="27"/>
    </row>
    <row r="159" spans="8:46" ht="15.5" x14ac:dyDescent="0.3">
      <c r="H159" s="27"/>
    </row>
    <row r="160" spans="8:46" ht="15.5" x14ac:dyDescent="0.3"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</row>
    <row r="161" spans="7:10" ht="15.5" x14ac:dyDescent="0.35">
      <c r="H161" s="8"/>
      <c r="I161" s="53"/>
      <c r="J161" s="8"/>
    </row>
    <row r="162" spans="7:10" ht="15.5" x14ac:dyDescent="0.35">
      <c r="G162" s="55"/>
      <c r="H162" s="8"/>
      <c r="I162" s="53"/>
      <c r="J162" s="8"/>
    </row>
    <row r="163" spans="7:10" ht="15.5" x14ac:dyDescent="0.35">
      <c r="G163" s="55"/>
      <c r="H163" s="8"/>
      <c r="I163" s="53"/>
      <c r="J163" s="8"/>
    </row>
    <row r="164" spans="7:10" ht="15.5" x14ac:dyDescent="0.35">
      <c r="H164" s="8"/>
      <c r="I164" s="53"/>
      <c r="J164" s="8"/>
    </row>
    <row r="165" spans="7:10" ht="15.5" x14ac:dyDescent="0.35">
      <c r="H165" s="8"/>
      <c r="I165" s="53"/>
      <c r="J165" s="8"/>
    </row>
    <row r="166" spans="7:10" ht="15.5" x14ac:dyDescent="0.35">
      <c r="H166" s="8"/>
      <c r="I166" s="53"/>
      <c r="J166" s="8"/>
    </row>
    <row r="167" spans="7:10" ht="15.5" x14ac:dyDescent="0.35">
      <c r="H167" s="8"/>
      <c r="I167" s="53"/>
      <c r="J167" s="8"/>
    </row>
    <row r="168" spans="7:10" ht="15.5" x14ac:dyDescent="0.35">
      <c r="H168" s="8"/>
      <c r="I168" s="53"/>
      <c r="J168" s="8"/>
    </row>
    <row r="169" spans="7:10" ht="15.5" x14ac:dyDescent="0.35">
      <c r="H169" s="8"/>
      <c r="I169" s="53"/>
      <c r="J169" s="8"/>
    </row>
    <row r="170" spans="7:10" ht="15.5" x14ac:dyDescent="0.35">
      <c r="H170" s="8"/>
      <c r="I170" s="53"/>
      <c r="J170" s="8"/>
    </row>
    <row r="171" spans="7:10" ht="15.5" x14ac:dyDescent="0.35">
      <c r="H171" s="8"/>
      <c r="I171" s="53"/>
      <c r="J171" s="8"/>
    </row>
    <row r="172" spans="7:10" ht="15.5" x14ac:dyDescent="0.35">
      <c r="H172" s="8"/>
      <c r="I172" s="53"/>
      <c r="J172" s="8"/>
    </row>
    <row r="173" spans="7:10" ht="15.5" x14ac:dyDescent="0.35">
      <c r="H173" s="8"/>
      <c r="I173" s="53"/>
      <c r="J173" s="8"/>
    </row>
    <row r="174" spans="7:10" ht="15.5" x14ac:dyDescent="0.35">
      <c r="H174" s="8"/>
      <c r="I174" s="53"/>
      <c r="J174" s="8"/>
    </row>
    <row r="175" spans="7:10" ht="15.5" x14ac:dyDescent="0.35">
      <c r="H175" s="8"/>
      <c r="I175" s="53"/>
      <c r="J175" s="8"/>
    </row>
    <row r="176" spans="7:10" ht="15.5" x14ac:dyDescent="0.35">
      <c r="H176" s="8"/>
      <c r="I176" s="53"/>
      <c r="J176" s="8"/>
    </row>
    <row r="177" spans="8:10" ht="15.5" x14ac:dyDescent="0.35">
      <c r="H177" s="8"/>
      <c r="I177" s="53"/>
      <c r="J177" s="8"/>
    </row>
    <row r="178" spans="8:10" ht="15.5" x14ac:dyDescent="0.35">
      <c r="H178" s="8"/>
      <c r="I178" s="53"/>
      <c r="J178" s="8"/>
    </row>
    <row r="179" spans="8:10" ht="15.5" x14ac:dyDescent="0.35">
      <c r="H179" s="8"/>
      <c r="I179" s="53"/>
      <c r="J179" s="8"/>
    </row>
    <row r="180" spans="8:10" ht="15.5" x14ac:dyDescent="0.35">
      <c r="H180" s="8"/>
      <c r="I180" s="53"/>
      <c r="J180" s="8"/>
    </row>
    <row r="181" spans="8:10" ht="15.5" x14ac:dyDescent="0.35">
      <c r="H181" s="8"/>
      <c r="I181" s="53"/>
      <c r="J181" s="8"/>
    </row>
    <row r="182" spans="8:10" ht="15.5" x14ac:dyDescent="0.35">
      <c r="H182" s="8"/>
      <c r="I182" s="53"/>
      <c r="J182" s="8"/>
    </row>
    <row r="183" spans="8:10" ht="15.5" x14ac:dyDescent="0.35">
      <c r="H183" s="8"/>
      <c r="I183" s="53"/>
      <c r="J183" s="8"/>
    </row>
    <row r="184" spans="8:10" ht="15.5" x14ac:dyDescent="0.35">
      <c r="H184" s="8"/>
      <c r="I184" s="53"/>
      <c r="J184" s="8"/>
    </row>
    <row r="185" spans="8:10" ht="15.5" x14ac:dyDescent="0.35">
      <c r="H185" s="8"/>
      <c r="I185" s="53"/>
      <c r="J185" s="8"/>
    </row>
    <row r="186" spans="8:10" ht="15.5" x14ac:dyDescent="0.35">
      <c r="H186" s="8"/>
      <c r="I186" s="53"/>
      <c r="J186" s="8"/>
    </row>
    <row r="187" spans="8:10" ht="15.5" x14ac:dyDescent="0.35">
      <c r="H187" s="8"/>
      <c r="I187" s="53"/>
      <c r="J187" s="8"/>
    </row>
    <row r="188" spans="8:10" ht="15.5" x14ac:dyDescent="0.35">
      <c r="H188" s="8"/>
      <c r="I188" s="53"/>
      <c r="J188" s="8"/>
    </row>
    <row r="189" spans="8:10" ht="15.5" x14ac:dyDescent="0.35">
      <c r="H189" s="8"/>
      <c r="I189" s="53"/>
      <c r="J189" s="8"/>
    </row>
    <row r="190" spans="8:10" ht="15.5" x14ac:dyDescent="0.35">
      <c r="H190" s="8"/>
      <c r="I190" s="53"/>
      <c r="J190" s="8"/>
    </row>
    <row r="191" spans="8:10" ht="15.5" x14ac:dyDescent="0.35">
      <c r="H191" s="8"/>
      <c r="I191" s="53"/>
      <c r="J191" s="8"/>
    </row>
    <row r="192" spans="8:10" ht="15.5" x14ac:dyDescent="0.35">
      <c r="H192" s="8"/>
      <c r="I192" s="53"/>
      <c r="J192" s="8"/>
    </row>
    <row r="193" spans="8:10" ht="15.5" x14ac:dyDescent="0.35">
      <c r="H193" s="8"/>
      <c r="I193" s="53"/>
      <c r="J193" s="8"/>
    </row>
    <row r="194" spans="8:10" ht="15.5" x14ac:dyDescent="0.35">
      <c r="H194" s="8"/>
      <c r="I194" s="53"/>
      <c r="J194" s="8"/>
    </row>
    <row r="195" spans="8:10" ht="15.5" x14ac:dyDescent="0.35">
      <c r="H195" s="8"/>
      <c r="I195" s="53"/>
      <c r="J195" s="8"/>
    </row>
    <row r="196" spans="8:10" ht="15.5" x14ac:dyDescent="0.35">
      <c r="H196" s="8"/>
      <c r="I196" s="53"/>
      <c r="J196" s="8"/>
    </row>
    <row r="197" spans="8:10" ht="15.5" x14ac:dyDescent="0.35">
      <c r="H197" s="8"/>
      <c r="I197" s="53"/>
      <c r="J197" s="8"/>
    </row>
    <row r="198" spans="8:10" ht="15.5" x14ac:dyDescent="0.35">
      <c r="H198" s="8"/>
      <c r="I198" s="53"/>
      <c r="J198" s="8"/>
    </row>
    <row r="199" spans="8:10" ht="15.5" x14ac:dyDescent="0.35">
      <c r="H199" s="8"/>
      <c r="I199" s="53"/>
      <c r="J199" s="8"/>
    </row>
    <row r="200" spans="8:10" ht="15.5" x14ac:dyDescent="0.35">
      <c r="H200" s="8"/>
      <c r="I200" s="53"/>
      <c r="J200" s="8"/>
    </row>
    <row r="201" spans="8:10" ht="15.5" x14ac:dyDescent="0.35">
      <c r="H201" s="8"/>
      <c r="I201" s="53"/>
      <c r="J201" s="8"/>
    </row>
    <row r="202" spans="8:10" ht="15.5" x14ac:dyDescent="0.35">
      <c r="H202" s="8"/>
      <c r="I202" s="53"/>
      <c r="J202" s="8"/>
    </row>
    <row r="203" spans="8:10" ht="15.5" x14ac:dyDescent="0.35">
      <c r="H203" s="8"/>
      <c r="I203" s="53"/>
      <c r="J203" s="8"/>
    </row>
    <row r="204" spans="8:10" ht="15.5" x14ac:dyDescent="0.35">
      <c r="H204" s="8"/>
      <c r="I204" s="53"/>
      <c r="J204" s="8"/>
    </row>
    <row r="205" spans="8:10" ht="15.5" x14ac:dyDescent="0.35">
      <c r="H205" s="8"/>
      <c r="I205" s="53"/>
      <c r="J205" s="8"/>
    </row>
    <row r="206" spans="8:10" ht="15.5" x14ac:dyDescent="0.35">
      <c r="H206" s="8"/>
      <c r="I206" s="53"/>
      <c r="J206" s="8"/>
    </row>
    <row r="207" spans="8:10" ht="15.5" x14ac:dyDescent="0.35">
      <c r="H207" s="8"/>
      <c r="I207" s="53"/>
      <c r="J207" s="8"/>
    </row>
    <row r="208" spans="8:10" ht="15.5" x14ac:dyDescent="0.35">
      <c r="H208" s="8"/>
      <c r="I208" s="53"/>
      <c r="J208" s="8"/>
    </row>
    <row r="209" spans="8:10" ht="15.5" x14ac:dyDescent="0.35">
      <c r="H209" s="8"/>
      <c r="I209" s="53"/>
      <c r="J209" s="8"/>
    </row>
    <row r="210" spans="8:10" ht="15.5" x14ac:dyDescent="0.35">
      <c r="H210" s="8"/>
      <c r="I210" s="53"/>
      <c r="J210" s="8"/>
    </row>
    <row r="211" spans="8:10" ht="15.5" x14ac:dyDescent="0.35">
      <c r="H211" s="8"/>
      <c r="I211" s="53"/>
      <c r="J211" s="8"/>
    </row>
    <row r="212" spans="8:10" ht="15.5" x14ac:dyDescent="0.35">
      <c r="H212" s="8"/>
      <c r="I212" s="53"/>
      <c r="J212" s="8"/>
    </row>
    <row r="213" spans="8:10" ht="15.5" x14ac:dyDescent="0.35">
      <c r="H213" s="8"/>
      <c r="I213" s="53"/>
      <c r="J213" s="8"/>
    </row>
    <row r="214" spans="8:10" ht="15.5" x14ac:dyDescent="0.35">
      <c r="H214" s="8"/>
      <c r="I214" s="53"/>
      <c r="J214" s="8"/>
    </row>
    <row r="215" spans="8:10" ht="15.5" x14ac:dyDescent="0.35">
      <c r="H215" s="8"/>
      <c r="I215" s="53"/>
      <c r="J215" s="8"/>
    </row>
    <row r="216" spans="8:10" ht="15.5" x14ac:dyDescent="0.35">
      <c r="H216" s="8"/>
      <c r="I216" s="53"/>
      <c r="J216" s="8"/>
    </row>
    <row r="217" spans="8:10" ht="15.5" x14ac:dyDescent="0.35">
      <c r="H217" s="8"/>
      <c r="I217" s="53"/>
      <c r="J217" s="8"/>
    </row>
    <row r="218" spans="8:10" ht="15.5" x14ac:dyDescent="0.35">
      <c r="H218" s="8"/>
      <c r="I218" s="53"/>
      <c r="J218" s="8"/>
    </row>
    <row r="219" spans="8:10" ht="15.5" x14ac:dyDescent="0.35">
      <c r="H219" s="8"/>
      <c r="I219" s="53"/>
      <c r="J219" s="8"/>
    </row>
    <row r="220" spans="8:10" ht="15.5" x14ac:dyDescent="0.35">
      <c r="H220" s="8"/>
      <c r="I220" s="53"/>
      <c r="J220" s="8"/>
    </row>
    <row r="221" spans="8:10" ht="15.5" x14ac:dyDescent="0.35">
      <c r="H221" s="8"/>
      <c r="I221" s="53"/>
      <c r="J221" s="8"/>
    </row>
    <row r="222" spans="8:10" ht="15.5" x14ac:dyDescent="0.35">
      <c r="H222" s="8"/>
      <c r="I222" s="53"/>
      <c r="J222" s="8"/>
    </row>
    <row r="223" spans="8:10" ht="15.5" x14ac:dyDescent="0.35">
      <c r="H223" s="8"/>
      <c r="I223" s="53"/>
      <c r="J223" s="8"/>
    </row>
    <row r="224" spans="8:10" ht="15.5" x14ac:dyDescent="0.35">
      <c r="H224" s="8"/>
      <c r="I224" s="53"/>
      <c r="J224" s="8"/>
    </row>
    <row r="225" spans="8:10" ht="15.5" x14ac:dyDescent="0.35">
      <c r="H225" s="8"/>
      <c r="I225" s="53"/>
      <c r="J225" s="8"/>
    </row>
    <row r="226" spans="8:10" ht="15.5" x14ac:dyDescent="0.35">
      <c r="H226" s="8"/>
      <c r="I226" s="53"/>
      <c r="J226" s="8"/>
    </row>
    <row r="227" spans="8:10" ht="15.5" x14ac:dyDescent="0.35">
      <c r="H227" s="8"/>
      <c r="I227" s="53"/>
      <c r="J227" s="8"/>
    </row>
    <row r="228" spans="8:10" ht="15.5" x14ac:dyDescent="0.35">
      <c r="H228" s="8"/>
      <c r="I228" s="53"/>
      <c r="J228" s="8"/>
    </row>
    <row r="229" spans="8:10" ht="15.5" x14ac:dyDescent="0.35">
      <c r="H229" s="8"/>
      <c r="I229" s="53"/>
      <c r="J229" s="8"/>
    </row>
    <row r="230" spans="8:10" ht="15.5" x14ac:dyDescent="0.35">
      <c r="H230" s="8"/>
      <c r="I230" s="53"/>
      <c r="J230" s="8"/>
    </row>
    <row r="231" spans="8:10" ht="15.5" x14ac:dyDescent="0.35">
      <c r="H231" s="8"/>
      <c r="I231" s="53"/>
      <c r="J231" s="8"/>
    </row>
    <row r="232" spans="8:10" ht="15.5" x14ac:dyDescent="0.35">
      <c r="H232" s="8"/>
      <c r="I232" s="53"/>
      <c r="J232" s="8"/>
    </row>
    <row r="233" spans="8:10" ht="15.5" x14ac:dyDescent="0.35">
      <c r="H233" s="8"/>
      <c r="I233" s="53"/>
      <c r="J233" s="8"/>
    </row>
    <row r="234" spans="8:10" ht="15.5" x14ac:dyDescent="0.35">
      <c r="H234" s="8"/>
      <c r="I234" s="53"/>
      <c r="J234" s="8"/>
    </row>
    <row r="235" spans="8:10" ht="15.5" x14ac:dyDescent="0.35">
      <c r="H235" s="8"/>
      <c r="I235" s="53"/>
      <c r="J235" s="8"/>
    </row>
    <row r="236" spans="8:10" ht="15.5" x14ac:dyDescent="0.35">
      <c r="H236" s="8"/>
      <c r="I236" s="53"/>
      <c r="J236" s="8"/>
    </row>
    <row r="237" spans="8:10" ht="15.5" x14ac:dyDescent="0.35">
      <c r="H237" s="8"/>
      <c r="I237" s="53"/>
      <c r="J237" s="8"/>
    </row>
    <row r="238" spans="8:10" ht="15.5" x14ac:dyDescent="0.35">
      <c r="H238" s="8"/>
      <c r="I238" s="53"/>
      <c r="J238" s="8"/>
    </row>
    <row r="239" spans="8:10" ht="15.5" x14ac:dyDescent="0.35">
      <c r="H239" s="8"/>
      <c r="I239" s="53"/>
      <c r="J239" s="8"/>
    </row>
    <row r="240" spans="8:10" ht="15.5" x14ac:dyDescent="0.35">
      <c r="H240" s="8"/>
      <c r="I240" s="53"/>
      <c r="J240" s="8"/>
    </row>
    <row r="241" spans="8:10" ht="15.5" x14ac:dyDescent="0.35">
      <c r="H241" s="8"/>
      <c r="I241" s="53"/>
      <c r="J241" s="8"/>
    </row>
    <row r="242" spans="8:10" ht="15.5" x14ac:dyDescent="0.35">
      <c r="H242" s="8"/>
      <c r="I242" s="53"/>
      <c r="J242" s="8"/>
    </row>
    <row r="243" spans="8:10" ht="15.5" x14ac:dyDescent="0.35">
      <c r="H243" s="8"/>
      <c r="I243" s="53"/>
      <c r="J243" s="8"/>
    </row>
    <row r="244" spans="8:10" ht="15.5" x14ac:dyDescent="0.35">
      <c r="H244" s="8"/>
      <c r="I244" s="53"/>
      <c r="J244" s="8"/>
    </row>
    <row r="245" spans="8:10" ht="15.5" x14ac:dyDescent="0.35">
      <c r="H245" s="8"/>
      <c r="I245" s="53"/>
      <c r="J245" s="8"/>
    </row>
    <row r="246" spans="8:10" ht="15.5" x14ac:dyDescent="0.35">
      <c r="H246" s="8"/>
      <c r="I246" s="53"/>
      <c r="J246" s="8"/>
    </row>
    <row r="247" spans="8:10" ht="15.5" x14ac:dyDescent="0.35">
      <c r="H247" s="8"/>
      <c r="I247" s="53"/>
      <c r="J247" s="8"/>
    </row>
    <row r="248" spans="8:10" ht="15.5" x14ac:dyDescent="0.35">
      <c r="H248" s="8"/>
      <c r="I248" s="53"/>
      <c r="J248" s="8"/>
    </row>
    <row r="249" spans="8:10" ht="15.5" x14ac:dyDescent="0.35">
      <c r="H249" s="8"/>
      <c r="I249" s="53"/>
      <c r="J249" s="8"/>
    </row>
    <row r="250" spans="8:10" ht="15.5" x14ac:dyDescent="0.35">
      <c r="H250" s="8"/>
      <c r="I250" s="53"/>
      <c r="J250" s="8"/>
    </row>
    <row r="251" spans="8:10" ht="15.5" x14ac:dyDescent="0.35">
      <c r="H251" s="8"/>
      <c r="I251" s="53"/>
      <c r="J251" s="8"/>
    </row>
    <row r="252" spans="8:10" ht="15.5" x14ac:dyDescent="0.35">
      <c r="H252" s="8"/>
      <c r="I252" s="53"/>
      <c r="J252" s="8"/>
    </row>
    <row r="253" spans="8:10" ht="15.5" x14ac:dyDescent="0.35">
      <c r="H253" s="8"/>
      <c r="I253" s="53"/>
      <c r="J253" s="8"/>
    </row>
    <row r="254" spans="8:10" ht="15.5" x14ac:dyDescent="0.35">
      <c r="H254" s="8"/>
      <c r="I254" s="53"/>
      <c r="J254" s="8"/>
    </row>
    <row r="255" spans="8:10" ht="15.5" x14ac:dyDescent="0.35">
      <c r="H255" s="8"/>
      <c r="I255" s="53"/>
      <c r="J255" s="8"/>
    </row>
    <row r="256" spans="8:10" ht="15.5" x14ac:dyDescent="0.35">
      <c r="H256" s="8"/>
      <c r="I256" s="53"/>
      <c r="J256" s="8"/>
    </row>
    <row r="257" spans="7:46" ht="15.5" x14ac:dyDescent="0.35">
      <c r="H257" s="8"/>
      <c r="I257" s="53"/>
      <c r="J257" s="8"/>
    </row>
    <row r="258" spans="7:46" ht="15.5" x14ac:dyDescent="0.35">
      <c r="H258" s="8"/>
      <c r="I258" s="53"/>
      <c r="J258" s="8"/>
    </row>
    <row r="259" spans="7:46" ht="15.5" x14ac:dyDescent="0.35">
      <c r="H259" s="8"/>
      <c r="I259" s="53"/>
      <c r="J259" s="8"/>
    </row>
    <row r="260" spans="7:46" ht="15.5" x14ac:dyDescent="0.35">
      <c r="H260" s="8"/>
      <c r="I260" s="53"/>
      <c r="J260" s="8"/>
    </row>
    <row r="261" spans="7:46" ht="15.5" x14ac:dyDescent="0.35">
      <c r="H261" s="8"/>
      <c r="I261" s="53"/>
      <c r="J261" s="8"/>
    </row>
    <row r="262" spans="7:46" ht="15.5" x14ac:dyDescent="0.3">
      <c r="AB262" s="27"/>
      <c r="AN262" s="27"/>
    </row>
    <row r="263" spans="7:46" ht="15.5" x14ac:dyDescent="0.3">
      <c r="AB263" s="27"/>
      <c r="AN263" s="27"/>
    </row>
    <row r="264" spans="7:46" ht="15.5" x14ac:dyDescent="0.3">
      <c r="H264" s="27"/>
    </row>
    <row r="265" spans="7:46" ht="15.5" x14ac:dyDescent="0.3"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  <c r="AQ265" s="27"/>
      <c r="AR265" s="27"/>
      <c r="AS265" s="27"/>
      <c r="AT265" s="27"/>
    </row>
    <row r="266" spans="7:46" ht="15.5" x14ac:dyDescent="0.35">
      <c r="H266" s="8"/>
      <c r="I266" s="53"/>
      <c r="J266" s="8"/>
    </row>
    <row r="267" spans="7:46" ht="15.5" x14ac:dyDescent="0.35">
      <c r="G267" s="55"/>
      <c r="H267" s="8"/>
      <c r="I267" s="53"/>
      <c r="J267" s="8"/>
    </row>
    <row r="268" spans="7:46" ht="15.5" x14ac:dyDescent="0.35">
      <c r="G268" s="55"/>
      <c r="H268" s="8"/>
      <c r="I268" s="53"/>
      <c r="J268" s="8"/>
    </row>
    <row r="269" spans="7:46" ht="15.5" x14ac:dyDescent="0.35">
      <c r="H269" s="8"/>
      <c r="I269" s="53"/>
      <c r="J269" s="8"/>
    </row>
    <row r="270" spans="7:46" ht="15.5" x14ac:dyDescent="0.35">
      <c r="H270" s="8"/>
      <c r="I270" s="53"/>
      <c r="J270" s="8"/>
    </row>
    <row r="271" spans="7:46" ht="15.5" x14ac:dyDescent="0.35">
      <c r="H271" s="8"/>
      <c r="I271" s="53"/>
      <c r="J271" s="8"/>
    </row>
    <row r="272" spans="7:46" ht="15.5" x14ac:dyDescent="0.35">
      <c r="H272" s="8"/>
      <c r="I272" s="53"/>
      <c r="J272" s="8"/>
    </row>
    <row r="273" spans="8:10" ht="15.5" x14ac:dyDescent="0.35">
      <c r="H273" s="8"/>
      <c r="I273" s="53"/>
      <c r="J273" s="8"/>
    </row>
    <row r="274" spans="8:10" ht="15.5" x14ac:dyDescent="0.35">
      <c r="H274" s="8"/>
      <c r="I274" s="53"/>
      <c r="J274" s="8"/>
    </row>
    <row r="275" spans="8:10" ht="15.5" x14ac:dyDescent="0.35">
      <c r="H275" s="8"/>
      <c r="I275" s="53"/>
      <c r="J275" s="8"/>
    </row>
    <row r="276" spans="8:10" ht="15.5" x14ac:dyDescent="0.35">
      <c r="H276" s="8"/>
      <c r="I276" s="53"/>
      <c r="J276" s="8"/>
    </row>
    <row r="277" spans="8:10" ht="15.5" x14ac:dyDescent="0.35">
      <c r="H277" s="8"/>
      <c r="I277" s="53"/>
      <c r="J277" s="8"/>
    </row>
    <row r="278" spans="8:10" ht="15.5" x14ac:dyDescent="0.35">
      <c r="H278" s="8"/>
      <c r="I278" s="53"/>
      <c r="J278" s="8"/>
    </row>
    <row r="279" spans="8:10" ht="15.5" x14ac:dyDescent="0.35">
      <c r="H279" s="8"/>
      <c r="I279" s="53"/>
      <c r="J279" s="8"/>
    </row>
    <row r="280" spans="8:10" ht="15.5" x14ac:dyDescent="0.35">
      <c r="H280" s="8"/>
      <c r="I280" s="53"/>
      <c r="J280" s="8"/>
    </row>
    <row r="281" spans="8:10" ht="15.5" x14ac:dyDescent="0.35">
      <c r="H281" s="8"/>
      <c r="I281" s="53"/>
      <c r="J281" s="8"/>
    </row>
    <row r="282" spans="8:10" ht="15.5" x14ac:dyDescent="0.35">
      <c r="H282" s="8"/>
      <c r="I282" s="53"/>
      <c r="J282" s="8"/>
    </row>
    <row r="283" spans="8:10" ht="15.5" x14ac:dyDescent="0.35">
      <c r="H283" s="8"/>
      <c r="I283" s="53"/>
      <c r="J283" s="8"/>
    </row>
    <row r="284" spans="8:10" ht="15.5" x14ac:dyDescent="0.35">
      <c r="H284" s="8"/>
      <c r="I284" s="53"/>
      <c r="J284" s="8"/>
    </row>
    <row r="285" spans="8:10" ht="15.5" x14ac:dyDescent="0.35">
      <c r="H285" s="8"/>
      <c r="I285" s="53"/>
      <c r="J285" s="8"/>
    </row>
    <row r="286" spans="8:10" ht="15.5" x14ac:dyDescent="0.35">
      <c r="H286" s="8"/>
      <c r="I286" s="53"/>
      <c r="J286" s="8"/>
    </row>
    <row r="287" spans="8:10" ht="15.5" x14ac:dyDescent="0.35">
      <c r="H287" s="8"/>
      <c r="I287" s="53"/>
      <c r="J287" s="8"/>
    </row>
    <row r="288" spans="8:10" ht="15.5" x14ac:dyDescent="0.35">
      <c r="H288" s="8"/>
      <c r="I288" s="53"/>
      <c r="J288" s="8"/>
    </row>
    <row r="289" spans="8:10" ht="15.5" x14ac:dyDescent="0.35">
      <c r="H289" s="8"/>
      <c r="I289" s="53"/>
      <c r="J289" s="8"/>
    </row>
    <row r="290" spans="8:10" ht="15.5" x14ac:dyDescent="0.35">
      <c r="H290" s="8"/>
      <c r="I290" s="53"/>
      <c r="J290" s="8"/>
    </row>
    <row r="291" spans="8:10" ht="15.5" x14ac:dyDescent="0.35">
      <c r="H291" s="8"/>
      <c r="I291" s="53"/>
      <c r="J291" s="8"/>
    </row>
    <row r="292" spans="8:10" ht="15.5" x14ac:dyDescent="0.35">
      <c r="H292" s="8"/>
      <c r="I292" s="53"/>
      <c r="J292" s="8"/>
    </row>
    <row r="293" spans="8:10" ht="15.5" x14ac:dyDescent="0.35">
      <c r="H293" s="8"/>
      <c r="I293" s="53"/>
      <c r="J293" s="8"/>
    </row>
    <row r="294" spans="8:10" ht="15.5" x14ac:dyDescent="0.35">
      <c r="H294" s="8"/>
      <c r="I294" s="53"/>
      <c r="J294" s="8"/>
    </row>
    <row r="295" spans="8:10" ht="15.5" x14ac:dyDescent="0.35">
      <c r="H295" s="8"/>
      <c r="I295" s="53"/>
      <c r="J295" s="8"/>
    </row>
    <row r="296" spans="8:10" ht="15.5" x14ac:dyDescent="0.35">
      <c r="H296" s="8"/>
      <c r="I296" s="53"/>
      <c r="J296" s="8"/>
    </row>
    <row r="297" spans="8:10" ht="15.5" x14ac:dyDescent="0.35">
      <c r="H297" s="8"/>
      <c r="I297" s="53"/>
      <c r="J297" s="8"/>
    </row>
    <row r="298" spans="8:10" ht="15.5" x14ac:dyDescent="0.35">
      <c r="H298" s="8"/>
      <c r="I298" s="53"/>
      <c r="J298" s="8"/>
    </row>
    <row r="299" spans="8:10" ht="15.5" x14ac:dyDescent="0.35">
      <c r="H299" s="8"/>
      <c r="I299" s="53"/>
      <c r="J299" s="8"/>
    </row>
    <row r="300" spans="8:10" ht="15.5" x14ac:dyDescent="0.35">
      <c r="H300" s="8"/>
      <c r="I300" s="53"/>
      <c r="J300" s="8"/>
    </row>
    <row r="301" spans="8:10" ht="15.5" x14ac:dyDescent="0.35">
      <c r="H301" s="8"/>
      <c r="I301" s="53"/>
      <c r="J301" s="8"/>
    </row>
    <row r="302" spans="8:10" ht="15.5" x14ac:dyDescent="0.35">
      <c r="H302" s="8"/>
      <c r="I302" s="53"/>
      <c r="J302" s="8"/>
    </row>
    <row r="303" spans="8:10" ht="15.5" x14ac:dyDescent="0.35">
      <c r="H303" s="8"/>
      <c r="I303" s="53"/>
      <c r="J303" s="8"/>
    </row>
    <row r="304" spans="8:10" ht="15.5" x14ac:dyDescent="0.35">
      <c r="H304" s="8"/>
      <c r="I304" s="53"/>
      <c r="J304" s="8"/>
    </row>
    <row r="305" spans="8:10" ht="15.5" x14ac:dyDescent="0.35">
      <c r="H305" s="8"/>
      <c r="I305" s="53"/>
      <c r="J305" s="8"/>
    </row>
    <row r="306" spans="8:10" ht="15.5" x14ac:dyDescent="0.35">
      <c r="H306" s="8"/>
      <c r="I306" s="53"/>
      <c r="J306" s="8"/>
    </row>
    <row r="307" spans="8:10" ht="15.5" x14ac:dyDescent="0.35">
      <c r="H307" s="8"/>
      <c r="I307" s="53"/>
      <c r="J307" s="8"/>
    </row>
    <row r="308" spans="8:10" ht="15.5" x14ac:dyDescent="0.35">
      <c r="H308" s="8"/>
      <c r="I308" s="53"/>
      <c r="J308" s="8"/>
    </row>
    <row r="309" spans="8:10" ht="15.5" x14ac:dyDescent="0.35">
      <c r="H309" s="8"/>
      <c r="I309" s="53"/>
      <c r="J309" s="8"/>
    </row>
    <row r="310" spans="8:10" ht="15.5" x14ac:dyDescent="0.35">
      <c r="H310" s="8"/>
      <c r="I310" s="53"/>
      <c r="J310" s="8"/>
    </row>
    <row r="311" spans="8:10" ht="15.5" x14ac:dyDescent="0.35">
      <c r="H311" s="8"/>
      <c r="I311" s="53"/>
      <c r="J311" s="8"/>
    </row>
    <row r="312" spans="8:10" ht="15.5" x14ac:dyDescent="0.35">
      <c r="H312" s="8"/>
      <c r="I312" s="53"/>
      <c r="J312" s="8"/>
    </row>
    <row r="313" spans="8:10" ht="15.5" x14ac:dyDescent="0.35">
      <c r="H313" s="8"/>
      <c r="I313" s="53"/>
      <c r="J313" s="8"/>
    </row>
    <row r="314" spans="8:10" ht="15.5" x14ac:dyDescent="0.35">
      <c r="H314" s="8"/>
      <c r="I314" s="53"/>
      <c r="J314" s="8"/>
    </row>
    <row r="315" spans="8:10" ht="15.5" x14ac:dyDescent="0.35">
      <c r="H315" s="8"/>
      <c r="I315" s="53"/>
      <c r="J315" s="8"/>
    </row>
    <row r="316" spans="8:10" ht="15.5" x14ac:dyDescent="0.35">
      <c r="H316" s="8"/>
      <c r="I316" s="53"/>
      <c r="J316" s="8"/>
    </row>
    <row r="317" spans="8:10" ht="15.5" x14ac:dyDescent="0.35">
      <c r="H317" s="8"/>
      <c r="I317" s="53"/>
      <c r="J317" s="8"/>
    </row>
    <row r="318" spans="8:10" ht="15.5" x14ac:dyDescent="0.35">
      <c r="H318" s="8"/>
      <c r="I318" s="53"/>
      <c r="J318" s="8"/>
    </row>
    <row r="319" spans="8:10" ht="15.5" x14ac:dyDescent="0.35">
      <c r="H319" s="8"/>
      <c r="I319" s="53"/>
      <c r="J319" s="8"/>
    </row>
    <row r="320" spans="8:10" ht="15.5" x14ac:dyDescent="0.35">
      <c r="H320" s="8"/>
      <c r="I320" s="53"/>
      <c r="J320" s="8"/>
    </row>
    <row r="321" spans="8:10" ht="15.5" x14ac:dyDescent="0.35">
      <c r="H321" s="8"/>
      <c r="I321" s="53"/>
      <c r="J321" s="8"/>
    </row>
    <row r="322" spans="8:10" ht="15.5" x14ac:dyDescent="0.35">
      <c r="H322" s="8"/>
      <c r="I322" s="53"/>
      <c r="J322" s="8"/>
    </row>
    <row r="323" spans="8:10" ht="15.5" x14ac:dyDescent="0.35">
      <c r="H323" s="8"/>
      <c r="I323" s="53"/>
      <c r="J323" s="8"/>
    </row>
    <row r="324" spans="8:10" ht="15.5" x14ac:dyDescent="0.35">
      <c r="H324" s="8"/>
      <c r="I324" s="53"/>
      <c r="J324" s="8"/>
    </row>
    <row r="325" spans="8:10" ht="15.5" x14ac:dyDescent="0.35">
      <c r="H325" s="8"/>
      <c r="I325" s="53"/>
      <c r="J325" s="8"/>
    </row>
    <row r="326" spans="8:10" ht="15.5" x14ac:dyDescent="0.35">
      <c r="H326" s="8"/>
      <c r="I326" s="53"/>
      <c r="J326" s="8"/>
    </row>
    <row r="327" spans="8:10" ht="15.5" x14ac:dyDescent="0.35">
      <c r="H327" s="8"/>
      <c r="I327" s="53"/>
      <c r="J327" s="8"/>
    </row>
    <row r="328" spans="8:10" ht="15.5" x14ac:dyDescent="0.35">
      <c r="H328" s="8"/>
      <c r="I328" s="53"/>
      <c r="J328" s="8"/>
    </row>
    <row r="329" spans="8:10" ht="15.5" x14ac:dyDescent="0.35">
      <c r="H329" s="8"/>
      <c r="I329" s="53"/>
      <c r="J329" s="8"/>
    </row>
    <row r="330" spans="8:10" ht="15.5" x14ac:dyDescent="0.35">
      <c r="H330" s="8"/>
      <c r="I330" s="53"/>
      <c r="J330" s="8"/>
    </row>
    <row r="331" spans="8:10" ht="15.5" x14ac:dyDescent="0.35">
      <c r="H331" s="8"/>
      <c r="I331" s="53"/>
      <c r="J331" s="8"/>
    </row>
    <row r="332" spans="8:10" ht="15.5" x14ac:dyDescent="0.35">
      <c r="H332" s="8"/>
      <c r="I332" s="53"/>
      <c r="J332" s="8"/>
    </row>
    <row r="333" spans="8:10" ht="15.5" x14ac:dyDescent="0.35">
      <c r="H333" s="8"/>
      <c r="I333" s="53"/>
      <c r="J333" s="8"/>
    </row>
    <row r="334" spans="8:10" ht="15.5" x14ac:dyDescent="0.35">
      <c r="H334" s="8"/>
      <c r="I334" s="53"/>
      <c r="J334" s="8"/>
    </row>
    <row r="335" spans="8:10" ht="15.5" x14ac:dyDescent="0.35">
      <c r="H335" s="8"/>
      <c r="I335" s="53"/>
      <c r="J335" s="8"/>
    </row>
    <row r="336" spans="8:10" ht="15.5" x14ac:dyDescent="0.35">
      <c r="H336" s="8"/>
      <c r="I336" s="53"/>
      <c r="J336" s="8"/>
    </row>
    <row r="337" spans="8:10" ht="15.5" x14ac:dyDescent="0.35">
      <c r="H337" s="8"/>
      <c r="I337" s="53"/>
      <c r="J337" s="8"/>
    </row>
    <row r="338" spans="8:10" ht="15.5" x14ac:dyDescent="0.35">
      <c r="H338" s="8"/>
      <c r="I338" s="53"/>
      <c r="J338" s="8"/>
    </row>
    <row r="339" spans="8:10" ht="15.5" x14ac:dyDescent="0.35">
      <c r="H339" s="8"/>
      <c r="I339" s="53"/>
      <c r="J339" s="8"/>
    </row>
    <row r="340" spans="8:10" ht="15.5" x14ac:dyDescent="0.35">
      <c r="H340" s="8"/>
      <c r="I340" s="53"/>
      <c r="J340" s="8"/>
    </row>
    <row r="341" spans="8:10" ht="15.5" x14ac:dyDescent="0.35">
      <c r="H341" s="8"/>
      <c r="I341" s="53"/>
      <c r="J341" s="8"/>
    </row>
    <row r="342" spans="8:10" ht="15.5" x14ac:dyDescent="0.35">
      <c r="H342" s="8"/>
      <c r="I342" s="53"/>
      <c r="J342" s="8"/>
    </row>
    <row r="343" spans="8:10" ht="15.5" x14ac:dyDescent="0.35">
      <c r="H343" s="8"/>
      <c r="I343" s="53"/>
      <c r="J343" s="8"/>
    </row>
    <row r="344" spans="8:10" ht="15.5" x14ac:dyDescent="0.35">
      <c r="H344" s="8"/>
      <c r="I344" s="53"/>
      <c r="J344" s="8"/>
    </row>
    <row r="345" spans="8:10" ht="15.5" x14ac:dyDescent="0.35">
      <c r="H345" s="8"/>
      <c r="I345" s="53"/>
      <c r="J345" s="8"/>
    </row>
    <row r="346" spans="8:10" ht="15.5" x14ac:dyDescent="0.35">
      <c r="H346" s="8"/>
      <c r="I346" s="53"/>
      <c r="J346" s="8"/>
    </row>
    <row r="347" spans="8:10" ht="15.5" x14ac:dyDescent="0.35">
      <c r="H347" s="8"/>
      <c r="I347" s="53"/>
      <c r="J347" s="8"/>
    </row>
    <row r="348" spans="8:10" ht="15.5" x14ac:dyDescent="0.35">
      <c r="H348" s="8"/>
      <c r="I348" s="53"/>
      <c r="J348" s="8"/>
    </row>
    <row r="349" spans="8:10" ht="15.5" x14ac:dyDescent="0.35">
      <c r="H349" s="8"/>
      <c r="I349" s="53"/>
      <c r="J349" s="8"/>
    </row>
    <row r="350" spans="8:10" ht="15.5" x14ac:dyDescent="0.35">
      <c r="H350" s="8"/>
      <c r="I350" s="53"/>
      <c r="J350" s="8"/>
    </row>
    <row r="351" spans="8:10" ht="15.5" x14ac:dyDescent="0.35">
      <c r="H351" s="8"/>
      <c r="I351" s="53"/>
      <c r="J351" s="8"/>
    </row>
    <row r="352" spans="8:10" ht="15.5" x14ac:dyDescent="0.35">
      <c r="H352" s="8"/>
      <c r="I352" s="53"/>
      <c r="J352" s="8"/>
    </row>
    <row r="353" spans="8:10" ht="15.5" x14ac:dyDescent="0.35">
      <c r="H353" s="8"/>
      <c r="I353" s="53"/>
      <c r="J353" s="8"/>
    </row>
    <row r="354" spans="8:10" ht="15.5" x14ac:dyDescent="0.35">
      <c r="H354" s="8"/>
      <c r="I354" s="53"/>
      <c r="J354" s="8"/>
    </row>
    <row r="355" spans="8:10" ht="15.5" x14ac:dyDescent="0.35">
      <c r="H355" s="8"/>
      <c r="I355" s="53"/>
      <c r="J355" s="8"/>
    </row>
    <row r="356" spans="8:10" ht="15.5" x14ac:dyDescent="0.35">
      <c r="H356" s="8"/>
      <c r="I356" s="53"/>
      <c r="J356" s="8"/>
    </row>
    <row r="357" spans="8:10" ht="15.5" x14ac:dyDescent="0.35">
      <c r="H357" s="8"/>
      <c r="I357" s="53"/>
      <c r="J357" s="8"/>
    </row>
    <row r="358" spans="8:10" ht="15.5" x14ac:dyDescent="0.35">
      <c r="H358" s="8"/>
      <c r="I358" s="53"/>
      <c r="J358" s="8"/>
    </row>
    <row r="359" spans="8:10" ht="15.5" x14ac:dyDescent="0.35">
      <c r="H359" s="8"/>
      <c r="I359" s="53"/>
      <c r="J359" s="8"/>
    </row>
    <row r="360" spans="8:10" ht="15.5" x14ac:dyDescent="0.35">
      <c r="H360" s="8"/>
      <c r="I360" s="53"/>
      <c r="J360" s="8"/>
    </row>
    <row r="361" spans="8:10" ht="15.5" x14ac:dyDescent="0.35">
      <c r="H361" s="8"/>
      <c r="I361" s="53"/>
      <c r="J361" s="8"/>
    </row>
    <row r="362" spans="8:10" ht="15.5" x14ac:dyDescent="0.35">
      <c r="H362" s="8"/>
      <c r="I362" s="53"/>
      <c r="J362" s="8"/>
    </row>
    <row r="363" spans="8:10" ht="15.5" x14ac:dyDescent="0.35">
      <c r="H363" s="8"/>
      <c r="I363" s="53"/>
      <c r="J363" s="8"/>
    </row>
    <row r="364" spans="8:10" ht="15.5" x14ac:dyDescent="0.35">
      <c r="H364" s="8"/>
      <c r="I364" s="53"/>
      <c r="J364" s="8"/>
    </row>
    <row r="365" spans="8:10" ht="15.5" x14ac:dyDescent="0.35">
      <c r="H365" s="8"/>
      <c r="I365" s="53"/>
      <c r="J365" s="8"/>
    </row>
    <row r="366" spans="8:10" ht="15.5" x14ac:dyDescent="0.35">
      <c r="H366" s="8"/>
      <c r="I366" s="53"/>
      <c r="J366" s="8"/>
    </row>
  </sheetData>
  <mergeCells count="12">
    <mergeCell ref="J12:M12"/>
    <mergeCell ref="R12:S12"/>
    <mergeCell ref="T12:U12"/>
    <mergeCell ref="Y12:AB12"/>
    <mergeCell ref="AG12:AH12"/>
    <mergeCell ref="O12:Q12"/>
    <mergeCell ref="AI12:AJ12"/>
    <mergeCell ref="W55:AB55"/>
    <mergeCell ref="AC55:AH55"/>
    <mergeCell ref="AI55:AN55"/>
    <mergeCell ref="AO55:AT55"/>
    <mergeCell ref="AD12:AF12"/>
  </mergeCells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63F5B-5FB4-4A00-A1F3-5D35415720B5}">
  <sheetPr codeName="Sheet4"/>
  <dimension ref="A1:AL40"/>
  <sheetViews>
    <sheetView tabSelected="1" topLeftCell="A10" zoomScale="59" zoomScaleNormal="59" workbookViewId="0">
      <selection activeCell="E22" sqref="E22"/>
    </sheetView>
  </sheetViews>
  <sheetFormatPr defaultRowHeight="14.5" x14ac:dyDescent="0.3"/>
  <cols>
    <col min="2" max="2" width="19.69921875" customWidth="1"/>
    <col min="3" max="4" width="14.8984375" bestFit="1" customWidth="1"/>
    <col min="5" max="5" width="15.3984375" bestFit="1" customWidth="1"/>
    <col min="6" max="6" width="15.3984375" customWidth="1"/>
    <col min="7" max="8" width="15.3984375" bestFit="1" customWidth="1"/>
    <col min="9" max="9" width="8.796875" style="170"/>
    <col min="11" max="11" width="23.8984375" bestFit="1" customWidth="1"/>
    <col min="12" max="12" width="15.69921875" bestFit="1" customWidth="1"/>
    <col min="13" max="13" width="14.19921875" bestFit="1" customWidth="1"/>
    <col min="14" max="14" width="14.296875" bestFit="1" customWidth="1"/>
    <col min="15" max="15" width="13.69921875" customWidth="1"/>
    <col min="16" max="16" width="14.3984375" customWidth="1"/>
    <col min="17" max="17" width="14.69921875" customWidth="1"/>
    <col min="18" max="18" width="16.5" bestFit="1" customWidth="1"/>
    <col min="20" max="20" width="11.59765625" bestFit="1" customWidth="1"/>
    <col min="22" max="22" width="12.5" bestFit="1" customWidth="1"/>
    <col min="25" max="25" width="21.3984375" bestFit="1" customWidth="1"/>
    <col min="27" max="27" width="11.59765625" bestFit="1" customWidth="1"/>
    <col min="28" max="28" width="8.296875" bestFit="1" customWidth="1"/>
    <col min="29" max="29" width="12.5" bestFit="1" customWidth="1"/>
    <col min="32" max="32" width="23.296875" bestFit="1" customWidth="1"/>
    <col min="34" max="34" width="12.3984375" bestFit="1" customWidth="1"/>
    <col min="36" max="36" width="13.296875" bestFit="1" customWidth="1"/>
    <col min="38" max="38" width="8.796875" style="170"/>
  </cols>
  <sheetData>
    <row r="1" spans="1:37" ht="23" x14ac:dyDescent="0.5">
      <c r="A1" s="50" t="s">
        <v>393</v>
      </c>
      <c r="J1" s="50" t="s">
        <v>364</v>
      </c>
    </row>
    <row r="2" spans="1:37" ht="15" thickBot="1" x14ac:dyDescent="0.35">
      <c r="J2" s="35" t="s">
        <v>342</v>
      </c>
    </row>
    <row r="3" spans="1:37" x14ac:dyDescent="0.3">
      <c r="B3" s="98" t="s">
        <v>339</v>
      </c>
      <c r="C3" s="71" t="s">
        <v>124</v>
      </c>
      <c r="D3" s="71" t="s">
        <v>111</v>
      </c>
      <c r="E3" s="71" t="s">
        <v>112</v>
      </c>
      <c r="F3" s="71" t="s">
        <v>113</v>
      </c>
      <c r="G3" s="71" t="s">
        <v>114</v>
      </c>
      <c r="H3" s="70" t="s">
        <v>115</v>
      </c>
      <c r="K3" s="190" t="s">
        <v>338</v>
      </c>
      <c r="L3" s="191" t="s">
        <v>126</v>
      </c>
      <c r="M3" s="191" t="s">
        <v>127</v>
      </c>
      <c r="N3" s="191" t="s">
        <v>132</v>
      </c>
      <c r="O3" s="191" t="s">
        <v>147</v>
      </c>
      <c r="P3" s="191" t="s">
        <v>135</v>
      </c>
      <c r="Q3" s="192" t="s">
        <v>137</v>
      </c>
    </row>
    <row r="4" spans="1:37" x14ac:dyDescent="0.3">
      <c r="B4" s="40" t="s">
        <v>158</v>
      </c>
      <c r="C4" s="36">
        <f ca="1">Cst_R1_Total</f>
        <v>77247.021867141855</v>
      </c>
      <c r="D4" s="36">
        <f ca="1">Cst_R2_Total</f>
        <v>76486.716311435855</v>
      </c>
      <c r="E4" s="36">
        <f ca="1">Cst_R3_Total</f>
        <v>76866.158693589023</v>
      </c>
      <c r="F4" s="36">
        <f ca="1">Cst_R4_Total</f>
        <v>76800.673516583702</v>
      </c>
      <c r="G4" s="36">
        <f ca="1">Cst_R5_Total</f>
        <v>77174.378659590715</v>
      </c>
      <c r="H4" s="42">
        <f ca="1">Cst_R6_Total</f>
        <v>77596.609324305449</v>
      </c>
      <c r="K4" s="172" t="s">
        <v>340</v>
      </c>
      <c r="L4" s="36">
        <v>77247.021867141855</v>
      </c>
      <c r="M4" s="36">
        <v>76486.716311435855</v>
      </c>
      <c r="N4" s="36">
        <v>76866.158693589023</v>
      </c>
      <c r="O4" s="36">
        <v>76800.673516583702</v>
      </c>
      <c r="P4" s="36">
        <v>77174.378659590715</v>
      </c>
      <c r="Q4" s="42">
        <v>77596.609324305449</v>
      </c>
    </row>
    <row r="5" spans="1:37" ht="15" thickBot="1" x14ac:dyDescent="0.35">
      <c r="B5" s="43" t="s">
        <v>149</v>
      </c>
      <c r="C5" s="72">
        <f ca="1">QALY_R1_Total</f>
        <v>10.182488275349186</v>
      </c>
      <c r="D5" s="72">
        <f ca="1">QALY_R2_Total</f>
        <v>10.155756221414322</v>
      </c>
      <c r="E5" s="72">
        <f ca="1">QALY_R3_Total</f>
        <v>10.136717602123875</v>
      </c>
      <c r="F5" s="72">
        <f ca="1">QALY_R4_Total</f>
        <v>10.1282158305509</v>
      </c>
      <c r="G5" s="72">
        <f ca="1">QALY_R5_Total</f>
        <v>10.108368874331893</v>
      </c>
      <c r="H5" s="44">
        <f ca="1">QALY_R6_Total</f>
        <v>10.086905244255766</v>
      </c>
      <c r="K5" s="174" t="s">
        <v>341</v>
      </c>
      <c r="L5" s="72">
        <v>10.182488275349186</v>
      </c>
      <c r="M5" s="72">
        <v>10.155756221414322</v>
      </c>
      <c r="N5" s="72">
        <v>10.136717602123875</v>
      </c>
      <c r="O5" s="72">
        <v>10.1282158305509</v>
      </c>
      <c r="P5" s="72">
        <v>10.108368874331893</v>
      </c>
      <c r="Q5" s="44">
        <v>10.086905244255766</v>
      </c>
    </row>
    <row r="6" spans="1:37" x14ac:dyDescent="0.3">
      <c r="K6" s="171"/>
      <c r="L6" s="171"/>
      <c r="M6" s="171"/>
      <c r="N6" s="171"/>
      <c r="O6" s="171"/>
      <c r="P6" s="171"/>
      <c r="Q6" s="186" t="s">
        <v>361</v>
      </c>
      <c r="X6" s="186" t="s">
        <v>361</v>
      </c>
      <c r="AE6" s="186" t="s">
        <v>361</v>
      </c>
    </row>
    <row r="7" spans="1:37" ht="15" thickBot="1" x14ac:dyDescent="0.35">
      <c r="J7" s="35" t="s">
        <v>343</v>
      </c>
      <c r="K7" s="171"/>
      <c r="L7" s="171"/>
      <c r="M7" s="171"/>
      <c r="N7" s="171"/>
      <c r="O7" s="171"/>
      <c r="P7" s="171"/>
      <c r="Q7" s="35" t="s">
        <v>357</v>
      </c>
      <c r="X7" s="35" t="s">
        <v>355</v>
      </c>
      <c r="AE7" s="35" t="s">
        <v>365</v>
      </c>
    </row>
    <row r="8" spans="1:37" ht="44" thickBot="1" x14ac:dyDescent="0.35">
      <c r="B8" s="103" t="s">
        <v>382</v>
      </c>
      <c r="C8" s="30"/>
      <c r="D8" s="30"/>
      <c r="E8" s="30"/>
      <c r="F8" s="30"/>
      <c r="G8" s="30"/>
      <c r="H8" s="31"/>
      <c r="K8" s="180" t="s">
        <v>344</v>
      </c>
      <c r="L8" s="181" t="s">
        <v>345</v>
      </c>
      <c r="M8" s="181" t="s">
        <v>348</v>
      </c>
      <c r="N8" s="181" t="s">
        <v>349</v>
      </c>
      <c r="O8" s="181" t="s">
        <v>350</v>
      </c>
      <c r="P8" s="182" t="s">
        <v>351</v>
      </c>
      <c r="Q8" s="171"/>
      <c r="R8" s="180" t="s">
        <v>344</v>
      </c>
      <c r="S8" s="181" t="s">
        <v>345</v>
      </c>
      <c r="T8" s="181" t="s">
        <v>348</v>
      </c>
      <c r="U8" s="181" t="s">
        <v>349</v>
      </c>
      <c r="V8" s="181" t="s">
        <v>350</v>
      </c>
      <c r="W8" s="182" t="s">
        <v>351</v>
      </c>
      <c r="Y8" s="180" t="s">
        <v>344</v>
      </c>
      <c r="Z8" s="181" t="s">
        <v>345</v>
      </c>
      <c r="AA8" s="181" t="s">
        <v>348</v>
      </c>
      <c r="AB8" s="181" t="s">
        <v>349</v>
      </c>
      <c r="AC8" s="181" t="s">
        <v>350</v>
      </c>
      <c r="AD8" s="182" t="s">
        <v>351</v>
      </c>
      <c r="AF8" s="180" t="s">
        <v>344</v>
      </c>
      <c r="AG8" s="181" t="s">
        <v>345</v>
      </c>
      <c r="AH8" s="181" t="s">
        <v>348</v>
      </c>
      <c r="AI8" s="181" t="s">
        <v>349</v>
      </c>
      <c r="AJ8" s="181" t="s">
        <v>350</v>
      </c>
      <c r="AK8" s="182" t="s">
        <v>351</v>
      </c>
    </row>
    <row r="9" spans="1:37" x14ac:dyDescent="0.3">
      <c r="B9" s="161" t="s">
        <v>313</v>
      </c>
      <c r="C9" s="215" t="s">
        <v>322</v>
      </c>
      <c r="D9" s="215" t="s">
        <v>316</v>
      </c>
      <c r="E9" s="213"/>
      <c r="F9" s="216"/>
      <c r="G9" s="216"/>
      <c r="H9" s="145"/>
      <c r="K9" s="183" t="s">
        <v>352</v>
      </c>
      <c r="L9" s="224" t="s">
        <v>126</v>
      </c>
      <c r="M9" s="224">
        <v>77247.02</v>
      </c>
      <c r="N9" s="224">
        <v>8.9675236136890373</v>
      </c>
      <c r="O9" s="224">
        <f>(M9-M10)/(N9-N10)</f>
        <v>27909.100606696487</v>
      </c>
      <c r="P9" s="173"/>
      <c r="Q9" s="171"/>
      <c r="R9" s="183" t="s">
        <v>360</v>
      </c>
      <c r="S9" s="171" t="s">
        <v>126</v>
      </c>
      <c r="T9" s="171">
        <v>77247.021867141855</v>
      </c>
      <c r="U9" s="171">
        <v>10.182488275349186</v>
      </c>
      <c r="V9" s="171">
        <f>(T9-T10)/(U9-U10)</f>
        <v>28441.718603387671</v>
      </c>
      <c r="W9" s="173"/>
      <c r="Y9" s="183" t="s">
        <v>363</v>
      </c>
      <c r="Z9" s="171" t="s">
        <v>126</v>
      </c>
      <c r="AA9" s="171">
        <v>74307.598868313871</v>
      </c>
      <c r="AB9" s="171">
        <v>10.182488275349186</v>
      </c>
      <c r="AC9" s="171">
        <f>(AA9-AA10)/(AB9-AB10)</f>
        <v>1938.1721565065927</v>
      </c>
      <c r="AD9" s="173"/>
      <c r="AF9" s="183" t="s">
        <v>368</v>
      </c>
      <c r="AG9" s="171" t="s">
        <v>126</v>
      </c>
      <c r="AH9" s="187">
        <v>76901.173488193977</v>
      </c>
      <c r="AI9" s="187">
        <v>10.182488275349186</v>
      </c>
      <c r="AJ9" s="171">
        <f>(AH9-AH10)/(AI9-AI10)</f>
        <v>28376.777680030908</v>
      </c>
      <c r="AK9" s="173"/>
    </row>
    <row r="10" spans="1:37" x14ac:dyDescent="0.3">
      <c r="B10" s="162" t="s">
        <v>319</v>
      </c>
      <c r="C10" s="214">
        <f ca="1">Cst_R6_Total</f>
        <v>77596.609324305449</v>
      </c>
      <c r="D10" s="213">
        <f ca="1">QALY_R6_Total</f>
        <v>10.086905244255766</v>
      </c>
      <c r="E10" s="214"/>
      <c r="F10" s="216"/>
      <c r="G10" s="216"/>
      <c r="H10" s="145"/>
      <c r="K10" s="172"/>
      <c r="L10" s="224" t="s">
        <v>127</v>
      </c>
      <c r="M10" s="224">
        <v>76486.720000000001</v>
      </c>
      <c r="N10" s="224">
        <v>8.9402816036108774</v>
      </c>
      <c r="O10" s="224" t="s">
        <v>346</v>
      </c>
      <c r="P10" s="145" t="s">
        <v>347</v>
      </c>
      <c r="Q10" s="171"/>
      <c r="R10" s="172"/>
      <c r="S10" s="171" t="s">
        <v>127</v>
      </c>
      <c r="T10" s="171">
        <v>76486.716311435855</v>
      </c>
      <c r="U10" s="171">
        <v>10.155756221414322</v>
      </c>
      <c r="V10" s="171" t="s">
        <v>346</v>
      </c>
      <c r="W10" s="145" t="s">
        <v>347</v>
      </c>
      <c r="Y10" s="172"/>
      <c r="Z10" s="171" t="s">
        <v>127</v>
      </c>
      <c r="AA10" s="171">
        <v>74255.787545691084</v>
      </c>
      <c r="AB10" s="171">
        <v>10.155756221414322</v>
      </c>
      <c r="AC10" s="171" t="s">
        <v>346</v>
      </c>
      <c r="AD10" s="145" t="s">
        <v>347</v>
      </c>
      <c r="AF10" s="172"/>
      <c r="AG10" s="171" t="s">
        <v>127</v>
      </c>
      <c r="AH10" s="187">
        <v>76142.603936753731</v>
      </c>
      <c r="AI10" s="187">
        <v>10.155756221414322</v>
      </c>
      <c r="AJ10" s="171" t="s">
        <v>346</v>
      </c>
      <c r="AK10" s="145" t="s">
        <v>347</v>
      </c>
    </row>
    <row r="11" spans="1:37" x14ac:dyDescent="0.3">
      <c r="B11" s="162" t="s">
        <v>318</v>
      </c>
      <c r="C11" s="214">
        <f ca="1">Cst_R5_Total</f>
        <v>77174.378659590715</v>
      </c>
      <c r="D11" s="213">
        <f ca="1">QALY_R5_Total</f>
        <v>10.108368874331893</v>
      </c>
      <c r="E11" s="213"/>
      <c r="F11" s="216"/>
      <c r="G11" s="216"/>
      <c r="H11" s="145"/>
      <c r="K11" s="172"/>
      <c r="L11" s="224" t="s">
        <v>132</v>
      </c>
      <c r="M11" s="224">
        <v>76866.16</v>
      </c>
      <c r="N11" s="224">
        <v>8.9118999200632683</v>
      </c>
      <c r="O11" s="224">
        <f>(M11-M10)/(N11-N10)</f>
        <v>-13369.185776576871</v>
      </c>
      <c r="P11" s="173"/>
      <c r="Q11" s="171"/>
      <c r="R11" s="172"/>
      <c r="S11" s="171" t="s">
        <v>132</v>
      </c>
      <c r="T11" s="171">
        <v>76866.158693589023</v>
      </c>
      <c r="U11" s="171">
        <v>10.1282158305509</v>
      </c>
      <c r="V11" s="171">
        <f>(T11-T10)/(U11-U10)</f>
        <v>-13777.668735164187</v>
      </c>
      <c r="W11" s="173"/>
      <c r="Y11" s="172"/>
      <c r="Z11" s="171" t="s">
        <v>132</v>
      </c>
      <c r="AA11" s="171">
        <v>75147.770947925412</v>
      </c>
      <c r="AB11" s="171">
        <v>10.1282158305509</v>
      </c>
      <c r="AC11" s="171">
        <f>(AA11-AA10)/(AB11-AB10)</f>
        <v>-32388.189646902611</v>
      </c>
      <c r="AD11" s="173"/>
      <c r="AF11" s="172"/>
      <c r="AG11" s="171" t="s">
        <v>132</v>
      </c>
      <c r="AH11" s="187">
        <v>76522.624986995492</v>
      </c>
      <c r="AI11" s="187">
        <v>10.1282158305509</v>
      </c>
      <c r="AJ11" s="171">
        <f>(AH11-AH10)/(AI11-AI10)</f>
        <v>-13798.680350121424</v>
      </c>
      <c r="AK11" s="173"/>
    </row>
    <row r="12" spans="1:37" x14ac:dyDescent="0.3">
      <c r="B12" s="162" t="s">
        <v>383</v>
      </c>
      <c r="C12" s="214">
        <f ca="1">Cst_R4_Total</f>
        <v>76800.673516583702</v>
      </c>
      <c r="D12" s="213">
        <f ca="1">QALY_R4_Total</f>
        <v>10.1282158305509</v>
      </c>
      <c r="E12" s="216"/>
      <c r="F12" s="216"/>
      <c r="G12" s="216"/>
      <c r="H12" s="145"/>
      <c r="K12" s="172"/>
      <c r="L12" s="224" t="s">
        <v>147</v>
      </c>
      <c r="M12" s="224">
        <v>76800.67</v>
      </c>
      <c r="N12" s="224">
        <v>8.9118999200632683</v>
      </c>
      <c r="O12" s="224">
        <f>(M12-M10)/(N12-N10)</f>
        <v>-11061.711666024257</v>
      </c>
      <c r="P12" s="173"/>
      <c r="Q12" s="171"/>
      <c r="R12" s="172"/>
      <c r="S12" s="171" t="s">
        <v>147</v>
      </c>
      <c r="T12" s="171">
        <v>76800.673516583702</v>
      </c>
      <c r="U12" s="171">
        <v>10.1282158305509</v>
      </c>
      <c r="V12" s="171">
        <f>(T12-T10)/(U12-U10)</f>
        <v>-11399.881966266281</v>
      </c>
      <c r="W12" s="173"/>
      <c r="Y12" s="172"/>
      <c r="Z12" s="171" t="s">
        <v>147</v>
      </c>
      <c r="AA12" s="171">
        <v>75293.302707707175</v>
      </c>
      <c r="AB12" s="171">
        <v>10.1282158305509</v>
      </c>
      <c r="AC12" s="171">
        <f>(AA12-AA10)/(AB12-AB10)</f>
        <v>-37672.492273669377</v>
      </c>
      <c r="AD12" s="173"/>
      <c r="AF12" s="172"/>
      <c r="AG12" s="171" t="s">
        <v>147</v>
      </c>
      <c r="AH12" s="187">
        <v>76458.875814255953</v>
      </c>
      <c r="AI12" s="187">
        <v>10.1282158305509</v>
      </c>
      <c r="AJ12" s="171">
        <f>(AH12-AH10)/(AI12-AI10)</f>
        <v>-11483.928426095223</v>
      </c>
      <c r="AK12" s="173"/>
    </row>
    <row r="13" spans="1:37" x14ac:dyDescent="0.3">
      <c r="B13" s="162" t="s">
        <v>317</v>
      </c>
      <c r="C13" s="214">
        <f ca="1">Cst_R3_Total</f>
        <v>76866.158693589023</v>
      </c>
      <c r="D13" s="213">
        <f ca="1">QALY_R3_Total</f>
        <v>10.136717602123875</v>
      </c>
      <c r="E13" s="216"/>
      <c r="F13" s="216"/>
      <c r="G13" s="216"/>
      <c r="H13" s="145"/>
      <c r="K13" s="172"/>
      <c r="L13" s="224" t="s">
        <v>135</v>
      </c>
      <c r="M13" s="224">
        <v>77174.38</v>
      </c>
      <c r="N13" s="224">
        <v>8.8917533308720156</v>
      </c>
      <c r="O13" s="224">
        <f>(M13-M10)/(N13-N10)</f>
        <v>-14170.296225056443</v>
      </c>
      <c r="P13" s="173"/>
      <c r="Q13" s="171"/>
      <c r="R13" s="172"/>
      <c r="S13" s="171" t="s">
        <v>135</v>
      </c>
      <c r="T13" s="171">
        <v>77174.378659590715</v>
      </c>
      <c r="U13" s="171">
        <v>10.108368874331893</v>
      </c>
      <c r="V13" s="171">
        <f>(T13-T10)/(U13-U10)</f>
        <v>-14511.518168735809</v>
      </c>
      <c r="W13" s="173"/>
      <c r="Y13" s="172"/>
      <c r="Z13" s="171" t="s">
        <v>135</v>
      </c>
      <c r="AA13" s="171">
        <v>76194.612594580351</v>
      </c>
      <c r="AB13" s="171">
        <v>10.108368874331893</v>
      </c>
      <c r="AC13" s="171">
        <f>(AA13-AA10)/(AB13-AB10)</f>
        <v>-40914.403701830561</v>
      </c>
      <c r="AD13" s="173"/>
      <c r="AF13" s="172"/>
      <c r="AG13" s="171" t="s">
        <v>135</v>
      </c>
      <c r="AH13" s="187">
        <v>76833.738293440154</v>
      </c>
      <c r="AI13" s="187">
        <v>10.108368874331893</v>
      </c>
      <c r="AJ13" s="171">
        <f>(AH13-AH10)/(AI13-AI10)</f>
        <v>-14584.786852157238</v>
      </c>
      <c r="AK13" s="173"/>
    </row>
    <row r="14" spans="1:37" ht="15" thickBot="1" x14ac:dyDescent="0.35">
      <c r="B14" s="162" t="s">
        <v>384</v>
      </c>
      <c r="C14" s="214">
        <f ca="1">Cst_R2_Total</f>
        <v>76486.716311435855</v>
      </c>
      <c r="D14" s="213">
        <f ca="1">QALY_R2_Total</f>
        <v>10.155756221414322</v>
      </c>
      <c r="E14" s="216"/>
      <c r="F14" s="216"/>
      <c r="G14" s="216"/>
      <c r="H14" s="145"/>
      <c r="K14" s="177"/>
      <c r="L14" s="178" t="s">
        <v>137</v>
      </c>
      <c r="M14" s="178">
        <v>77596.61</v>
      </c>
      <c r="N14" s="178">
        <v>8.8693273947418554</v>
      </c>
      <c r="O14" s="178">
        <f>(M14-M10)/(N14-N10)</f>
        <v>-15642.341979301065</v>
      </c>
      <c r="P14" s="179"/>
      <c r="Q14" s="171"/>
      <c r="R14" s="177"/>
      <c r="S14" s="178" t="s">
        <v>137</v>
      </c>
      <c r="T14" s="178">
        <v>77596.609324305449</v>
      </c>
      <c r="U14" s="178">
        <v>10.086905244255766</v>
      </c>
      <c r="V14" s="178">
        <f>(T14-T10)/(U14-U10)</f>
        <v>-16120.221653697572</v>
      </c>
      <c r="W14" s="179"/>
      <c r="Y14" s="177"/>
      <c r="Z14" s="178" t="s">
        <v>137</v>
      </c>
      <c r="AA14" s="178">
        <v>77174.575450731281</v>
      </c>
      <c r="AB14" s="178">
        <v>10.086905244255766</v>
      </c>
      <c r="AC14" s="178">
        <f>(AA14-AA10)/(AB14-AB10)</f>
        <v>-42392.831961099881</v>
      </c>
      <c r="AD14" s="179"/>
      <c r="AF14" s="177"/>
      <c r="AG14" s="178" t="s">
        <v>137</v>
      </c>
      <c r="AH14" s="188">
        <v>77258.28363050925</v>
      </c>
      <c r="AI14" s="188">
        <v>10.086905244255766</v>
      </c>
      <c r="AJ14" s="178">
        <f>(AH14-AH10)/(AI14-AI10)</f>
        <v>-16204.268113526301</v>
      </c>
      <c r="AK14" s="179"/>
    </row>
    <row r="15" spans="1:37" ht="15" thickTop="1" x14ac:dyDescent="0.3">
      <c r="B15" s="162" t="s">
        <v>314</v>
      </c>
      <c r="C15" s="214">
        <f ca="1">Cst_R1_Total</f>
        <v>77247.021867141855</v>
      </c>
      <c r="D15" s="213">
        <f ca="1">QALY_R1_Total</f>
        <v>10.182488275349186</v>
      </c>
      <c r="E15" s="216"/>
      <c r="F15" s="216"/>
      <c r="G15" s="216"/>
      <c r="H15" s="145"/>
      <c r="K15" s="184" t="s">
        <v>353</v>
      </c>
      <c r="L15" s="224" t="s">
        <v>126</v>
      </c>
      <c r="M15" s="224">
        <v>77247.02</v>
      </c>
      <c r="N15" s="224">
        <v>10.182</v>
      </c>
      <c r="O15" s="224">
        <f t="shared" ref="O15" si="0">(M15-M16)/(N15-N16)</f>
        <v>29242.30769230803</v>
      </c>
      <c r="P15" s="173"/>
      <c r="Q15" s="171"/>
      <c r="R15" s="184" t="s">
        <v>358</v>
      </c>
      <c r="S15" s="171" t="s">
        <v>126</v>
      </c>
      <c r="T15" s="224">
        <v>77247.02</v>
      </c>
      <c r="U15" s="224">
        <v>10.182</v>
      </c>
      <c r="V15" s="171">
        <f t="shared" ref="V15" si="1">(T15-T16)/(U15-U16)</f>
        <v>29242.30769230803</v>
      </c>
      <c r="W15" s="173"/>
      <c r="Y15" s="184" t="s">
        <v>356</v>
      </c>
      <c r="Z15" s="171" t="s">
        <v>126</v>
      </c>
      <c r="AA15" s="224">
        <v>77247.02</v>
      </c>
      <c r="AB15" s="224">
        <v>10.182</v>
      </c>
      <c r="AC15" s="171">
        <f t="shared" ref="AC15" si="2">(AA15-AA16)/(AB15-AB16)</f>
        <v>29242.30769230803</v>
      </c>
      <c r="AD15" s="173"/>
      <c r="AF15" s="184" t="s">
        <v>366</v>
      </c>
      <c r="AG15" s="171" t="s">
        <v>126</v>
      </c>
      <c r="AH15" s="224">
        <v>77247.02</v>
      </c>
      <c r="AI15" s="224">
        <v>10.182</v>
      </c>
      <c r="AJ15" s="171">
        <f t="shared" ref="AJ15" si="3">(AH15-AH16)/(AI15-AI16)</f>
        <v>29242.30769230803</v>
      </c>
      <c r="AK15" s="173"/>
    </row>
    <row r="16" spans="1:37" x14ac:dyDescent="0.3">
      <c r="B16" s="162"/>
      <c r="C16" s="217"/>
      <c r="D16" s="218"/>
      <c r="E16" s="216"/>
      <c r="F16" s="216"/>
      <c r="G16" s="216"/>
      <c r="H16" s="145"/>
      <c r="K16" s="172"/>
      <c r="L16" s="224" t="s">
        <v>127</v>
      </c>
      <c r="M16" s="224">
        <v>76486.720000000001</v>
      </c>
      <c r="N16" s="224">
        <v>10.156000000000001</v>
      </c>
      <c r="O16" s="224" t="s">
        <v>346</v>
      </c>
      <c r="P16" s="145" t="s">
        <v>347</v>
      </c>
      <c r="Q16" s="171"/>
      <c r="R16" s="172"/>
      <c r="S16" s="171" t="s">
        <v>127</v>
      </c>
      <c r="T16" s="224">
        <v>76486.720000000001</v>
      </c>
      <c r="U16" s="224">
        <v>10.156000000000001</v>
      </c>
      <c r="V16" s="171" t="s">
        <v>346</v>
      </c>
      <c r="W16" s="145" t="s">
        <v>347</v>
      </c>
      <c r="Y16" s="172"/>
      <c r="Z16" s="171" t="s">
        <v>127</v>
      </c>
      <c r="AA16" s="224">
        <v>76486.720000000001</v>
      </c>
      <c r="AB16" s="224">
        <v>10.156000000000001</v>
      </c>
      <c r="AC16" s="171" t="s">
        <v>346</v>
      </c>
      <c r="AD16" s="145" t="s">
        <v>347</v>
      </c>
      <c r="AF16" s="172"/>
      <c r="AG16" s="171" t="s">
        <v>127</v>
      </c>
      <c r="AH16" s="224">
        <v>76486.720000000001</v>
      </c>
      <c r="AI16" s="224">
        <v>10.156000000000001</v>
      </c>
      <c r="AJ16" s="171" t="s">
        <v>346</v>
      </c>
      <c r="AK16" s="145" t="s">
        <v>347</v>
      </c>
    </row>
    <row r="17" spans="1:37" x14ac:dyDescent="0.3">
      <c r="B17" s="166" t="s">
        <v>385</v>
      </c>
      <c r="C17" s="216"/>
      <c r="D17" s="216"/>
      <c r="E17" s="216"/>
      <c r="F17" s="216"/>
      <c r="G17" s="216"/>
      <c r="H17" s="145"/>
      <c r="K17" s="172"/>
      <c r="L17" s="224" t="s">
        <v>132</v>
      </c>
      <c r="M17" s="224">
        <v>76866.16</v>
      </c>
      <c r="N17" s="224">
        <v>10.137</v>
      </c>
      <c r="O17" s="224">
        <f t="shared" ref="O17" si="4">(M17-M16)/(N17-N16)</f>
        <v>-19970.526315789462</v>
      </c>
      <c r="P17" s="173"/>
      <c r="Q17" s="171"/>
      <c r="R17" s="172"/>
      <c r="S17" s="171" t="s">
        <v>132</v>
      </c>
      <c r="T17" s="224">
        <v>76866.16</v>
      </c>
      <c r="U17" s="224">
        <v>10.137</v>
      </c>
      <c r="V17" s="171">
        <f t="shared" ref="V17" si="5">(T17-T16)/(U17-U16)</f>
        <v>-19970.526315789462</v>
      </c>
      <c r="W17" s="173"/>
      <c r="Y17" s="172"/>
      <c r="Z17" s="171" t="s">
        <v>132</v>
      </c>
      <c r="AA17" s="224">
        <v>76866.16</v>
      </c>
      <c r="AB17" s="224">
        <v>10.137</v>
      </c>
      <c r="AC17" s="171">
        <f t="shared" ref="AC17" si="6">(AA17-AA16)/(AB17-AB16)</f>
        <v>-19970.526315789462</v>
      </c>
      <c r="AD17" s="173"/>
      <c r="AF17" s="172"/>
      <c r="AG17" s="171" t="s">
        <v>132</v>
      </c>
      <c r="AH17" s="224">
        <v>76866.16</v>
      </c>
      <c r="AI17" s="224">
        <v>10.137</v>
      </c>
      <c r="AJ17" s="171">
        <f t="shared" ref="AJ17" si="7">(AH17-AH16)/(AI17-AI16)</f>
        <v>-19970.526315789462</v>
      </c>
      <c r="AK17" s="173"/>
    </row>
    <row r="18" spans="1:37" x14ac:dyDescent="0.3">
      <c r="B18" s="166" t="s">
        <v>386</v>
      </c>
      <c r="C18" s="216"/>
      <c r="D18" s="216"/>
      <c r="E18" s="216"/>
      <c r="F18" s="216"/>
      <c r="G18" s="216"/>
      <c r="H18" s="145"/>
      <c r="K18" s="172"/>
      <c r="L18" s="224" t="s">
        <v>147</v>
      </c>
      <c r="M18" s="224">
        <v>76800.67</v>
      </c>
      <c r="N18" s="224">
        <v>10.128</v>
      </c>
      <c r="O18" s="224">
        <f t="shared" ref="O18" si="8">(M18-M16)/(N18-N16)</f>
        <v>-11212.499999999709</v>
      </c>
      <c r="P18" s="173"/>
      <c r="Q18" s="171"/>
      <c r="R18" s="172"/>
      <c r="S18" s="171" t="s">
        <v>147</v>
      </c>
      <c r="T18" s="224">
        <v>76800.67</v>
      </c>
      <c r="U18" s="224">
        <v>10.128</v>
      </c>
      <c r="V18" s="171">
        <f t="shared" ref="V18" si="9">(T18-T16)/(U18-U16)</f>
        <v>-11212.499999999709</v>
      </c>
      <c r="W18" s="173"/>
      <c r="Y18" s="172"/>
      <c r="Z18" s="171" t="s">
        <v>147</v>
      </c>
      <c r="AA18" s="224">
        <v>76800.67</v>
      </c>
      <c r="AB18" s="224">
        <v>10.128</v>
      </c>
      <c r="AC18" s="171">
        <f t="shared" ref="AC18" si="10">(AA18-AA16)/(AB18-AB16)</f>
        <v>-11212.499999999709</v>
      </c>
      <c r="AD18" s="173"/>
      <c r="AF18" s="172"/>
      <c r="AG18" s="171" t="s">
        <v>147</v>
      </c>
      <c r="AH18" s="224">
        <v>76800.67</v>
      </c>
      <c r="AI18" s="224">
        <v>10.128</v>
      </c>
      <c r="AJ18" s="171">
        <f t="shared" ref="AJ18" si="11">(AH18-AH16)/(AI18-AI16)</f>
        <v>-11212.499999999709</v>
      </c>
      <c r="AK18" s="173"/>
    </row>
    <row r="19" spans="1:37" x14ac:dyDescent="0.3">
      <c r="B19" s="144"/>
      <c r="C19" s="216"/>
      <c r="D19" s="216"/>
      <c r="E19" s="216"/>
      <c r="F19" s="216"/>
      <c r="G19" s="216"/>
      <c r="H19" s="145"/>
      <c r="K19" s="172"/>
      <c r="L19" s="224" t="s">
        <v>135</v>
      </c>
      <c r="M19" s="224">
        <v>77174.38</v>
      </c>
      <c r="N19" s="224">
        <v>10.108000000000001</v>
      </c>
      <c r="O19" s="224">
        <f t="shared" ref="O19" si="12">(M19-M16)/(N19-N16)</f>
        <v>-14326.25000000006</v>
      </c>
      <c r="P19" s="173"/>
      <c r="Q19" s="171"/>
      <c r="R19" s="172"/>
      <c r="S19" s="171" t="s">
        <v>135</v>
      </c>
      <c r="T19" s="224">
        <v>77174.38</v>
      </c>
      <c r="U19" s="224">
        <v>10.108000000000001</v>
      </c>
      <c r="V19" s="171">
        <f t="shared" ref="V19" si="13">(T19-T16)/(U19-U16)</f>
        <v>-14326.25000000006</v>
      </c>
      <c r="W19" s="173"/>
      <c r="Y19" s="172"/>
      <c r="Z19" s="171" t="s">
        <v>135</v>
      </c>
      <c r="AA19" s="224">
        <v>77174.38</v>
      </c>
      <c r="AB19" s="224">
        <v>10.108000000000001</v>
      </c>
      <c r="AC19" s="171">
        <f t="shared" ref="AC19" si="14">(AA19-AA16)/(AB19-AB16)</f>
        <v>-14326.25000000006</v>
      </c>
      <c r="AD19" s="173"/>
      <c r="AF19" s="172"/>
      <c r="AG19" s="171" t="s">
        <v>135</v>
      </c>
      <c r="AH19" s="224">
        <v>77174.38</v>
      </c>
      <c r="AI19" s="224">
        <v>10.108000000000001</v>
      </c>
      <c r="AJ19" s="171">
        <f t="shared" ref="AJ19" si="15">(AH19-AH16)/(AI19-AI16)</f>
        <v>-14326.25000000006</v>
      </c>
      <c r="AK19" s="173"/>
    </row>
    <row r="20" spans="1:37" ht="15" thickBot="1" x14ac:dyDescent="0.35">
      <c r="B20" s="160" t="s">
        <v>387</v>
      </c>
      <c r="C20" s="216"/>
      <c r="D20" s="216"/>
      <c r="E20" s="216"/>
      <c r="F20" s="216"/>
      <c r="G20" s="216"/>
      <c r="H20" s="145"/>
      <c r="K20" s="177"/>
      <c r="L20" s="178" t="s">
        <v>137</v>
      </c>
      <c r="M20" s="178">
        <v>77596.61</v>
      </c>
      <c r="N20" s="178">
        <v>10.087</v>
      </c>
      <c r="O20" s="178">
        <f t="shared" ref="O20" si="16">(M20-M16)/(N20-N16)</f>
        <v>-16085.362318840376</v>
      </c>
      <c r="P20" s="179"/>
      <c r="Q20" s="171"/>
      <c r="R20" s="177"/>
      <c r="S20" s="178" t="s">
        <v>137</v>
      </c>
      <c r="T20" s="178">
        <v>77596.61</v>
      </c>
      <c r="U20" s="178">
        <v>10.087</v>
      </c>
      <c r="V20" s="178">
        <f t="shared" ref="V20" si="17">(T20-T16)/(U20-U16)</f>
        <v>-16085.362318840376</v>
      </c>
      <c r="W20" s="179"/>
      <c r="Y20" s="177"/>
      <c r="Z20" s="178" t="s">
        <v>137</v>
      </c>
      <c r="AA20" s="178">
        <v>77596.61</v>
      </c>
      <c r="AB20" s="178">
        <v>10.087</v>
      </c>
      <c r="AC20" s="178">
        <f t="shared" ref="AC20" si="18">(AA20-AA16)/(AB20-AB16)</f>
        <v>-16085.362318840376</v>
      </c>
      <c r="AD20" s="179"/>
      <c r="AF20" s="177"/>
      <c r="AG20" s="178" t="s">
        <v>137</v>
      </c>
      <c r="AH20" s="178">
        <v>77596.61</v>
      </c>
      <c r="AI20" s="178">
        <v>10.087</v>
      </c>
      <c r="AJ20" s="178">
        <f t="shared" ref="AJ20" si="19">(AH20-AH16)/(AI20-AI16)</f>
        <v>-16085.362318840376</v>
      </c>
      <c r="AK20" s="179"/>
    </row>
    <row r="21" spans="1:37" ht="15" thickTop="1" x14ac:dyDescent="0.3">
      <c r="A21" s="15"/>
      <c r="B21" s="161" t="s">
        <v>313</v>
      </c>
      <c r="C21" s="215" t="s">
        <v>322</v>
      </c>
      <c r="D21" s="215" t="s">
        <v>316</v>
      </c>
      <c r="E21" s="219"/>
      <c r="F21" s="219"/>
      <c r="G21" s="219"/>
      <c r="H21" s="164"/>
      <c r="K21" s="185" t="s">
        <v>354</v>
      </c>
      <c r="L21" s="224" t="s">
        <v>126</v>
      </c>
      <c r="M21" s="224">
        <v>77247.02</v>
      </c>
      <c r="N21" s="224">
        <v>11.390951802409237</v>
      </c>
      <c r="O21" s="224">
        <f t="shared" ref="O21" si="20">(M21-M22)/(N21-N22)</f>
        <v>22329.860225041473</v>
      </c>
      <c r="P21" s="173"/>
      <c r="Q21" s="171"/>
      <c r="R21" s="185" t="s">
        <v>359</v>
      </c>
      <c r="S21" s="171" t="s">
        <v>126</v>
      </c>
      <c r="T21" s="171">
        <v>77201.595400766702</v>
      </c>
      <c r="U21" s="171">
        <v>10.175987140749079</v>
      </c>
      <c r="V21" s="171">
        <f t="shared" ref="V21" si="21">(T21-T22)/(U21-U22)</f>
        <v>23825.686663491932</v>
      </c>
      <c r="W21" s="173"/>
      <c r="Y21" s="185" t="s">
        <v>362</v>
      </c>
      <c r="Z21" s="171" t="s">
        <v>126</v>
      </c>
      <c r="AA21" s="171">
        <v>80186.444865969868</v>
      </c>
      <c r="AB21" s="171">
        <v>10.182488275349186</v>
      </c>
      <c r="AC21" s="171">
        <f t="shared" ref="AC21" si="22">(AA21-AA22)/(AB21-AB22)</f>
        <v>54945.265050269838</v>
      </c>
      <c r="AD21" s="173"/>
      <c r="AF21" s="185" t="s">
        <v>367</v>
      </c>
      <c r="AG21" s="171" t="s">
        <v>126</v>
      </c>
      <c r="AH21" s="187">
        <v>77592.870246089748</v>
      </c>
      <c r="AI21" s="187">
        <v>10.182488275349186</v>
      </c>
      <c r="AJ21" s="171">
        <f t="shared" ref="AJ21" si="23">(AH21-AH22)/(AI21-AI22)</f>
        <v>28506.65952674552</v>
      </c>
      <c r="AK21" s="173"/>
    </row>
    <row r="22" spans="1:37" x14ac:dyDescent="0.3">
      <c r="A22" s="15"/>
      <c r="B22" s="162" t="s">
        <v>383</v>
      </c>
      <c r="C22" s="214">
        <f ca="1">Cst_R4_Total</f>
        <v>76800.673516583702</v>
      </c>
      <c r="D22" s="213">
        <f ca="1">QALY_R4_Total</f>
        <v>10.1282158305509</v>
      </c>
      <c r="E22" s="226" t="s">
        <v>391</v>
      </c>
      <c r="F22" s="220"/>
      <c r="G22" s="220"/>
      <c r="H22" s="165"/>
      <c r="K22" s="172"/>
      <c r="L22" s="224" t="s">
        <v>127</v>
      </c>
      <c r="M22" s="224">
        <v>76486.720000000001</v>
      </c>
      <c r="N22" s="224">
        <v>11.35690322385399</v>
      </c>
      <c r="O22" s="224" t="s">
        <v>346</v>
      </c>
      <c r="P22" s="145" t="s">
        <v>347</v>
      </c>
      <c r="Q22" s="171"/>
      <c r="R22" s="172"/>
      <c r="S22" s="171" t="s">
        <v>127</v>
      </c>
      <c r="T22" s="171">
        <v>76378.214581489912</v>
      </c>
      <c r="U22" s="171">
        <v>10.141428606050541</v>
      </c>
      <c r="V22" s="171" t="s">
        <v>346</v>
      </c>
      <c r="W22" s="145" t="s">
        <v>347</v>
      </c>
      <c r="Y22" s="172"/>
      <c r="Z22" s="171" t="s">
        <v>127</v>
      </c>
      <c r="AA22" s="171">
        <v>78717.645077180627</v>
      </c>
      <c r="AB22" s="171">
        <v>10.155756221414322</v>
      </c>
      <c r="AC22" s="171" t="s">
        <v>346</v>
      </c>
      <c r="AD22" s="145" t="s">
        <v>347</v>
      </c>
      <c r="AF22" s="172"/>
      <c r="AG22" s="171" t="s">
        <v>127</v>
      </c>
      <c r="AH22" s="187">
        <v>76830.828686117966</v>
      </c>
      <c r="AI22" s="187">
        <v>10.155756221414322</v>
      </c>
      <c r="AJ22" s="171" t="s">
        <v>346</v>
      </c>
      <c r="AK22" s="145" t="s">
        <v>347</v>
      </c>
    </row>
    <row r="23" spans="1:37" x14ac:dyDescent="0.3">
      <c r="A23" s="15"/>
      <c r="B23" s="162" t="s">
        <v>317</v>
      </c>
      <c r="C23" s="214">
        <f ca="1">Cst_R3_Total</f>
        <v>76866.158693589023</v>
      </c>
      <c r="D23" s="213">
        <f ca="1">QALY_R3_Total</f>
        <v>10.136717602123875</v>
      </c>
      <c r="E23" s="226" t="s">
        <v>390</v>
      </c>
      <c r="F23" s="220"/>
      <c r="G23" s="220"/>
      <c r="H23" s="165"/>
      <c r="K23" s="172"/>
      <c r="L23" s="224" t="s">
        <v>132</v>
      </c>
      <c r="M23" s="224">
        <v>76866.16</v>
      </c>
      <c r="N23" s="224">
        <v>11.321714971829298</v>
      </c>
      <c r="O23" s="224">
        <f t="shared" ref="O23" si="24">(M23-M22)/(N23-N22)</f>
        <v>-10783.14432139852</v>
      </c>
      <c r="P23" s="173"/>
      <c r="Q23" s="171"/>
      <c r="R23" s="172"/>
      <c r="S23" s="171" t="s">
        <v>132</v>
      </c>
      <c r="T23" s="171">
        <v>76721.381014212253</v>
      </c>
      <c r="U23" s="171">
        <v>10.105399061341659</v>
      </c>
      <c r="V23" s="171">
        <f t="shared" ref="V23" si="25">(T23-T22)/(U23-U22)</f>
        <v>-9524.5842126266652</v>
      </c>
      <c r="W23" s="173"/>
      <c r="Y23" s="172"/>
      <c r="Z23" s="171" t="s">
        <v>132</v>
      </c>
      <c r="AA23" s="171">
        <v>78584.546439252634</v>
      </c>
      <c r="AB23" s="171">
        <v>10.1282158305509</v>
      </c>
      <c r="AC23" s="171">
        <f t="shared" ref="AC23" si="26">(AA23-AA22)/(AB23-AB22)</f>
        <v>4832.8521765742344</v>
      </c>
      <c r="AD23" s="173"/>
      <c r="AF23" s="172"/>
      <c r="AG23" s="171" t="s">
        <v>132</v>
      </c>
      <c r="AH23" s="187">
        <v>77209.692400182539</v>
      </c>
      <c r="AI23" s="187">
        <v>10.1282158305509</v>
      </c>
      <c r="AJ23" s="171">
        <f t="shared" ref="AJ23" si="27">(AH23-AH22)/(AI23-AI22)</f>
        <v>-13756.657120206952</v>
      </c>
      <c r="AK23" s="173"/>
    </row>
    <row r="24" spans="1:37" x14ac:dyDescent="0.3">
      <c r="A24" s="15"/>
      <c r="B24" s="162" t="s">
        <v>384</v>
      </c>
      <c r="C24" s="214">
        <f ca="1">Cst_R2_Total</f>
        <v>76486.716311435855</v>
      </c>
      <c r="D24" s="213">
        <f ca="1">QALY_R2_Total</f>
        <v>10.155756221414322</v>
      </c>
      <c r="E24" s="220"/>
      <c r="F24" s="220"/>
      <c r="G24" s="220"/>
      <c r="H24" s="165"/>
      <c r="K24" s="172"/>
      <c r="L24" s="224" t="s">
        <v>147</v>
      </c>
      <c r="M24" s="224">
        <v>76800.67</v>
      </c>
      <c r="N24" s="224">
        <v>11.321714971829298</v>
      </c>
      <c r="O24" s="224">
        <f t="shared" ref="O24" si="28">(M24-M22)/(N24-N22)</f>
        <v>-8922.0118060905897</v>
      </c>
      <c r="P24" s="173"/>
      <c r="Q24" s="171"/>
      <c r="R24" s="172"/>
      <c r="S24" s="171" t="s">
        <v>147</v>
      </c>
      <c r="T24" s="171">
        <v>76620.272124469164</v>
      </c>
      <c r="U24" s="171">
        <v>10.105399061341659</v>
      </c>
      <c r="V24" s="171">
        <f t="shared" ref="V24" si="29">(T24-T22)/(U24-U22)</f>
        <v>-6718.3070153973376</v>
      </c>
      <c r="W24" s="173"/>
      <c r="Y24" s="172"/>
      <c r="Z24" s="171" t="s">
        <v>147</v>
      </c>
      <c r="AA24" s="171">
        <v>78308.044325460229</v>
      </c>
      <c r="AB24" s="171">
        <v>10.1282158305509</v>
      </c>
      <c r="AC24" s="171">
        <f t="shared" ref="AC24" si="30">(AA24-AA22)/(AB24-AB22)</f>
        <v>14872.728341136812</v>
      </c>
      <c r="AD24" s="173"/>
      <c r="AF24" s="172"/>
      <c r="AG24" s="171" t="s">
        <v>147</v>
      </c>
      <c r="AH24" s="187">
        <v>77142.471218911436</v>
      </c>
      <c r="AI24" s="187">
        <v>10.1282158305509</v>
      </c>
      <c r="AJ24" s="171">
        <f t="shared" ref="AJ24" si="31">(AH24-AH22)/(AI24-AI22)</f>
        <v>-11315.835506437339</v>
      </c>
      <c r="AK24" s="173"/>
    </row>
    <row r="25" spans="1:37" x14ac:dyDescent="0.3">
      <c r="A25" s="15"/>
      <c r="B25" s="162" t="s">
        <v>314</v>
      </c>
      <c r="C25" s="214">
        <f ca="1">Cst_R1_Total</f>
        <v>77247.021867141855</v>
      </c>
      <c r="D25" s="213">
        <f ca="1">QALY_R1_Total</f>
        <v>10.182488275349186</v>
      </c>
      <c r="E25" s="220"/>
      <c r="F25" s="220"/>
      <c r="G25" s="220"/>
      <c r="H25" s="165"/>
      <c r="K25" s="172"/>
      <c r="L25" s="224" t="s">
        <v>135</v>
      </c>
      <c r="M25" s="224">
        <v>77174.38</v>
      </c>
      <c r="N25" s="224">
        <v>11.296463456280227</v>
      </c>
      <c r="O25" s="224">
        <f t="shared" ref="O25" si="32">(M25-M22)/(N25-N22)</f>
        <v>-11377.60828018991</v>
      </c>
      <c r="P25" s="173"/>
      <c r="Q25" s="171"/>
      <c r="R25" s="172"/>
      <c r="S25" s="171" t="s">
        <v>135</v>
      </c>
      <c r="T25" s="171">
        <v>76948.876919447546</v>
      </c>
      <c r="U25" s="171">
        <v>10.079847912820341</v>
      </c>
      <c r="V25" s="171">
        <f t="shared" ref="V25" si="33">(T25-T22)/(U25-U22)</f>
        <v>-9266.903440407792</v>
      </c>
      <c r="W25" s="173"/>
      <c r="Y25" s="172"/>
      <c r="Z25" s="171" t="s">
        <v>135</v>
      </c>
      <c r="AA25" s="171">
        <v>78154.144724601079</v>
      </c>
      <c r="AB25" s="171">
        <v>10.108368874331893</v>
      </c>
      <c r="AC25" s="171">
        <f t="shared" ref="AC25" si="34">(AA25-AA22)/(AB25-AB22)</f>
        <v>11891.367364358945</v>
      </c>
      <c r="AD25" s="173"/>
      <c r="AF25" s="172"/>
      <c r="AG25" s="171" t="s">
        <v>135</v>
      </c>
      <c r="AH25" s="187">
        <v>77515.019025741276</v>
      </c>
      <c r="AI25" s="187">
        <v>10.108368874331893</v>
      </c>
      <c r="AJ25" s="171">
        <f t="shared" ref="AJ25" si="35">(AH25-AH22)/(AI25-AI22)</f>
        <v>-14438.249485314685</v>
      </c>
      <c r="AK25" s="173"/>
    </row>
    <row r="26" spans="1:37" ht="15" thickBot="1" x14ac:dyDescent="0.35">
      <c r="A26" s="15"/>
      <c r="B26" s="163"/>
      <c r="C26" s="220"/>
      <c r="D26" s="220"/>
      <c r="E26" s="220"/>
      <c r="F26" s="220"/>
      <c r="G26" s="220"/>
      <c r="H26" s="165"/>
      <c r="K26" s="174"/>
      <c r="L26" s="175" t="s">
        <v>137</v>
      </c>
      <c r="M26" s="175">
        <v>77596.61</v>
      </c>
      <c r="N26" s="175">
        <v>11.268932593792252</v>
      </c>
      <c r="O26" s="175">
        <f t="shared" ref="O26" si="36">(M26-M22)/(N26-N22)</f>
        <v>-12616.597144081759</v>
      </c>
      <c r="P26" s="176"/>
      <c r="Q26" s="171"/>
      <c r="R26" s="174"/>
      <c r="S26" s="175" t="s">
        <v>137</v>
      </c>
      <c r="T26" s="175">
        <v>77308.358438938041</v>
      </c>
      <c r="U26" s="175">
        <v>10.051354744278337</v>
      </c>
      <c r="V26" s="175">
        <f t="shared" ref="V26" si="37">(T26-T22)/(U26-U22)</f>
        <v>-10326.456967066133</v>
      </c>
      <c r="W26" s="176"/>
      <c r="Y26" s="174"/>
      <c r="Z26" s="175" t="s">
        <v>137</v>
      </c>
      <c r="AA26" s="175">
        <v>78018.643197879603</v>
      </c>
      <c r="AB26" s="175">
        <v>10.086905244255766</v>
      </c>
      <c r="AC26" s="175">
        <f t="shared" ref="AC26" si="38">(AA26-AA22)/(AB26-AB22)</f>
        <v>10152.388653704949</v>
      </c>
      <c r="AD26" s="176"/>
      <c r="AF26" s="174"/>
      <c r="AG26" s="175" t="s">
        <v>137</v>
      </c>
      <c r="AH26" s="189">
        <v>77934.935018101634</v>
      </c>
      <c r="AI26" s="189">
        <v>10.086905244255766</v>
      </c>
      <c r="AJ26" s="175">
        <f t="shared" ref="AJ26" si="39">(AH26-AH22)/(AI26-AI22)</f>
        <v>-16036.175193868845</v>
      </c>
      <c r="AK26" s="176"/>
    </row>
    <row r="27" spans="1:37" x14ac:dyDescent="0.3">
      <c r="A27" s="15"/>
      <c r="B27" s="166" t="s">
        <v>388</v>
      </c>
      <c r="C27" s="216"/>
      <c r="D27" s="216"/>
      <c r="E27" s="216"/>
      <c r="F27" s="216"/>
      <c r="G27" s="220"/>
      <c r="H27" s="165"/>
      <c r="K27" s="224"/>
      <c r="L27" s="224"/>
      <c r="M27" s="224"/>
      <c r="N27" s="224"/>
      <c r="O27" s="224"/>
      <c r="P27" s="224"/>
      <c r="Q27" s="171"/>
      <c r="R27" s="224"/>
      <c r="S27" s="224"/>
      <c r="T27" s="224"/>
      <c r="U27" s="224"/>
      <c r="V27" s="224"/>
      <c r="W27" s="224"/>
      <c r="Y27" s="224"/>
      <c r="Z27" s="224"/>
      <c r="AA27" s="224"/>
      <c r="AB27" s="224"/>
      <c r="AC27" s="224"/>
      <c r="AD27" s="224"/>
      <c r="AF27" s="224"/>
      <c r="AG27" s="224"/>
      <c r="AH27" s="225"/>
      <c r="AI27" s="225"/>
      <c r="AJ27" s="224"/>
      <c r="AK27" s="224"/>
    </row>
    <row r="28" spans="1:37" x14ac:dyDescent="0.3">
      <c r="A28" s="15"/>
      <c r="B28" s="166" t="s">
        <v>389</v>
      </c>
      <c r="C28" s="216"/>
      <c r="D28" s="216"/>
      <c r="E28" s="216"/>
      <c r="F28" s="216"/>
      <c r="G28" s="220"/>
      <c r="H28" s="165"/>
      <c r="K28" s="224"/>
      <c r="L28" s="224"/>
      <c r="M28" s="224"/>
      <c r="N28" s="224"/>
      <c r="O28" s="224"/>
      <c r="P28" s="224"/>
      <c r="Q28" s="171"/>
      <c r="R28" s="224"/>
      <c r="S28" s="224"/>
      <c r="T28" s="224"/>
      <c r="U28" s="224"/>
      <c r="V28" s="224"/>
      <c r="W28" s="224"/>
      <c r="Y28" s="224"/>
      <c r="Z28" s="224"/>
      <c r="AA28" s="224"/>
      <c r="AB28" s="224"/>
      <c r="AC28" s="224"/>
      <c r="AD28" s="224"/>
      <c r="AF28" s="224"/>
      <c r="AG28" s="224"/>
      <c r="AH28" s="225"/>
      <c r="AI28" s="225"/>
      <c r="AJ28" s="224"/>
      <c r="AK28" s="224"/>
    </row>
    <row r="29" spans="1:37" x14ac:dyDescent="0.3">
      <c r="A29" s="15"/>
      <c r="B29" s="163"/>
      <c r="C29" s="220"/>
      <c r="D29" s="220"/>
      <c r="E29" s="220"/>
      <c r="F29" s="220"/>
      <c r="G29" s="220"/>
      <c r="H29" s="165"/>
      <c r="K29" s="171"/>
      <c r="L29" s="171"/>
      <c r="M29" s="171"/>
      <c r="N29" s="171"/>
      <c r="O29" s="171"/>
      <c r="P29" s="171"/>
      <c r="Q29" s="171"/>
    </row>
    <row r="30" spans="1:37" x14ac:dyDescent="0.3">
      <c r="A30" s="15"/>
      <c r="B30" s="160" t="s">
        <v>320</v>
      </c>
      <c r="C30" s="220"/>
      <c r="D30" s="220"/>
      <c r="E30" s="220"/>
      <c r="F30" s="220"/>
      <c r="G30" s="220"/>
      <c r="H30" s="165"/>
      <c r="K30" s="171"/>
      <c r="L30" s="171"/>
      <c r="M30" s="171"/>
      <c r="N30" s="171"/>
      <c r="O30" s="171"/>
      <c r="P30" s="171"/>
      <c r="Q30" s="171"/>
    </row>
    <row r="31" spans="1:37" ht="29" x14ac:dyDescent="0.5">
      <c r="A31" s="15"/>
      <c r="B31" s="161" t="s">
        <v>312</v>
      </c>
      <c r="C31" s="215" t="s">
        <v>315</v>
      </c>
      <c r="D31" s="215" t="s">
        <v>316</v>
      </c>
      <c r="E31" s="215" t="s">
        <v>325</v>
      </c>
      <c r="F31" s="215" t="s">
        <v>321</v>
      </c>
      <c r="G31" s="215" t="s">
        <v>323</v>
      </c>
      <c r="H31" s="165"/>
      <c r="J31" s="50" t="s">
        <v>381</v>
      </c>
      <c r="K31" s="171"/>
      <c r="L31" s="171"/>
      <c r="M31" s="171"/>
      <c r="N31" s="171"/>
      <c r="O31" s="171"/>
      <c r="P31" s="171"/>
      <c r="Q31" s="171"/>
    </row>
    <row r="32" spans="1:37" x14ac:dyDescent="0.3">
      <c r="B32" s="162" t="s">
        <v>127</v>
      </c>
      <c r="C32" s="214">
        <f ca="1">Cst_R2_Total</f>
        <v>76486.716311435855</v>
      </c>
      <c r="D32" s="213">
        <f ca="1">QALY_R2_Total</f>
        <v>10.155756221414322</v>
      </c>
      <c r="E32" s="218" t="s">
        <v>324</v>
      </c>
      <c r="F32" s="218" t="s">
        <v>324</v>
      </c>
      <c r="G32" s="218" t="s">
        <v>324</v>
      </c>
      <c r="H32" s="145"/>
      <c r="K32" t="s">
        <v>369</v>
      </c>
      <c r="L32" t="s">
        <v>370</v>
      </c>
      <c r="M32" t="s">
        <v>371</v>
      </c>
      <c r="N32" t="s">
        <v>372</v>
      </c>
      <c r="O32" t="s">
        <v>376</v>
      </c>
      <c r="P32" t="s">
        <v>377</v>
      </c>
      <c r="Q32" t="s">
        <v>378</v>
      </c>
      <c r="R32" t="s">
        <v>379</v>
      </c>
      <c r="S32" t="s">
        <v>380</v>
      </c>
    </row>
    <row r="33" spans="2:19" x14ac:dyDescent="0.3">
      <c r="B33" s="162" t="s">
        <v>126</v>
      </c>
      <c r="C33" s="214">
        <f ca="1">Cst_R1_Total</f>
        <v>77247.021867141855</v>
      </c>
      <c r="D33" s="213">
        <f ca="1">QALY_R1_Total</f>
        <v>10.182488275349186</v>
      </c>
      <c r="E33" s="227">
        <f ca="1">C33-C32</f>
        <v>760.30555570599972</v>
      </c>
      <c r="F33" s="221">
        <f ca="1">D33-D32</f>
        <v>2.6732053934864553E-2</v>
      </c>
      <c r="G33" s="222">
        <f ca="1">E33/F33</f>
        <v>28441.718603387671</v>
      </c>
      <c r="H33" s="145"/>
      <c r="K33" t="s">
        <v>373</v>
      </c>
      <c r="L33" s="13">
        <v>19328.169999999998</v>
      </c>
      <c r="M33" s="13">
        <v>25839</v>
      </c>
      <c r="N33" s="13">
        <v>59455.27</v>
      </c>
      <c r="O33">
        <f>MIN(ABS(M33-L33), ABS(M33-N33))</f>
        <v>6510.8300000000017</v>
      </c>
      <c r="P33">
        <f>MAX(ABS(N33-M33), ABS(L33-M33))</f>
        <v>33616.269999999997</v>
      </c>
      <c r="Q33">
        <f>M33-O33</f>
        <v>19328.169999999998</v>
      </c>
      <c r="R33">
        <v>6510.8300000000017</v>
      </c>
      <c r="S33">
        <v>33616.269999999997</v>
      </c>
    </row>
    <row r="34" spans="2:19" x14ac:dyDescent="0.3">
      <c r="B34" s="144"/>
      <c r="C34" s="216"/>
      <c r="D34" s="216"/>
      <c r="E34" s="216"/>
      <c r="F34" s="216"/>
      <c r="G34" s="216"/>
      <c r="H34" s="145"/>
      <c r="K34" t="s">
        <v>374</v>
      </c>
      <c r="L34">
        <v>20376.78</v>
      </c>
      <c r="M34">
        <v>25839</v>
      </c>
      <c r="N34">
        <v>28056.69</v>
      </c>
      <c r="O34">
        <f>MIN(ABS(M34-L34), ABS(M34-N34))</f>
        <v>2217.6899999999987</v>
      </c>
      <c r="P34">
        <f>MAX(ABS(N34-M34), ABS(L34-M34))</f>
        <v>5462.2200000000012</v>
      </c>
      <c r="Q34">
        <f t="shared" ref="Q34:Q36" si="40">M34-O34</f>
        <v>23621.31</v>
      </c>
      <c r="R34">
        <v>2217.6899999999987</v>
      </c>
      <c r="S34">
        <v>5462.2200000000012</v>
      </c>
    </row>
    <row r="35" spans="2:19" x14ac:dyDescent="0.3">
      <c r="B35" s="160" t="s">
        <v>326</v>
      </c>
      <c r="C35" s="216"/>
      <c r="D35" s="216"/>
      <c r="E35" s="216"/>
      <c r="F35" s="216"/>
      <c r="G35" s="216"/>
      <c r="H35" s="145"/>
      <c r="K35" t="s">
        <v>375</v>
      </c>
      <c r="L35">
        <v>28441.72</v>
      </c>
      <c r="M35">
        <v>25839</v>
      </c>
      <c r="N35">
        <v>23285.63</v>
      </c>
      <c r="O35">
        <f t="shared" ref="O35:O36" si="41">MIN(ABS(M35-L35), ABS(M35-N35))</f>
        <v>2553.369999999999</v>
      </c>
      <c r="P35">
        <f>MAX(ABS(N35-M35), ABS(L35-M35))</f>
        <v>2602.7200000000012</v>
      </c>
      <c r="Q35">
        <f t="shared" si="40"/>
        <v>23285.63</v>
      </c>
      <c r="R35">
        <v>2553.369999999999</v>
      </c>
      <c r="S35">
        <v>2602.7200000000012</v>
      </c>
    </row>
    <row r="36" spans="2:19" x14ac:dyDescent="0.3">
      <c r="B36" s="167" t="s">
        <v>327</v>
      </c>
      <c r="C36" s="223"/>
      <c r="D36" s="223"/>
      <c r="E36" s="216"/>
      <c r="F36" s="216"/>
      <c r="G36" s="216"/>
      <c r="H36" s="145"/>
      <c r="K36" t="s">
        <v>344</v>
      </c>
      <c r="L36">
        <v>29066.97</v>
      </c>
      <c r="M36">
        <v>25839</v>
      </c>
      <c r="N36">
        <v>23256.28</v>
      </c>
      <c r="O36">
        <f t="shared" si="41"/>
        <v>2582.7200000000012</v>
      </c>
      <c r="P36">
        <f t="shared" ref="P36" si="42">MAX(ABS(N36-M36), ABS(L36-M36))</f>
        <v>3227.9700000000012</v>
      </c>
      <c r="Q36">
        <f t="shared" si="40"/>
        <v>23256.28</v>
      </c>
      <c r="R36">
        <v>2582.7200000000012</v>
      </c>
      <c r="S36">
        <v>3227.9700000000012</v>
      </c>
    </row>
    <row r="37" spans="2:19" ht="15" thickBot="1" x14ac:dyDescent="0.35">
      <c r="B37" s="168" t="s">
        <v>392</v>
      </c>
      <c r="C37" s="169"/>
      <c r="D37" s="169"/>
      <c r="E37" s="28"/>
      <c r="F37" s="28"/>
      <c r="G37" s="28"/>
      <c r="H37" s="146"/>
    </row>
    <row r="40" spans="2:19" x14ac:dyDescent="0.3">
      <c r="M40" s="13"/>
    </row>
  </sheetData>
  <phoneticPr fontId="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D86B7-32B8-4254-AAD3-A63FFF048B9E}">
  <sheetPr codeName="Sheet1"/>
  <dimension ref="A1:AM1043"/>
  <sheetViews>
    <sheetView topLeftCell="M31" zoomScale="66" zoomScaleNormal="66" workbookViewId="0">
      <selection activeCell="X12" sqref="X12"/>
    </sheetView>
  </sheetViews>
  <sheetFormatPr defaultRowHeight="14.5" x14ac:dyDescent="0.3"/>
  <cols>
    <col min="2" max="2" width="12.296875" customWidth="1"/>
    <col min="3" max="3" width="16.3984375" customWidth="1"/>
    <col min="4" max="6" width="18.09765625" customWidth="1"/>
    <col min="7" max="7" width="18.09765625" bestFit="1" customWidth="1"/>
    <col min="8" max="8" width="16.8984375" customWidth="1"/>
    <col min="9" max="14" width="8.8984375" bestFit="1" customWidth="1"/>
    <col min="15" max="15" width="6.59765625" style="212" customWidth="1"/>
    <col min="16" max="16" width="8.8984375" bestFit="1" customWidth="1"/>
    <col min="17" max="17" width="11.69921875" customWidth="1"/>
    <col min="18" max="21" width="8.8984375" bestFit="1" customWidth="1"/>
    <col min="22" max="22" width="9.59765625" customWidth="1"/>
    <col min="23" max="26" width="8.8984375" bestFit="1" customWidth="1"/>
    <col min="27" max="27" width="8.09765625" customWidth="1"/>
    <col min="28" max="28" width="5.8984375" style="210" customWidth="1"/>
    <col min="29" max="29" width="15.8984375" bestFit="1" customWidth="1"/>
    <col min="30" max="30" width="17" customWidth="1"/>
    <col min="31" max="35" width="8.8984375" bestFit="1" customWidth="1"/>
    <col min="36" max="36" width="5.8984375" style="210" customWidth="1"/>
    <col min="37" max="37" width="34.69921875" bestFit="1" customWidth="1"/>
    <col min="38" max="38" width="14.3984375" bestFit="1" customWidth="1"/>
    <col min="39" max="39" width="12.3984375" bestFit="1" customWidth="1"/>
  </cols>
  <sheetData>
    <row r="1" spans="1:39" ht="23" x14ac:dyDescent="0.5">
      <c r="A1" s="51" t="s">
        <v>125</v>
      </c>
      <c r="P1" s="51" t="s">
        <v>174</v>
      </c>
      <c r="AC1" s="51" t="s">
        <v>175</v>
      </c>
      <c r="AK1" s="51" t="s">
        <v>176</v>
      </c>
    </row>
    <row r="2" spans="1:39" x14ac:dyDescent="0.3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P2" s="45"/>
      <c r="Q2" s="52" t="s">
        <v>163</v>
      </c>
      <c r="R2" s="11" t="s">
        <v>124</v>
      </c>
      <c r="S2" s="11" t="s">
        <v>111</v>
      </c>
      <c r="T2" s="11" t="s">
        <v>112</v>
      </c>
      <c r="U2" s="11" t="s">
        <v>113</v>
      </c>
      <c r="V2" s="11" t="s">
        <v>114</v>
      </c>
      <c r="W2" s="11" t="s">
        <v>115</v>
      </c>
      <c r="AC2" s="52" t="s">
        <v>163</v>
      </c>
      <c r="AD2" s="11"/>
      <c r="AE2" s="11"/>
      <c r="AF2" s="11"/>
      <c r="AG2" s="11"/>
      <c r="AH2" s="11"/>
      <c r="AI2" s="11"/>
      <c r="AK2" s="52" t="s">
        <v>163</v>
      </c>
      <c r="AM2" s="11"/>
    </row>
    <row r="3" spans="1:39" x14ac:dyDescent="0.3">
      <c r="B3" s="11" t="s">
        <v>153</v>
      </c>
      <c r="C3" s="63">
        <v>0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P3" s="11">
        <v>1</v>
      </c>
      <c r="Q3" s="11">
        <v>0</v>
      </c>
      <c r="R3" s="46">
        <v>2.1999999999999999E-2</v>
      </c>
      <c r="S3" s="46">
        <v>0.73</v>
      </c>
      <c r="T3" s="46">
        <v>0</v>
      </c>
      <c r="U3" s="46">
        <v>0.126</v>
      </c>
      <c r="V3" s="46">
        <v>6.4000000000000001E-2</v>
      </c>
      <c r="W3" s="46">
        <v>5.8000000000000003E-2</v>
      </c>
      <c r="AC3" s="36">
        <v>0</v>
      </c>
      <c r="AD3" s="36">
        <v>74.95</v>
      </c>
      <c r="AE3" s="2"/>
      <c r="AF3" s="2"/>
      <c r="AG3" s="2"/>
      <c r="AH3" s="2"/>
      <c r="AI3" s="2"/>
      <c r="AK3" s="29">
        <v>0</v>
      </c>
      <c r="AL3" s="29">
        <f>AD3*AL48</f>
        <v>3502472.8668548623</v>
      </c>
    </row>
    <row r="4" spans="1:39" x14ac:dyDescent="0.3">
      <c r="B4" s="11" t="s">
        <v>130</v>
      </c>
      <c r="C4" s="36">
        <v>30000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P4" s="11">
        <v>2</v>
      </c>
      <c r="Q4" s="11">
        <v>1000</v>
      </c>
      <c r="R4" s="46">
        <v>2.4E-2</v>
      </c>
      <c r="S4" s="46">
        <v>0.75800000000000001</v>
      </c>
      <c r="T4" s="46">
        <v>0</v>
      </c>
      <c r="U4" s="46">
        <v>0.11799999999999999</v>
      </c>
      <c r="V4" s="46">
        <v>4.5999999999999999E-2</v>
      </c>
      <c r="W4" s="46">
        <v>5.3999999999999999E-2</v>
      </c>
      <c r="AC4" s="36">
        <v>1000</v>
      </c>
      <c r="AD4" s="36">
        <v>63.73</v>
      </c>
      <c r="AE4" s="2"/>
      <c r="AF4" s="2"/>
      <c r="AG4" s="2"/>
      <c r="AH4" s="2"/>
      <c r="AI4" s="2"/>
      <c r="AK4" s="29">
        <v>1000</v>
      </c>
      <c r="AL4" s="29">
        <f>AD4*AL48</f>
        <v>2978153.3796485704</v>
      </c>
    </row>
    <row r="5" spans="1:39" x14ac:dyDescent="0.3">
      <c r="B5" s="11"/>
      <c r="C5" s="36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P5" s="11">
        <v>3</v>
      </c>
      <c r="Q5" s="11">
        <v>2000</v>
      </c>
      <c r="R5" s="46">
        <v>2.5999999999999999E-2</v>
      </c>
      <c r="S5" s="46">
        <v>0.78400000000000003</v>
      </c>
      <c r="T5" s="46">
        <v>0</v>
      </c>
      <c r="U5" s="46">
        <v>0.1</v>
      </c>
      <c r="V5" s="46">
        <v>4.3999999999999997E-2</v>
      </c>
      <c r="W5" s="46">
        <v>4.5999999999999999E-2</v>
      </c>
      <c r="AC5" s="36">
        <v>2000</v>
      </c>
      <c r="AD5" s="36">
        <v>54.72</v>
      </c>
      <c r="AE5" s="2"/>
      <c r="AF5" s="2"/>
      <c r="AG5" s="2"/>
      <c r="AH5" s="2"/>
      <c r="AI5" s="2"/>
      <c r="AK5" s="29">
        <v>2000</v>
      </c>
      <c r="AL5" s="29">
        <f>AD5*AL48</f>
        <v>2557108.9429526092</v>
      </c>
    </row>
    <row r="6" spans="1:39" x14ac:dyDescent="0.3">
      <c r="B6" s="11"/>
      <c r="C6" s="36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P6" s="11">
        <v>4</v>
      </c>
      <c r="Q6" s="11">
        <v>3000</v>
      </c>
      <c r="R6" s="46">
        <v>0.03</v>
      </c>
      <c r="S6" s="46">
        <v>0.79400000000000004</v>
      </c>
      <c r="T6" s="46">
        <v>0</v>
      </c>
      <c r="U6" s="46">
        <v>0.1</v>
      </c>
      <c r="V6" s="46">
        <v>4.3999999999999997E-2</v>
      </c>
      <c r="W6" s="46">
        <v>3.2000000000000001E-2</v>
      </c>
      <c r="AC6" s="36">
        <v>3000</v>
      </c>
      <c r="AD6" s="36">
        <v>47.04</v>
      </c>
      <c r="AE6" s="2"/>
      <c r="AF6" s="2"/>
      <c r="AG6" s="2"/>
      <c r="AH6" s="2"/>
      <c r="AI6" s="2"/>
      <c r="AK6" s="29">
        <v>3000</v>
      </c>
      <c r="AL6" s="29">
        <f>AD6*AL48</f>
        <v>2198216.4597311905</v>
      </c>
    </row>
    <row r="7" spans="1:39" x14ac:dyDescent="0.3"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P7" s="11">
        <v>5</v>
      </c>
      <c r="Q7" s="11">
        <v>4000</v>
      </c>
      <c r="R7" s="46">
        <v>0.04</v>
      </c>
      <c r="S7" s="46">
        <v>0.80400000000000005</v>
      </c>
      <c r="T7" s="46">
        <v>0</v>
      </c>
      <c r="U7" s="46">
        <v>9.1999999999999998E-2</v>
      </c>
      <c r="V7" s="46">
        <v>3.5999999999999997E-2</v>
      </c>
      <c r="W7" s="46">
        <v>2.8000000000000001E-2</v>
      </c>
      <c r="AC7" s="36">
        <v>4000</v>
      </c>
      <c r="AD7" s="36">
        <v>40.89</v>
      </c>
      <c r="AE7" s="2"/>
      <c r="AF7" s="2"/>
      <c r="AG7" s="2"/>
      <c r="AH7" s="2"/>
      <c r="AI7" s="2"/>
      <c r="AK7" s="29">
        <v>4000</v>
      </c>
      <c r="AL7" s="29">
        <f>AD7*AL48</f>
        <v>1910822.0884015386</v>
      </c>
    </row>
    <row r="8" spans="1:39" x14ac:dyDescent="0.3">
      <c r="B8" s="35"/>
      <c r="C8" s="211" t="s">
        <v>156</v>
      </c>
      <c r="D8" s="211"/>
      <c r="E8" s="211"/>
      <c r="F8" s="211"/>
      <c r="G8" s="211"/>
      <c r="H8" s="211"/>
      <c r="I8" s="211" t="s">
        <v>123</v>
      </c>
      <c r="J8" s="211"/>
      <c r="K8" s="211"/>
      <c r="L8" s="211"/>
      <c r="M8" s="211"/>
      <c r="N8" s="211"/>
      <c r="P8" s="11">
        <v>6</v>
      </c>
      <c r="Q8" s="11">
        <v>5000</v>
      </c>
      <c r="R8" s="46">
        <v>4.8000000000000001E-2</v>
      </c>
      <c r="S8" s="46">
        <v>0.82599999999999996</v>
      </c>
      <c r="T8" s="46">
        <v>0</v>
      </c>
      <c r="U8" s="46">
        <v>7.1999999999999995E-2</v>
      </c>
      <c r="V8" s="46">
        <v>3.2000000000000001E-2</v>
      </c>
      <c r="W8" s="46">
        <v>2.1999999999999999E-2</v>
      </c>
      <c r="AC8" s="36">
        <v>5000</v>
      </c>
      <c r="AD8" s="36">
        <v>36.04</v>
      </c>
      <c r="AE8" s="2"/>
      <c r="AF8" s="2"/>
      <c r="AG8" s="2"/>
      <c r="AH8" s="2"/>
      <c r="AI8" s="2"/>
      <c r="AK8" s="29">
        <v>5000</v>
      </c>
      <c r="AL8" s="29">
        <f>AD8*AL48</f>
        <v>1684177.7467838456</v>
      </c>
    </row>
    <row r="9" spans="1:39" x14ac:dyDescent="0.3">
      <c r="B9" s="35"/>
      <c r="C9" s="11" t="s">
        <v>124</v>
      </c>
      <c r="D9" s="11" t="s">
        <v>111</v>
      </c>
      <c r="E9" s="11" t="s">
        <v>112</v>
      </c>
      <c r="F9" s="11" t="s">
        <v>113</v>
      </c>
      <c r="G9" s="11" t="s">
        <v>114</v>
      </c>
      <c r="H9" s="11" t="s">
        <v>115</v>
      </c>
      <c r="I9" s="11" t="s">
        <v>124</v>
      </c>
      <c r="J9" s="11" t="s">
        <v>111</v>
      </c>
      <c r="K9" s="11" t="s">
        <v>112</v>
      </c>
      <c r="L9" s="11" t="s">
        <v>113</v>
      </c>
      <c r="M9" s="11" t="s">
        <v>114</v>
      </c>
      <c r="N9" s="11" t="s">
        <v>115</v>
      </c>
      <c r="P9" s="11">
        <v>7</v>
      </c>
      <c r="Q9" s="11">
        <v>6000</v>
      </c>
      <c r="R9" s="46">
        <v>5.3999999999999999E-2</v>
      </c>
      <c r="S9" s="46">
        <v>0.84199999999999997</v>
      </c>
      <c r="T9" s="46">
        <v>0</v>
      </c>
      <c r="U9" s="46">
        <v>6.4000000000000001E-2</v>
      </c>
      <c r="V9" s="46">
        <v>0.02</v>
      </c>
      <c r="W9" s="46">
        <v>0.02</v>
      </c>
      <c r="AC9" s="36">
        <v>6000</v>
      </c>
      <c r="AD9" s="36">
        <v>33</v>
      </c>
      <c r="AE9" s="2"/>
      <c r="AF9" s="2"/>
      <c r="AG9" s="2"/>
      <c r="AH9" s="2"/>
      <c r="AI9" s="2"/>
      <c r="AK9" s="29">
        <v>6000</v>
      </c>
      <c r="AL9" s="29">
        <f>AD9*AL48</f>
        <v>1542116.1388420342</v>
      </c>
    </row>
    <row r="10" spans="1:39" x14ac:dyDescent="0.3">
      <c r="B10" s="35" t="s">
        <v>157</v>
      </c>
      <c r="C10" s="36">
        <f ca="1">Cst_R1_Total</f>
        <v>77247.021867141855</v>
      </c>
      <c r="D10" s="36">
        <f ca="1">Cst_R2_Total</f>
        <v>76486.716311435855</v>
      </c>
      <c r="E10" s="36">
        <f ca="1">Cst_R3_Total</f>
        <v>76866.158693589023</v>
      </c>
      <c r="F10" s="36">
        <f ca="1">Cst_R4_Total</f>
        <v>76800.673516583702</v>
      </c>
      <c r="G10" s="36">
        <f ca="1">Cst_R5_Total</f>
        <v>77174.378659590715</v>
      </c>
      <c r="H10" s="36">
        <f ca="1">Cst_R6_Total</f>
        <v>77596.609324305449</v>
      </c>
      <c r="I10" s="11">
        <f ca="1">QALY_R1_Total</f>
        <v>10.182488275349186</v>
      </c>
      <c r="J10" s="11">
        <f ca="1">QALY_R2_Total</f>
        <v>10.155756221414322</v>
      </c>
      <c r="K10" s="11">
        <f ca="1">QALY_R3_Total</f>
        <v>10.136717602123875</v>
      </c>
      <c r="L10" s="11">
        <f ca="1">QALY_R4_Total</f>
        <v>10.1282158305509</v>
      </c>
      <c r="M10" s="11">
        <f ca="1">QALY_R5_Total</f>
        <v>10.108368874331893</v>
      </c>
      <c r="N10" s="11">
        <f ca="1">QALY_R6_Total</f>
        <v>10.086905244255766</v>
      </c>
      <c r="P10" s="11">
        <v>8</v>
      </c>
      <c r="Q10" s="11">
        <v>7000</v>
      </c>
      <c r="R10" s="46">
        <v>0.06</v>
      </c>
      <c r="S10" s="46">
        <v>0.85</v>
      </c>
      <c r="T10" s="46">
        <v>0</v>
      </c>
      <c r="U10" s="46">
        <v>5.3999999999999999E-2</v>
      </c>
      <c r="V10" s="46">
        <v>1.7999999999999999E-2</v>
      </c>
      <c r="W10" s="46">
        <v>1.7999999999999999E-2</v>
      </c>
      <c r="AC10" s="36">
        <v>7000</v>
      </c>
      <c r="AD10" s="36">
        <v>31.15</v>
      </c>
      <c r="AE10" s="2"/>
      <c r="AF10" s="2"/>
      <c r="AG10" s="2"/>
      <c r="AH10" s="2"/>
      <c r="AI10" s="2"/>
      <c r="AK10" s="29">
        <v>7000</v>
      </c>
      <c r="AL10" s="29">
        <f>AD10*AL48</f>
        <v>1455664.1734827079</v>
      </c>
    </row>
    <row r="11" spans="1:39" x14ac:dyDescent="0.3">
      <c r="B11" s="38" t="s">
        <v>150</v>
      </c>
      <c r="C11" s="36">
        <f>MIN(C44:C543)</f>
        <v>64083.907500000001</v>
      </c>
      <c r="D11" s="36">
        <f t="shared" ref="D11:N11" si="0">MIN(D44:D543)</f>
        <v>63952.890599999999</v>
      </c>
      <c r="E11" s="36">
        <f t="shared" si="0"/>
        <v>64239.802799999998</v>
      </c>
      <c r="F11" s="36">
        <f t="shared" si="0"/>
        <v>63972.105300000003</v>
      </c>
      <c r="G11" s="36">
        <f t="shared" si="0"/>
        <v>64236.776899999997</v>
      </c>
      <c r="H11" s="36">
        <f t="shared" si="0"/>
        <v>64376.171999999999</v>
      </c>
      <c r="I11" s="11">
        <f t="shared" si="0"/>
        <v>7.6624560635698353</v>
      </c>
      <c r="J11" s="11">
        <f t="shared" si="0"/>
        <v>7.6509344282155318</v>
      </c>
      <c r="K11" s="11">
        <f t="shared" si="0"/>
        <v>7.6351965630665202</v>
      </c>
      <c r="L11" s="11">
        <f t="shared" si="0"/>
        <v>7.6259787273326261</v>
      </c>
      <c r="M11" s="11">
        <f t="shared" si="0"/>
        <v>7.6144578686130631</v>
      </c>
      <c r="N11" s="11">
        <f t="shared" si="0"/>
        <v>7.594967144076497</v>
      </c>
      <c r="P11" s="11">
        <v>9</v>
      </c>
      <c r="Q11" s="11">
        <v>8000</v>
      </c>
      <c r="R11" s="46">
        <v>7.8E-2</v>
      </c>
      <c r="S11" s="46">
        <v>0.84799999999999998</v>
      </c>
      <c r="T11" s="46">
        <v>0</v>
      </c>
      <c r="U11" s="46">
        <v>4.2000000000000003E-2</v>
      </c>
      <c r="V11" s="46">
        <v>1.6E-2</v>
      </c>
      <c r="W11" s="46">
        <v>1.6E-2</v>
      </c>
      <c r="AC11" s="36">
        <v>8000</v>
      </c>
      <c r="AD11" s="36">
        <v>30.45</v>
      </c>
      <c r="AE11" s="2"/>
      <c r="AF11" s="2"/>
      <c r="AG11" s="2"/>
      <c r="AH11" s="2"/>
      <c r="AI11" s="2"/>
      <c r="AK11" s="29">
        <v>8000</v>
      </c>
      <c r="AL11" s="29">
        <f>AD11*AL48</f>
        <v>1422952.6190224222</v>
      </c>
    </row>
    <row r="12" spans="1:39" x14ac:dyDescent="0.3">
      <c r="B12" s="11" t="s">
        <v>151</v>
      </c>
      <c r="C12" s="36">
        <f>MAX(C44:C543)</f>
        <v>96779.044699999999</v>
      </c>
      <c r="D12" s="36">
        <f t="shared" ref="D12:N12" si="1">MAX(D44:D543)</f>
        <v>96096.532500000001</v>
      </c>
      <c r="E12" s="36">
        <f t="shared" si="1"/>
        <v>96639.139899999995</v>
      </c>
      <c r="F12" s="36">
        <f t="shared" si="1"/>
        <v>96680.810800000007</v>
      </c>
      <c r="G12" s="36">
        <f t="shared" si="1"/>
        <v>97105.578399999999</v>
      </c>
      <c r="H12" s="36">
        <f t="shared" si="1"/>
        <v>97529.309899999993</v>
      </c>
      <c r="I12" s="11">
        <f t="shared" si="1"/>
        <v>12.698952840405429</v>
      </c>
      <c r="J12" s="11">
        <f t="shared" si="1"/>
        <v>12.673539574348814</v>
      </c>
      <c r="K12" s="11">
        <f t="shared" si="1"/>
        <v>12.652226915088093</v>
      </c>
      <c r="L12" s="11">
        <f t="shared" si="1"/>
        <v>12.651000971192733</v>
      </c>
      <c r="M12" s="11">
        <f t="shared" si="1"/>
        <v>12.632250699081908</v>
      </c>
      <c r="N12" s="11">
        <f t="shared" si="1"/>
        <v>12.602997308762458</v>
      </c>
      <c r="P12" s="11">
        <v>10</v>
      </c>
      <c r="Q12" s="11">
        <v>9000</v>
      </c>
      <c r="R12" s="46">
        <v>0.09</v>
      </c>
      <c r="S12" s="46">
        <v>0.84599999999999997</v>
      </c>
      <c r="T12" s="46">
        <v>0</v>
      </c>
      <c r="U12" s="46">
        <v>3.5999999999999997E-2</v>
      </c>
      <c r="V12" s="46">
        <v>1.2E-2</v>
      </c>
      <c r="W12" s="46">
        <v>1.6E-2</v>
      </c>
      <c r="AC12" s="36">
        <v>9000</v>
      </c>
      <c r="AD12" s="36">
        <v>31</v>
      </c>
      <c r="AE12" s="2"/>
      <c r="AF12" s="2"/>
      <c r="AG12" s="2"/>
      <c r="AH12" s="2"/>
      <c r="AI12" s="2"/>
      <c r="AK12" s="29">
        <v>9000</v>
      </c>
      <c r="AL12" s="29">
        <f>AD12*AL48</f>
        <v>1448654.5546697895</v>
      </c>
    </row>
    <row r="13" spans="1:39" x14ac:dyDescent="0.3">
      <c r="B13" s="11" t="s">
        <v>152</v>
      </c>
      <c r="C13" s="36">
        <f>AVERAGE(C44:C543)</f>
        <v>77313.45932759995</v>
      </c>
      <c r="D13" s="36">
        <f t="shared" ref="D13:N13" si="2">AVERAGE(D44:D543)</f>
        <v>76521.585704600016</v>
      </c>
      <c r="E13" s="36">
        <f t="shared" si="2"/>
        <v>76887.86134880007</v>
      </c>
      <c r="F13" s="36">
        <f t="shared" si="2"/>
        <v>76797.887425599896</v>
      </c>
      <c r="G13" s="36">
        <f t="shared" si="2"/>
        <v>77151.927862600074</v>
      </c>
      <c r="H13" s="36">
        <f t="shared" si="2"/>
        <v>77540.442910600075</v>
      </c>
      <c r="I13" s="11">
        <f t="shared" si="2"/>
        <v>10.167163017537712</v>
      </c>
      <c r="J13" s="11">
        <f t="shared" si="2"/>
        <v>10.135904133150415</v>
      </c>
      <c r="K13" s="11">
        <f t="shared" si="2"/>
        <v>10.113879915820448</v>
      </c>
      <c r="L13" s="11">
        <f t="shared" si="2"/>
        <v>10.103618524869892</v>
      </c>
      <c r="M13" s="11">
        <f t="shared" si="2"/>
        <v>10.080362257372231</v>
      </c>
      <c r="N13" s="11">
        <f t="shared" si="2"/>
        <v>10.054926405899009</v>
      </c>
      <c r="P13" s="11">
        <v>11</v>
      </c>
      <c r="Q13" s="11">
        <v>1000</v>
      </c>
      <c r="R13" s="46">
        <v>0.10199999999999999</v>
      </c>
      <c r="S13" s="46">
        <v>0.84399999999999997</v>
      </c>
      <c r="T13" s="46">
        <v>0</v>
      </c>
      <c r="U13" s="46">
        <v>3.4000000000000002E-2</v>
      </c>
      <c r="V13" s="46">
        <v>8.0000000000000002E-3</v>
      </c>
      <c r="W13" s="46">
        <v>1.2E-2</v>
      </c>
      <c r="AC13" s="36">
        <v>10000</v>
      </c>
      <c r="AD13" s="36">
        <v>32.46</v>
      </c>
      <c r="AE13" s="2"/>
      <c r="AF13" s="2"/>
      <c r="AG13" s="2"/>
      <c r="AH13" s="2"/>
      <c r="AI13" s="2"/>
      <c r="AK13" s="29">
        <v>10000</v>
      </c>
      <c r="AL13" s="29">
        <f>AD13*AL48</f>
        <v>1516881.5111155282</v>
      </c>
    </row>
    <row r="14" spans="1:39" x14ac:dyDescent="0.3">
      <c r="B14" s="11"/>
      <c r="C14" s="36"/>
      <c r="D14" s="36"/>
      <c r="E14" s="36"/>
      <c r="F14" s="36"/>
      <c r="G14" s="36"/>
      <c r="H14" s="36"/>
      <c r="I14" s="11"/>
      <c r="J14" s="11"/>
      <c r="K14" s="11"/>
      <c r="L14" s="11"/>
      <c r="M14" s="11"/>
      <c r="N14" s="11"/>
      <c r="P14" s="11">
        <v>12</v>
      </c>
      <c r="Q14" s="11">
        <v>11000</v>
      </c>
      <c r="R14" s="46">
        <v>0.11600000000000001</v>
      </c>
      <c r="S14" s="46">
        <v>0.83799999999999997</v>
      </c>
      <c r="T14" s="46">
        <v>0</v>
      </c>
      <c r="U14" s="46">
        <v>0.03</v>
      </c>
      <c r="V14" s="46">
        <v>6.0000000000000001E-3</v>
      </c>
      <c r="W14" s="46">
        <v>0.01</v>
      </c>
      <c r="AC14" s="36">
        <v>11000</v>
      </c>
      <c r="AD14" s="36">
        <v>34.82</v>
      </c>
      <c r="AE14" s="2"/>
      <c r="AF14" s="2"/>
      <c r="AG14" s="2"/>
      <c r="AH14" s="2"/>
      <c r="AI14" s="2"/>
      <c r="AK14" s="29">
        <v>11000</v>
      </c>
      <c r="AL14" s="29">
        <f>AD14*AL48</f>
        <v>1627166.1804387765</v>
      </c>
    </row>
    <row r="15" spans="1:39" ht="15" thickBot="1" x14ac:dyDescent="0.35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P15" s="11">
        <v>13</v>
      </c>
      <c r="Q15" s="11">
        <v>12000</v>
      </c>
      <c r="R15" s="46">
        <v>0.13200000000000001</v>
      </c>
      <c r="S15" s="46">
        <v>0.83199999999999996</v>
      </c>
      <c r="T15" s="46">
        <v>0</v>
      </c>
      <c r="U15" s="46">
        <v>2.5999999999999999E-2</v>
      </c>
      <c r="V15" s="46">
        <v>4.0000000000000001E-3</v>
      </c>
      <c r="W15" s="46">
        <v>6.0000000000000001E-3</v>
      </c>
      <c r="AC15" s="36">
        <v>12000</v>
      </c>
      <c r="AD15" s="36">
        <v>38.53</v>
      </c>
      <c r="AE15" s="2"/>
      <c r="AF15" s="2"/>
      <c r="AG15" s="2"/>
      <c r="AH15" s="2"/>
      <c r="AI15" s="2"/>
      <c r="AK15" s="29">
        <v>12000</v>
      </c>
      <c r="AL15" s="29">
        <f>AD15*AL48</f>
        <v>1800537.4190782902</v>
      </c>
    </row>
    <row r="16" spans="1:39" x14ac:dyDescent="0.3">
      <c r="B16" s="98" t="s">
        <v>159</v>
      </c>
      <c r="C16" s="71"/>
      <c r="D16" s="71"/>
      <c r="E16" s="71"/>
      <c r="F16" s="71"/>
      <c r="G16" s="71"/>
      <c r="H16" s="70"/>
      <c r="I16" s="11"/>
      <c r="J16" s="11"/>
      <c r="K16" s="11"/>
      <c r="L16" s="11"/>
      <c r="M16" s="11"/>
      <c r="N16" s="11"/>
      <c r="P16" s="11">
        <v>14</v>
      </c>
      <c r="Q16" s="11">
        <v>13000</v>
      </c>
      <c r="R16" s="46">
        <v>0.156</v>
      </c>
      <c r="S16" s="46">
        <v>0.81</v>
      </c>
      <c r="T16" s="46">
        <v>0</v>
      </c>
      <c r="U16" s="46">
        <v>2.4E-2</v>
      </c>
      <c r="V16" s="46">
        <v>4.0000000000000001E-3</v>
      </c>
      <c r="W16" s="46">
        <v>6.0000000000000001E-3</v>
      </c>
      <c r="AC16" s="36">
        <v>13000</v>
      </c>
      <c r="AD16" s="36">
        <v>42.91</v>
      </c>
      <c r="AE16" s="2"/>
      <c r="AF16" s="2"/>
      <c r="AG16" s="2"/>
      <c r="AH16" s="2"/>
      <c r="AI16" s="2"/>
      <c r="AK16" s="29">
        <v>13000</v>
      </c>
      <c r="AL16" s="29">
        <f>AD16*AL48</f>
        <v>2005218.2884155053</v>
      </c>
    </row>
    <row r="17" spans="2:38" x14ac:dyDescent="0.3">
      <c r="B17" s="40" t="s">
        <v>158</v>
      </c>
      <c r="C17" s="36">
        <f ca="1">Cst_R1_Total</f>
        <v>77247.021867141855</v>
      </c>
      <c r="D17" s="36">
        <f ca="1">Cst_R2_Total</f>
        <v>76486.716311435855</v>
      </c>
      <c r="E17" s="36">
        <f ca="1">Cst_R3_Total</f>
        <v>76866.158693589023</v>
      </c>
      <c r="F17" s="36">
        <f ca="1">Cst_R4_Total</f>
        <v>76800.673516583702</v>
      </c>
      <c r="G17" s="36">
        <f ca="1">Cst_R5_Total</f>
        <v>77174.378659590715</v>
      </c>
      <c r="H17" s="42">
        <f ca="1">Cst_R6_Total</f>
        <v>77596.609324305449</v>
      </c>
      <c r="I17" s="11"/>
      <c r="J17" s="11"/>
      <c r="K17" s="11"/>
      <c r="L17" s="11"/>
      <c r="M17" s="11"/>
      <c r="N17" s="11"/>
      <c r="P17" s="11">
        <v>15</v>
      </c>
      <c r="Q17" s="11">
        <v>14000</v>
      </c>
      <c r="R17" s="46">
        <v>0.186</v>
      </c>
      <c r="S17" s="46">
        <v>0.78200000000000003</v>
      </c>
      <c r="T17" s="46">
        <v>0</v>
      </c>
      <c r="U17" s="46">
        <v>2.1999999999999999E-2</v>
      </c>
      <c r="V17" s="46">
        <v>4.0000000000000001E-3</v>
      </c>
      <c r="W17" s="46">
        <v>6.0000000000000001E-3</v>
      </c>
      <c r="AC17" s="36">
        <v>14000</v>
      </c>
      <c r="AD17" s="36">
        <v>48.24</v>
      </c>
      <c r="AE17" s="2"/>
      <c r="AF17" s="2"/>
      <c r="AG17" s="2"/>
      <c r="AH17" s="2"/>
      <c r="AI17" s="2"/>
      <c r="AK17" s="29">
        <v>14000</v>
      </c>
      <c r="AL17" s="29">
        <f>AD17*AL48</f>
        <v>2254293.410234537</v>
      </c>
    </row>
    <row r="18" spans="2:38" ht="15" thickBot="1" x14ac:dyDescent="0.35">
      <c r="B18" s="43" t="s">
        <v>149</v>
      </c>
      <c r="C18" s="72">
        <f ca="1">QALY_R1_Total</f>
        <v>10.182488275349186</v>
      </c>
      <c r="D18" s="72">
        <f ca="1">QALY_R2_Total</f>
        <v>10.155756221414322</v>
      </c>
      <c r="E18" s="72">
        <f ca="1">QALY_R3_Total</f>
        <v>10.136717602123875</v>
      </c>
      <c r="F18" s="72">
        <f ca="1">QALY_R4_Total</f>
        <v>10.1282158305509</v>
      </c>
      <c r="G18" s="72">
        <f ca="1">QALY_R5_Total</f>
        <v>10.108368874331893</v>
      </c>
      <c r="H18" s="44">
        <f ca="1">QALY_R6_Total</f>
        <v>10.086905244255766</v>
      </c>
      <c r="I18" s="11"/>
      <c r="J18" s="11"/>
      <c r="K18" s="11"/>
      <c r="L18" s="11"/>
      <c r="M18" s="11"/>
      <c r="N18" s="11"/>
      <c r="P18" s="11">
        <v>16</v>
      </c>
      <c r="Q18" s="11">
        <v>15000</v>
      </c>
      <c r="R18" s="46">
        <v>0.20200000000000001</v>
      </c>
      <c r="S18" s="46">
        <v>0.76800000000000002</v>
      </c>
      <c r="T18" s="46">
        <v>0</v>
      </c>
      <c r="U18" s="46">
        <v>0.02</v>
      </c>
      <c r="V18" s="46">
        <v>4.0000000000000001E-3</v>
      </c>
      <c r="W18" s="46">
        <v>6.0000000000000001E-3</v>
      </c>
      <c r="AC18" s="36">
        <v>15000</v>
      </c>
      <c r="AD18" s="36">
        <v>54.64</v>
      </c>
      <c r="AE18" s="2"/>
      <c r="AF18" s="2"/>
      <c r="AG18" s="2"/>
      <c r="AH18" s="2"/>
      <c r="AI18" s="2"/>
      <c r="AK18" s="29">
        <v>15000</v>
      </c>
      <c r="AL18" s="29">
        <f>AD18*AL48</f>
        <v>2553370.4795857193</v>
      </c>
    </row>
    <row r="19" spans="2:38" x14ac:dyDescent="0.3">
      <c r="B19" s="11"/>
      <c r="C19" s="36"/>
      <c r="D19" s="36"/>
      <c r="E19" s="36"/>
      <c r="F19" s="36"/>
      <c r="G19" s="36"/>
      <c r="H19" s="36"/>
      <c r="I19" s="11"/>
      <c r="J19" s="11"/>
      <c r="K19" s="11"/>
      <c r="L19" s="11"/>
      <c r="M19" s="11"/>
      <c r="N19" s="11"/>
      <c r="P19" s="11">
        <v>17</v>
      </c>
      <c r="Q19" s="11">
        <v>16000</v>
      </c>
      <c r="R19" s="46">
        <v>0.22800000000000001</v>
      </c>
      <c r="S19" s="46">
        <v>0.74399999999999999</v>
      </c>
      <c r="T19" s="46">
        <v>0</v>
      </c>
      <c r="U19" s="46">
        <v>1.7999999999999999E-2</v>
      </c>
      <c r="V19" s="46">
        <v>4.0000000000000001E-3</v>
      </c>
      <c r="W19" s="46">
        <v>6.0000000000000001E-3</v>
      </c>
      <c r="AC19" s="36">
        <v>16000</v>
      </c>
      <c r="AD19" s="36">
        <v>61.94</v>
      </c>
      <c r="AE19" s="2"/>
      <c r="AF19" s="2"/>
      <c r="AG19" s="2"/>
      <c r="AH19" s="2"/>
      <c r="AI19" s="2"/>
      <c r="AK19" s="29">
        <v>16000</v>
      </c>
      <c r="AL19" s="29">
        <f>AD19*AL48</f>
        <v>2894505.2618144117</v>
      </c>
    </row>
    <row r="20" spans="2:38" x14ac:dyDescent="0.3">
      <c r="B20" s="11"/>
      <c r="C20" s="159"/>
      <c r="D20" s="36"/>
      <c r="E20" s="36"/>
      <c r="F20" s="36"/>
      <c r="G20" s="36"/>
      <c r="H20" s="11"/>
      <c r="I20" s="11"/>
      <c r="J20" s="11"/>
      <c r="K20" s="11"/>
      <c r="L20" s="11"/>
      <c r="M20" s="11"/>
      <c r="N20" s="11"/>
      <c r="P20" s="11">
        <v>18</v>
      </c>
      <c r="Q20" s="11">
        <v>17000</v>
      </c>
      <c r="R20" s="46">
        <v>0.254</v>
      </c>
      <c r="S20" s="46">
        <v>0.72</v>
      </c>
      <c r="T20" s="46">
        <v>0</v>
      </c>
      <c r="U20" s="46">
        <v>1.7999999999999999E-2</v>
      </c>
      <c r="V20" s="46">
        <v>4.0000000000000001E-3</v>
      </c>
      <c r="W20" s="46">
        <v>4.0000000000000001E-3</v>
      </c>
      <c r="AC20" s="36">
        <v>17000</v>
      </c>
      <c r="AD20" s="36">
        <v>70.06</v>
      </c>
      <c r="AE20" s="2"/>
      <c r="AF20" s="2"/>
      <c r="AG20" s="2"/>
      <c r="AH20" s="2"/>
      <c r="AI20" s="2"/>
      <c r="AK20" s="29">
        <v>17000</v>
      </c>
      <c r="AL20" s="29">
        <f>AD20*AL48</f>
        <v>3273959.2935537244</v>
      </c>
    </row>
    <row r="21" spans="2:38" ht="15" thickBot="1" x14ac:dyDescent="0.3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P21" s="11">
        <v>19</v>
      </c>
      <c r="Q21" s="11">
        <v>18000</v>
      </c>
      <c r="R21" s="46">
        <v>0.27400000000000002</v>
      </c>
      <c r="S21" s="46">
        <v>0.70199999999999996</v>
      </c>
      <c r="T21" s="46">
        <v>0</v>
      </c>
      <c r="U21" s="46">
        <v>1.6E-2</v>
      </c>
      <c r="V21" s="46">
        <v>6.0000000000000001E-3</v>
      </c>
      <c r="W21" s="46">
        <v>2E-3</v>
      </c>
      <c r="AC21" s="36">
        <v>18000</v>
      </c>
      <c r="AD21" s="36">
        <v>79.5</v>
      </c>
      <c r="AE21" s="2"/>
      <c r="AF21" s="2"/>
      <c r="AG21" s="2"/>
      <c r="AH21" s="2"/>
      <c r="AI21" s="2"/>
      <c r="AK21" s="29">
        <v>18000</v>
      </c>
      <c r="AL21" s="29">
        <f>AD21*AL48</f>
        <v>3715097.9708467186</v>
      </c>
    </row>
    <row r="22" spans="2:38" x14ac:dyDescent="0.3">
      <c r="B22" s="98" t="s">
        <v>160</v>
      </c>
      <c r="C22" s="71"/>
      <c r="D22" s="71"/>
      <c r="E22" s="71"/>
      <c r="F22" s="71"/>
      <c r="G22" s="71"/>
      <c r="H22" s="70"/>
      <c r="I22" s="11"/>
      <c r="J22" s="11"/>
      <c r="K22" s="11"/>
      <c r="L22" s="11"/>
      <c r="M22" s="11"/>
      <c r="N22" s="11"/>
      <c r="P22" s="11">
        <v>20</v>
      </c>
      <c r="Q22" s="11">
        <v>19000</v>
      </c>
      <c r="R22" s="46">
        <v>0.312</v>
      </c>
      <c r="S22" s="46">
        <v>0.66800000000000004</v>
      </c>
      <c r="T22" s="46">
        <v>0</v>
      </c>
      <c r="U22" s="46">
        <v>1.4E-2</v>
      </c>
      <c r="V22" s="46">
        <v>6.0000000000000001E-3</v>
      </c>
      <c r="W22" s="46">
        <v>0</v>
      </c>
      <c r="AC22" s="36">
        <v>19000</v>
      </c>
      <c r="AD22" s="36">
        <v>90.31</v>
      </c>
      <c r="AE22" s="2"/>
      <c r="AF22" s="2"/>
      <c r="AG22" s="2"/>
      <c r="AH22" s="2"/>
      <c r="AI22" s="2"/>
      <c r="AK22" s="29">
        <v>19000</v>
      </c>
      <c r="AL22" s="29">
        <f>AD22*AL48</f>
        <v>4220257.8332976997</v>
      </c>
    </row>
    <row r="23" spans="2:38" x14ac:dyDescent="0.3">
      <c r="B23" s="40" t="s">
        <v>158</v>
      </c>
      <c r="C23" s="36">
        <f t="shared" ref="C23:H23" si="3">C13</f>
        <v>77313.45932759995</v>
      </c>
      <c r="D23" s="36">
        <f t="shared" si="3"/>
        <v>76521.585704600016</v>
      </c>
      <c r="E23" s="36">
        <f t="shared" si="3"/>
        <v>76887.86134880007</v>
      </c>
      <c r="F23" s="36">
        <f t="shared" si="3"/>
        <v>76797.887425599896</v>
      </c>
      <c r="G23" s="36">
        <f t="shared" si="3"/>
        <v>77151.927862600074</v>
      </c>
      <c r="H23" s="42">
        <f t="shared" si="3"/>
        <v>77540.442910600075</v>
      </c>
      <c r="I23" s="11"/>
      <c r="J23" s="11"/>
      <c r="K23" s="11"/>
      <c r="L23" s="11"/>
      <c r="M23" s="11"/>
      <c r="N23" s="11"/>
      <c r="P23" s="11">
        <v>21</v>
      </c>
      <c r="Q23" s="11">
        <v>20000</v>
      </c>
      <c r="R23" s="46">
        <v>0.32800000000000001</v>
      </c>
      <c r="S23" s="46">
        <v>0.65400000000000003</v>
      </c>
      <c r="T23" s="46">
        <v>0</v>
      </c>
      <c r="U23" s="46">
        <v>1.4E-2</v>
      </c>
      <c r="V23" s="46">
        <v>4.0000000000000001E-3</v>
      </c>
      <c r="W23" s="46">
        <v>0</v>
      </c>
      <c r="AC23" s="36">
        <v>20000</v>
      </c>
      <c r="AD23" s="36">
        <v>102.17</v>
      </c>
      <c r="AE23" s="2"/>
      <c r="AF23" s="2"/>
      <c r="AG23" s="2"/>
      <c r="AH23" s="2"/>
      <c r="AI23" s="2"/>
      <c r="AK23" s="36">
        <v>20000</v>
      </c>
      <c r="AL23" s="29">
        <f>AD23*AL48</f>
        <v>4774485.02743911</v>
      </c>
    </row>
    <row r="24" spans="2:38" ht="15" thickBot="1" x14ac:dyDescent="0.35">
      <c r="B24" s="43" t="s">
        <v>149</v>
      </c>
      <c r="C24" s="72">
        <f>I13</f>
        <v>10.167163017537712</v>
      </c>
      <c r="D24" s="72">
        <f>J13</f>
        <v>10.135904133150415</v>
      </c>
      <c r="E24" s="72">
        <f>K13</f>
        <v>10.113879915820448</v>
      </c>
      <c r="F24" s="72">
        <f>L13</f>
        <v>10.103618524869892</v>
      </c>
      <c r="G24" s="72">
        <f>M13</f>
        <v>10.080362257372231</v>
      </c>
      <c r="H24" s="44">
        <f>N13</f>
        <v>10.054926405899009</v>
      </c>
      <c r="I24" s="11"/>
      <c r="J24" s="11"/>
      <c r="K24" s="11"/>
      <c r="L24" s="11"/>
      <c r="M24" s="11"/>
      <c r="N24" s="11"/>
      <c r="P24" s="11">
        <v>22</v>
      </c>
      <c r="Q24" s="11">
        <v>21000</v>
      </c>
      <c r="R24" s="46">
        <v>0.35</v>
      </c>
      <c r="S24" s="46">
        <v>0.63400000000000001</v>
      </c>
      <c r="T24" s="46">
        <v>0</v>
      </c>
      <c r="U24" s="46">
        <v>1.4E-2</v>
      </c>
      <c r="V24" s="46">
        <v>2E-3</v>
      </c>
      <c r="W24" s="46">
        <v>0</v>
      </c>
      <c r="AC24" s="36">
        <v>21000</v>
      </c>
      <c r="AD24" s="36">
        <v>114.67</v>
      </c>
      <c r="AE24" s="2"/>
      <c r="AF24" s="2"/>
      <c r="AG24" s="2"/>
      <c r="AH24" s="2"/>
      <c r="AI24" s="2"/>
      <c r="AK24" s="36">
        <v>21000</v>
      </c>
      <c r="AL24" s="29">
        <f>AD24*AL48</f>
        <v>5358619.9285156382</v>
      </c>
    </row>
    <row r="25" spans="2:38" x14ac:dyDescent="0.3">
      <c r="B25" s="11"/>
      <c r="C25" s="36"/>
      <c r="D25" s="36"/>
      <c r="E25" s="36"/>
      <c r="F25" s="36"/>
      <c r="G25" s="36"/>
      <c r="H25" s="36"/>
      <c r="I25" s="11"/>
      <c r="J25" s="11"/>
      <c r="K25" s="11"/>
      <c r="L25" s="11"/>
      <c r="M25" s="11"/>
      <c r="N25" s="11"/>
      <c r="P25" s="11">
        <v>23</v>
      </c>
      <c r="Q25" s="11">
        <v>22000</v>
      </c>
      <c r="R25" s="46">
        <v>0.374</v>
      </c>
      <c r="S25" s="46">
        <v>0.61399999999999999</v>
      </c>
      <c r="T25" s="46">
        <v>0</v>
      </c>
      <c r="U25" s="46">
        <v>0.01</v>
      </c>
      <c r="V25" s="46">
        <v>2E-3</v>
      </c>
      <c r="W25" s="46">
        <v>0</v>
      </c>
      <c r="AC25" s="36">
        <v>22000</v>
      </c>
      <c r="AD25" s="36">
        <v>128.24</v>
      </c>
      <c r="AE25" s="2"/>
      <c r="AF25" s="2"/>
      <c r="AG25" s="2"/>
      <c r="AH25" s="2"/>
      <c r="AI25" s="2"/>
      <c r="AK25" s="36">
        <v>22000</v>
      </c>
      <c r="AL25" s="29">
        <f>AD25*AL48</f>
        <v>5992756.7771243174</v>
      </c>
    </row>
    <row r="26" spans="2:38" x14ac:dyDescent="0.3">
      <c r="B26" s="11"/>
      <c r="C26" s="36"/>
      <c r="D26" s="36"/>
      <c r="E26" s="36"/>
      <c r="F26" s="36"/>
      <c r="G26" s="36"/>
      <c r="H26" s="11"/>
      <c r="I26" s="11"/>
      <c r="J26" s="11"/>
      <c r="K26" s="11"/>
      <c r="L26" s="11"/>
      <c r="M26" s="11"/>
      <c r="N26" s="11"/>
      <c r="P26" s="11">
        <v>24</v>
      </c>
      <c r="Q26" s="11">
        <v>23000</v>
      </c>
      <c r="R26" s="46">
        <v>0.39200000000000002</v>
      </c>
      <c r="S26" s="46">
        <v>0.59799999999999998</v>
      </c>
      <c r="T26" s="46">
        <v>0</v>
      </c>
      <c r="U26" s="46">
        <v>8.0000000000000002E-3</v>
      </c>
      <c r="V26" s="46">
        <v>2E-3</v>
      </c>
      <c r="W26" s="46">
        <v>0</v>
      </c>
      <c r="AC26" s="36">
        <v>23000</v>
      </c>
      <c r="AD26" s="36">
        <v>142.79</v>
      </c>
      <c r="AE26" s="2"/>
      <c r="AF26" s="2"/>
      <c r="AG26" s="2"/>
      <c r="AH26" s="2"/>
      <c r="AI26" s="2"/>
      <c r="AK26" s="36">
        <v>23000</v>
      </c>
      <c r="AL26" s="29">
        <f>AD26*AL48</f>
        <v>6672689.8019773951</v>
      </c>
    </row>
    <row r="27" spans="2:38" x14ac:dyDescent="0.3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P27" s="11">
        <v>25</v>
      </c>
      <c r="Q27" s="11">
        <v>24000</v>
      </c>
      <c r="R27" s="46">
        <v>0.40799999999999997</v>
      </c>
      <c r="S27" s="46">
        <v>0.58199999999999996</v>
      </c>
      <c r="T27" s="46">
        <v>0</v>
      </c>
      <c r="U27" s="46">
        <v>8.0000000000000002E-3</v>
      </c>
      <c r="V27" s="46">
        <v>2E-3</v>
      </c>
      <c r="W27" s="46">
        <v>0</v>
      </c>
      <c r="AC27" s="36">
        <v>24000</v>
      </c>
      <c r="AD27" s="36">
        <v>157.96</v>
      </c>
      <c r="AE27" s="2"/>
      <c r="AF27" s="2"/>
      <c r="AG27" s="2"/>
      <c r="AH27" s="2"/>
      <c r="AI27" s="2"/>
      <c r="AK27" s="36">
        <v>24000</v>
      </c>
      <c r="AL27" s="29">
        <f>AD27*AL48</f>
        <v>7381595.9179238705</v>
      </c>
    </row>
    <row r="28" spans="2:38" x14ac:dyDescent="0.3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P28" s="11">
        <v>26</v>
      </c>
      <c r="Q28" s="11">
        <v>25000</v>
      </c>
      <c r="R28" s="46">
        <v>0.434</v>
      </c>
      <c r="S28" s="46">
        <v>0.55600000000000005</v>
      </c>
      <c r="T28" s="46">
        <v>0</v>
      </c>
      <c r="U28" s="46">
        <v>0.01</v>
      </c>
      <c r="V28" s="46">
        <v>0</v>
      </c>
      <c r="W28" s="46">
        <v>0</v>
      </c>
      <c r="AC28" s="36">
        <v>25000</v>
      </c>
      <c r="AD28" s="36">
        <v>173.88</v>
      </c>
      <c r="AE28" s="2"/>
      <c r="AF28" s="2"/>
      <c r="AG28" s="2"/>
      <c r="AH28" s="2"/>
      <c r="AI28" s="2"/>
      <c r="AK28" s="36">
        <v>25000</v>
      </c>
      <c r="AL28" s="29">
        <f>AD28*AL48</f>
        <v>8125550.1279349355</v>
      </c>
    </row>
    <row r="29" spans="2:38" x14ac:dyDescent="0.3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P29" s="11">
        <v>27</v>
      </c>
      <c r="Q29" s="11">
        <v>26000</v>
      </c>
      <c r="R29" s="46">
        <v>0.46400000000000002</v>
      </c>
      <c r="S29" s="46">
        <v>0.52600000000000002</v>
      </c>
      <c r="T29" s="46">
        <v>0</v>
      </c>
      <c r="U29" s="46">
        <v>0.01</v>
      </c>
      <c r="V29" s="46">
        <v>0</v>
      </c>
      <c r="W29" s="46">
        <v>0</v>
      </c>
      <c r="AC29" s="36">
        <v>26000</v>
      </c>
      <c r="AD29" s="36">
        <v>190.55</v>
      </c>
      <c r="AE29" s="2"/>
      <c r="AF29" s="2"/>
      <c r="AG29" s="2"/>
      <c r="AH29" s="2"/>
      <c r="AI29" s="2"/>
      <c r="AK29" s="36">
        <v>26000</v>
      </c>
      <c r="AL29" s="29">
        <f>AD29*AL48</f>
        <v>8904552.4320105948</v>
      </c>
    </row>
    <row r="30" spans="2:38" x14ac:dyDescent="0.3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P30" s="11">
        <v>28</v>
      </c>
      <c r="Q30" s="11">
        <v>27000</v>
      </c>
      <c r="R30" s="46">
        <v>0.49199999999999999</v>
      </c>
      <c r="S30" s="46">
        <v>0.498</v>
      </c>
      <c r="T30" s="46">
        <v>0</v>
      </c>
      <c r="U30" s="46">
        <v>0.01</v>
      </c>
      <c r="V30" s="46">
        <v>0</v>
      </c>
      <c r="W30" s="46">
        <v>0</v>
      </c>
      <c r="AC30" s="36">
        <v>27000</v>
      </c>
      <c r="AD30" s="36">
        <v>182.04</v>
      </c>
      <c r="AE30" s="2"/>
      <c r="AF30" s="2"/>
      <c r="AG30" s="2"/>
      <c r="AH30" s="2"/>
      <c r="AI30" s="2"/>
      <c r="AK30" s="36">
        <v>27000</v>
      </c>
      <c r="AL30" s="29">
        <f>AD30*AL48</f>
        <v>8506873.3913576938</v>
      </c>
    </row>
    <row r="31" spans="2:38" ht="12.65" customHeight="1" x14ac:dyDescent="0.3"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P31" s="11">
        <v>29</v>
      </c>
      <c r="Q31" s="11">
        <v>28000</v>
      </c>
      <c r="R31" s="46">
        <v>0.52</v>
      </c>
      <c r="S31" s="46">
        <v>0.47399999999999998</v>
      </c>
      <c r="T31" s="46">
        <v>0</v>
      </c>
      <c r="U31" s="46">
        <v>6.0000000000000001E-3</v>
      </c>
      <c r="V31" s="46">
        <v>0</v>
      </c>
      <c r="W31" s="46">
        <v>0</v>
      </c>
      <c r="AC31" s="36">
        <v>28000</v>
      </c>
      <c r="AD31" s="36">
        <v>170.75</v>
      </c>
      <c r="AE31" s="2"/>
      <c r="AF31" s="2"/>
      <c r="AG31" s="2"/>
      <c r="AH31" s="2"/>
      <c r="AI31" s="2"/>
      <c r="AK31" s="36">
        <v>28000</v>
      </c>
      <c r="AL31" s="29">
        <f>AD31*AL48</f>
        <v>7979282.7487053731</v>
      </c>
    </row>
    <row r="32" spans="2:38" x14ac:dyDescent="0.3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P32" s="11">
        <v>30</v>
      </c>
      <c r="Q32" s="11">
        <v>29000</v>
      </c>
      <c r="R32" s="46">
        <v>0.54400000000000004</v>
      </c>
      <c r="S32" s="46">
        <v>0.45</v>
      </c>
      <c r="T32" s="46">
        <v>0</v>
      </c>
      <c r="U32" s="46">
        <v>6.0000000000000001E-3</v>
      </c>
      <c r="V32" s="46">
        <v>0</v>
      </c>
      <c r="W32" s="46">
        <v>0</v>
      </c>
      <c r="AC32" s="36">
        <v>29000</v>
      </c>
      <c r="AD32" s="36">
        <v>160.4</v>
      </c>
      <c r="AE32" s="2"/>
      <c r="AF32" s="2"/>
      <c r="AG32" s="2"/>
      <c r="AH32" s="2"/>
      <c r="AI32" s="2"/>
      <c r="AK32" s="36">
        <v>29000</v>
      </c>
      <c r="AL32" s="29">
        <f>AD32*AL48</f>
        <v>7495619.0506140087</v>
      </c>
    </row>
    <row r="33" spans="1:39" x14ac:dyDescent="0.3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P33" s="11">
        <v>31</v>
      </c>
      <c r="Q33" s="11">
        <v>30000</v>
      </c>
      <c r="R33" s="46">
        <v>0.56599999999999995</v>
      </c>
      <c r="S33" s="46">
        <v>0.42799999999999999</v>
      </c>
      <c r="T33" s="46">
        <v>0</v>
      </c>
      <c r="U33" s="46">
        <v>6.0000000000000001E-3</v>
      </c>
      <c r="V33" s="46">
        <v>0</v>
      </c>
      <c r="W33" s="46">
        <v>0</v>
      </c>
      <c r="AC33" s="36">
        <v>30000</v>
      </c>
      <c r="AD33" s="36">
        <v>150.77000000000001</v>
      </c>
      <c r="AE33" s="2"/>
      <c r="AF33" s="2"/>
      <c r="AG33" s="2"/>
      <c r="AH33" s="2"/>
      <c r="AI33" s="2"/>
      <c r="AK33" s="36">
        <v>30000</v>
      </c>
      <c r="AL33" s="29">
        <f>AD33*AL48</f>
        <v>7045601.5228246516</v>
      </c>
    </row>
    <row r="34" spans="1:39" ht="15" thickBot="1" x14ac:dyDescent="0.35"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P34" s="11"/>
      <c r="Q34" s="11"/>
      <c r="R34" s="11"/>
    </row>
    <row r="35" spans="1:39" x14ac:dyDescent="0.3"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P35" s="11"/>
      <c r="Q35" s="11"/>
      <c r="R35" s="11"/>
      <c r="AC35" t="s">
        <v>162</v>
      </c>
      <c r="AD35" s="47" t="s">
        <v>171</v>
      </c>
      <c r="AK35" s="18" t="s">
        <v>181</v>
      </c>
      <c r="AL35" s="6"/>
      <c r="AM35" s="6"/>
    </row>
    <row r="36" spans="1:39" ht="13.5" customHeight="1" thickBot="1" x14ac:dyDescent="0.35"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P36" s="11" t="s">
        <v>162</v>
      </c>
      <c r="Q36">
        <v>30000</v>
      </c>
      <c r="R36" s="11"/>
      <c r="AC36">
        <v>0</v>
      </c>
      <c r="AD36" s="48">
        <f>AI42-MAX(AC42:AH42)</f>
        <v>216.28872204077197</v>
      </c>
      <c r="AK36" s="56" t="s">
        <v>182</v>
      </c>
      <c r="AL36" s="57"/>
      <c r="AM36" s="58">
        <v>5</v>
      </c>
    </row>
    <row r="37" spans="1:39" x14ac:dyDescent="0.3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P37" s="11"/>
      <c r="Q37" s="11"/>
      <c r="R37" s="11"/>
      <c r="AK37" s="22" t="s">
        <v>183</v>
      </c>
      <c r="AM37" s="24">
        <v>10000</v>
      </c>
    </row>
    <row r="38" spans="1:39" x14ac:dyDescent="0.3">
      <c r="B38" s="11"/>
      <c r="C38" s="211" t="s">
        <v>156</v>
      </c>
      <c r="D38" s="211"/>
      <c r="E38" s="211"/>
      <c r="F38" s="211"/>
      <c r="G38" s="211"/>
      <c r="H38" s="211"/>
      <c r="I38" s="211" t="s">
        <v>123</v>
      </c>
      <c r="J38" s="211"/>
      <c r="K38" s="211"/>
      <c r="L38" s="211"/>
      <c r="M38" s="211"/>
      <c r="N38" s="211"/>
      <c r="P38" s="37" t="s">
        <v>161</v>
      </c>
      <c r="Q38" s="11"/>
      <c r="R38" s="11"/>
      <c r="AK38" s="23" t="s">
        <v>184</v>
      </c>
      <c r="AL38" s="59"/>
      <c r="AM38" s="60">
        <v>3.5000000000000003E-2</v>
      </c>
    </row>
    <row r="39" spans="1:39" x14ac:dyDescent="0.3">
      <c r="B39" s="11"/>
      <c r="C39" s="11" t="s">
        <v>124</v>
      </c>
      <c r="D39" s="11" t="s">
        <v>111</v>
      </c>
      <c r="E39" s="11" t="s">
        <v>112</v>
      </c>
      <c r="F39" s="11" t="s">
        <v>113</v>
      </c>
      <c r="G39" s="11" t="s">
        <v>114</v>
      </c>
      <c r="H39" s="11" t="s">
        <v>115</v>
      </c>
      <c r="I39" s="11" t="s">
        <v>124</v>
      </c>
      <c r="J39" s="11" t="s">
        <v>111</v>
      </c>
      <c r="K39" s="11" t="s">
        <v>112</v>
      </c>
      <c r="L39" s="11" t="s">
        <v>113</v>
      </c>
      <c r="M39" s="11" t="s">
        <v>114</v>
      </c>
      <c r="N39" s="11" t="s">
        <v>115</v>
      </c>
      <c r="P39" s="11" t="s">
        <v>124</v>
      </c>
      <c r="Q39" s="11" t="s">
        <v>111</v>
      </c>
      <c r="R39" s="11" t="s">
        <v>112</v>
      </c>
      <c r="S39" s="11" t="s">
        <v>113</v>
      </c>
      <c r="T39" s="11" t="s">
        <v>114</v>
      </c>
      <c r="U39" s="11" t="s">
        <v>115</v>
      </c>
      <c r="V39" s="11" t="s">
        <v>164</v>
      </c>
      <c r="W39" s="11" t="s">
        <v>165</v>
      </c>
      <c r="X39" s="11" t="s">
        <v>166</v>
      </c>
      <c r="Y39" s="11" t="s">
        <v>167</v>
      </c>
      <c r="Z39" s="11" t="s">
        <v>168</v>
      </c>
      <c r="AA39" s="11" t="s">
        <v>169</v>
      </c>
      <c r="AC39" t="s">
        <v>126</v>
      </c>
      <c r="AD39" t="s">
        <v>127</v>
      </c>
      <c r="AE39" t="s">
        <v>132</v>
      </c>
      <c r="AF39" t="s">
        <v>147</v>
      </c>
      <c r="AG39" t="s">
        <v>135</v>
      </c>
      <c r="AH39" t="s">
        <v>137</v>
      </c>
      <c r="AI39" t="s">
        <v>170</v>
      </c>
    </row>
    <row r="40" spans="1:39" x14ac:dyDescent="0.3">
      <c r="B40" s="11" t="s">
        <v>154</v>
      </c>
      <c r="C40" s="36">
        <v>27154.024639622512</v>
      </c>
      <c r="D40" s="36">
        <v>25705.761061796169</v>
      </c>
      <c r="E40" s="36">
        <v>25507.747213700211</v>
      </c>
      <c r="F40" s="36">
        <v>25242.155590782517</v>
      </c>
      <c r="G40" s="36">
        <v>25035.509776354418</v>
      </c>
      <c r="H40" s="36">
        <v>24872.484159262043</v>
      </c>
      <c r="I40" s="11">
        <v>1.6932641224101825</v>
      </c>
      <c r="J40" s="11">
        <v>1.7124363847090465</v>
      </c>
      <c r="K40" s="11">
        <v>1.7117581198557876</v>
      </c>
      <c r="L40" s="11">
        <v>1.7109806722854559</v>
      </c>
      <c r="M40" s="11">
        <v>1.7100956476999802</v>
      </c>
      <c r="N40" s="11">
        <v>1.7087971036500691</v>
      </c>
      <c r="P40" s="11"/>
      <c r="Q40" s="11"/>
      <c r="R40" s="11"/>
    </row>
    <row r="41" spans="1:39" x14ac:dyDescent="0.3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P41" s="11"/>
      <c r="Q41" s="11"/>
      <c r="R41" s="11"/>
      <c r="AD41" s="49"/>
      <c r="AE41" s="49"/>
      <c r="AK41" s="18" t="s">
        <v>185</v>
      </c>
      <c r="AL41" s="18" t="s">
        <v>186</v>
      </c>
    </row>
    <row r="42" spans="1:39" x14ac:dyDescent="0.3">
      <c r="B42" s="11" t="s">
        <v>148</v>
      </c>
      <c r="C42" s="11">
        <f t="shared" ref="C42:N42" si="4">AVERAGE(C44:C545)</f>
        <v>77311.020663545773</v>
      </c>
      <c r="D42" s="11">
        <f t="shared" si="4"/>
        <v>76519.652367131494</v>
      </c>
      <c r="E42" s="11">
        <f t="shared" si="4"/>
        <v>76886.473747410433</v>
      </c>
      <c r="F42" s="11">
        <f t="shared" si="4"/>
        <v>76796.817370916237</v>
      </c>
      <c r="G42" s="11">
        <f t="shared" si="4"/>
        <v>77151.167307171389</v>
      </c>
      <c r="H42" s="11">
        <f t="shared" si="4"/>
        <v>77539.932477091716</v>
      </c>
      <c r="I42" s="11">
        <f t="shared" si="4"/>
        <v>10.171887356690272</v>
      </c>
      <c r="J42" s="11">
        <f t="shared" si="4"/>
        <v>10.140644204089028</v>
      </c>
      <c r="K42" s="11">
        <f t="shared" si="4"/>
        <v>10.118622569245787</v>
      </c>
      <c r="L42" s="11">
        <f t="shared" si="4"/>
        <v>10.108385843142498</v>
      </c>
      <c r="M42" s="11">
        <f t="shared" si="4"/>
        <v>10.085138555477746</v>
      </c>
      <c r="N42" s="11">
        <f t="shared" si="4"/>
        <v>10.059719184461732</v>
      </c>
      <c r="P42" s="11">
        <f>AVERAGE(P44:P543)</f>
        <v>227701.4311985315</v>
      </c>
      <c r="Q42" s="11">
        <f>AVERAGE(Q44:Q543)</f>
        <v>227555.53828991216</v>
      </c>
      <c r="R42" s="11">
        <f>AVERAGE(R44:R543)</f>
        <v>226528.53612581315</v>
      </c>
      <c r="S42" s="11">
        <f>AVERAGE(S44:S543)</f>
        <v>226310.66832049706</v>
      </c>
      <c r="T42" s="11">
        <f t="shared" ref="T42:U42" si="5">AVERAGE(T44:T543)</f>
        <v>225258.93985856677</v>
      </c>
      <c r="U42" s="11">
        <f t="shared" si="5"/>
        <v>224107.34926637021</v>
      </c>
      <c r="V42">
        <f>COUNTIF(V44:V543,1)/COUNTA(V44:V543)</f>
        <v>0.55800000000000005</v>
      </c>
      <c r="W42">
        <f t="shared" ref="W42:AA42" si="6">COUNTIF(W44:W543,1)/COUNTA(W44:W543)</f>
        <v>0.40799999999999997</v>
      </c>
      <c r="X42">
        <f t="shared" si="6"/>
        <v>0</v>
      </c>
      <c r="Y42">
        <f t="shared" si="6"/>
        <v>1.7999999999999999E-2</v>
      </c>
      <c r="Z42">
        <f t="shared" si="6"/>
        <v>8.0000000000000002E-3</v>
      </c>
      <c r="AA42">
        <f t="shared" si="6"/>
        <v>8.0000000000000002E-3</v>
      </c>
      <c r="AC42">
        <f>AVERAGE(AC44:AC543)</f>
        <v>227701.4311985315</v>
      </c>
      <c r="AD42">
        <f>AVERAGE(AD44:AD543)</f>
        <v>227555.53828991216</v>
      </c>
      <c r="AE42">
        <f>AVERAGE(AE44:AE543)</f>
        <v>226528.53612581315</v>
      </c>
      <c r="AF42">
        <f>AVERAGE(AF44:AF543)</f>
        <v>226310.66832049706</v>
      </c>
      <c r="AG42">
        <f t="shared" ref="AG42:AH42" si="7">AVERAGE(AG44:AG543)</f>
        <v>225258.93985856677</v>
      </c>
      <c r="AH42">
        <f t="shared" si="7"/>
        <v>224107.34926637021</v>
      </c>
      <c r="AI42">
        <f>AVERAGE(AI44:AI543)</f>
        <v>227917.71992057227</v>
      </c>
      <c r="AK42">
        <v>1</v>
      </c>
      <c r="AL42">
        <v>10000</v>
      </c>
    </row>
    <row r="43" spans="1:39" x14ac:dyDescent="0.3">
      <c r="A43" s="11" t="s">
        <v>155</v>
      </c>
      <c r="AK43">
        <v>2</v>
      </c>
      <c r="AL43">
        <f>AM37/(1+AM38)^AK42</f>
        <v>9661.8357487922713</v>
      </c>
    </row>
    <row r="44" spans="1:39" x14ac:dyDescent="0.3">
      <c r="B44">
        <v>1</v>
      </c>
      <c r="C44">
        <v>79471.953500000003</v>
      </c>
      <c r="D44">
        <v>78836.406300000002</v>
      </c>
      <c r="E44">
        <v>79418.504000000001</v>
      </c>
      <c r="F44">
        <v>79316.998500000002</v>
      </c>
      <c r="G44">
        <v>80125.153399999996</v>
      </c>
      <c r="H44">
        <v>80648.3462</v>
      </c>
      <c r="I44">
        <v>9.9109305986567922</v>
      </c>
      <c r="J44">
        <v>9.9013980622908946</v>
      </c>
      <c r="K44">
        <v>9.8939484500872972</v>
      </c>
      <c r="L44">
        <v>9.890670371272936</v>
      </c>
      <c r="M44">
        <v>9.8825099985174134</v>
      </c>
      <c r="N44">
        <v>9.8718923011211874</v>
      </c>
      <c r="P44">
        <f t="shared" ref="P44:P107" si="8">Threshold*I44-C44</f>
        <v>217855.96445970377</v>
      </c>
      <c r="Q44">
        <f t="shared" ref="Q44:Q107" si="9">Threshold*J44-D44</f>
        <v>218205.53556872686</v>
      </c>
      <c r="R44">
        <f t="shared" ref="R44:R107" si="10">Threshold*K44-E44</f>
        <v>217399.94950261893</v>
      </c>
      <c r="S44">
        <f t="shared" ref="S44:S107" si="11">Threshold*L44-F44</f>
        <v>217403.11263818812</v>
      </c>
      <c r="T44">
        <f t="shared" ref="T44:T107" si="12">Threshold*M44-G44</f>
        <v>216350.1465555224</v>
      </c>
      <c r="U44">
        <f t="shared" ref="U44:U107" si="13">Threshold*N44-H44</f>
        <v>215508.42283363562</v>
      </c>
      <c r="V44">
        <f>IF(MAX(P44:U44)=P44, 1, 0)</f>
        <v>0</v>
      </c>
      <c r="W44">
        <f>IF(MAX(P44:U44)=Q44, 1, 0)</f>
        <v>1</v>
      </c>
      <c r="X44">
        <f>IF(MAX(P44:U44)=R44, 1, 0)</f>
        <v>0</v>
      </c>
      <c r="Y44">
        <f>IF(MAX(P44:U44)=S44, 1, 0)</f>
        <v>0</v>
      </c>
      <c r="Z44">
        <f>IF(MAX(P44:U44)=T44, 1, 0)</f>
        <v>0</v>
      </c>
      <c r="AA44">
        <f>IF(MAX(P44:U44)=U44, 1, 0)</f>
        <v>0</v>
      </c>
      <c r="AC44">
        <f t="shared" ref="AC44:AC107" si="14">Threshold*I44-C44</f>
        <v>217855.96445970377</v>
      </c>
      <c r="AD44">
        <f t="shared" ref="AD44:AD107" si="15">Threshold*J44-D44</f>
        <v>218205.53556872686</v>
      </c>
      <c r="AE44">
        <f t="shared" ref="AE44:AE107" si="16">Threshold*K44-E44</f>
        <v>217399.94950261893</v>
      </c>
      <c r="AF44">
        <f t="shared" ref="AF44:AF107" si="17">Threshold*L44-F44</f>
        <v>217403.11263818812</v>
      </c>
      <c r="AG44">
        <f t="shared" ref="AG44:AG107" si="18">Threshold*M44-G44</f>
        <v>216350.1465555224</v>
      </c>
      <c r="AH44">
        <f t="shared" ref="AH44:AH107" si="19">Threshold*N44-H44</f>
        <v>215508.42283363562</v>
      </c>
      <c r="AI44">
        <f>MAX(AC44:AH44)</f>
        <v>218205.53556872686</v>
      </c>
      <c r="AK44">
        <v>3</v>
      </c>
      <c r="AL44">
        <f>AM37/(1+AM38)^AK43</f>
        <v>9335.1070036640303</v>
      </c>
    </row>
    <row r="45" spans="1:39" x14ac:dyDescent="0.3">
      <c r="B45">
        <v>2</v>
      </c>
      <c r="C45">
        <v>69868.8033</v>
      </c>
      <c r="D45">
        <v>68994.188599999994</v>
      </c>
      <c r="E45">
        <v>69321.696400000001</v>
      </c>
      <c r="F45">
        <v>69354.356199999995</v>
      </c>
      <c r="G45">
        <v>69804.823799999998</v>
      </c>
      <c r="H45">
        <v>69914.232799999998</v>
      </c>
      <c r="I45">
        <v>10.519935436254892</v>
      </c>
      <c r="J45">
        <v>10.499901313806445</v>
      </c>
      <c r="K45">
        <v>10.489695302525194</v>
      </c>
      <c r="L45">
        <v>10.476957177736629</v>
      </c>
      <c r="M45">
        <v>10.467927059947973</v>
      </c>
      <c r="N45">
        <v>10.447253642338392</v>
      </c>
      <c r="P45">
        <f t="shared" si="8"/>
        <v>245729.25978764673</v>
      </c>
      <c r="Q45">
        <f t="shared" si="9"/>
        <v>246002.85081419337</v>
      </c>
      <c r="R45">
        <f t="shared" si="10"/>
        <v>245369.1626757558</v>
      </c>
      <c r="S45">
        <f t="shared" si="11"/>
        <v>244954.35913209891</v>
      </c>
      <c r="T45">
        <f t="shared" si="12"/>
        <v>244232.98799843917</v>
      </c>
      <c r="U45">
        <f t="shared" si="13"/>
        <v>243503.37647015176</v>
      </c>
      <c r="V45">
        <f t="shared" ref="V45:V108" si="20">IF(MAX(P45:U45)=P45, 1, 0)</f>
        <v>0</v>
      </c>
      <c r="W45">
        <f t="shared" ref="W45:W108" si="21">IF(MAX(P45:U45)=Q45, 1, 0)</f>
        <v>1</v>
      </c>
      <c r="X45">
        <f t="shared" ref="X45:X108" si="22">IF(MAX(P45:U45)=R45, 1, 0)</f>
        <v>0</v>
      </c>
      <c r="Y45">
        <f t="shared" ref="Y45:Y108" si="23">IF(MAX(P45:U45)=S45, 1, 0)</f>
        <v>0</v>
      </c>
      <c r="Z45">
        <f t="shared" ref="Z45:Z108" si="24">IF(MAX(P45:U45)=T45, 1, 0)</f>
        <v>0</v>
      </c>
      <c r="AA45">
        <f t="shared" ref="AA45:AA108" si="25">IF(MAX(P45:U45)=U45, 1, 0)</f>
        <v>0</v>
      </c>
      <c r="AC45">
        <f t="shared" si="14"/>
        <v>245729.25978764673</v>
      </c>
      <c r="AD45">
        <f t="shared" si="15"/>
        <v>246002.85081419337</v>
      </c>
      <c r="AE45">
        <f t="shared" si="16"/>
        <v>245369.1626757558</v>
      </c>
      <c r="AF45">
        <f t="shared" si="17"/>
        <v>244954.35913209891</v>
      </c>
      <c r="AG45">
        <f t="shared" si="18"/>
        <v>244232.98799843917</v>
      </c>
      <c r="AH45">
        <f t="shared" si="19"/>
        <v>243503.37647015176</v>
      </c>
      <c r="AI45">
        <f t="shared" ref="AI45:AI108" si="26">MAX(AC45:AH45)</f>
        <v>246002.85081419337</v>
      </c>
      <c r="AK45">
        <v>4</v>
      </c>
      <c r="AL45">
        <f>AM37/(1+AM38)^AK44</f>
        <v>9019.4270566802243</v>
      </c>
    </row>
    <row r="46" spans="1:39" x14ac:dyDescent="0.3">
      <c r="B46">
        <v>3</v>
      </c>
      <c r="C46">
        <v>83487.292100000006</v>
      </c>
      <c r="D46">
        <v>82866.582899999994</v>
      </c>
      <c r="E46">
        <v>83435.841799999995</v>
      </c>
      <c r="F46">
        <v>83514.238899999997</v>
      </c>
      <c r="G46">
        <v>83956.050600000002</v>
      </c>
      <c r="H46">
        <v>84615.281400000007</v>
      </c>
      <c r="I46">
        <v>10.926993217868137</v>
      </c>
      <c r="J46">
        <v>10.903157019019465</v>
      </c>
      <c r="K46">
        <v>10.879056456725559</v>
      </c>
      <c r="L46">
        <v>10.872595810043896</v>
      </c>
      <c r="M46">
        <v>10.849339928101923</v>
      </c>
      <c r="N46">
        <v>10.831617811774535</v>
      </c>
      <c r="P46">
        <f t="shared" si="8"/>
        <v>244322.50443604408</v>
      </c>
      <c r="Q46">
        <f t="shared" si="9"/>
        <v>244228.12767058396</v>
      </c>
      <c r="R46">
        <f t="shared" si="10"/>
        <v>242935.85190176679</v>
      </c>
      <c r="S46">
        <f t="shared" si="11"/>
        <v>242663.63540131686</v>
      </c>
      <c r="T46">
        <f t="shared" si="12"/>
        <v>241524.14724305767</v>
      </c>
      <c r="U46">
        <f t="shared" si="13"/>
        <v>240333.25295323602</v>
      </c>
      <c r="V46">
        <f t="shared" si="20"/>
        <v>1</v>
      </c>
      <c r="W46">
        <f t="shared" si="21"/>
        <v>0</v>
      </c>
      <c r="X46">
        <f t="shared" si="22"/>
        <v>0</v>
      </c>
      <c r="Y46">
        <f t="shared" si="23"/>
        <v>0</v>
      </c>
      <c r="Z46">
        <f t="shared" si="24"/>
        <v>0</v>
      </c>
      <c r="AA46">
        <f t="shared" si="25"/>
        <v>0</v>
      </c>
      <c r="AC46">
        <f t="shared" si="14"/>
        <v>244322.50443604408</v>
      </c>
      <c r="AD46">
        <f t="shared" si="15"/>
        <v>244228.12767058396</v>
      </c>
      <c r="AE46">
        <f t="shared" si="16"/>
        <v>242935.85190176679</v>
      </c>
      <c r="AF46">
        <f t="shared" si="17"/>
        <v>242663.63540131686</v>
      </c>
      <c r="AG46">
        <f t="shared" si="18"/>
        <v>241524.14724305767</v>
      </c>
      <c r="AH46">
        <f t="shared" si="19"/>
        <v>240333.25295323602</v>
      </c>
      <c r="AI46">
        <f t="shared" si="26"/>
        <v>244322.50443604408</v>
      </c>
      <c r="AK46" s="61">
        <v>5</v>
      </c>
      <c r="AL46">
        <f>AM37/(1+AM38)^AK45</f>
        <v>8714.4222769857242</v>
      </c>
    </row>
    <row r="47" spans="1:39" x14ac:dyDescent="0.3">
      <c r="B47">
        <v>4</v>
      </c>
      <c r="C47">
        <v>78031.699900000007</v>
      </c>
      <c r="D47">
        <v>77769.030100000004</v>
      </c>
      <c r="E47">
        <v>78644.620899999994</v>
      </c>
      <c r="F47">
        <v>78709.602700000003</v>
      </c>
      <c r="G47">
        <v>79437.718500000003</v>
      </c>
      <c r="H47">
        <v>80091.2448</v>
      </c>
      <c r="I47">
        <v>10.977708061032962</v>
      </c>
      <c r="J47">
        <v>10.937701708770748</v>
      </c>
      <c r="K47">
        <v>10.904964526099054</v>
      </c>
      <c r="L47">
        <v>10.890176838820746</v>
      </c>
      <c r="M47">
        <v>10.865057934131716</v>
      </c>
      <c r="N47">
        <v>10.825450178218688</v>
      </c>
      <c r="P47">
        <f t="shared" si="8"/>
        <v>251299.54193098884</v>
      </c>
      <c r="Q47">
        <f t="shared" si="9"/>
        <v>250362.02116312241</v>
      </c>
      <c r="R47">
        <f t="shared" si="10"/>
        <v>248504.31488297164</v>
      </c>
      <c r="S47">
        <f t="shared" si="11"/>
        <v>247995.70246462239</v>
      </c>
      <c r="T47">
        <f t="shared" si="12"/>
        <v>246514.01952395146</v>
      </c>
      <c r="U47">
        <f t="shared" si="13"/>
        <v>244672.26054656063</v>
      </c>
      <c r="V47">
        <f t="shared" si="20"/>
        <v>1</v>
      </c>
      <c r="W47">
        <f t="shared" si="21"/>
        <v>0</v>
      </c>
      <c r="X47">
        <f t="shared" si="22"/>
        <v>0</v>
      </c>
      <c r="Y47">
        <f t="shared" si="23"/>
        <v>0</v>
      </c>
      <c r="Z47">
        <f t="shared" si="24"/>
        <v>0</v>
      </c>
      <c r="AA47">
        <f t="shared" si="25"/>
        <v>0</v>
      </c>
      <c r="AC47">
        <f t="shared" si="14"/>
        <v>251299.54193098884</v>
      </c>
      <c r="AD47">
        <f t="shared" si="15"/>
        <v>250362.02116312241</v>
      </c>
      <c r="AE47">
        <f t="shared" si="16"/>
        <v>248504.31488297164</v>
      </c>
      <c r="AF47">
        <f t="shared" si="17"/>
        <v>247995.70246462239</v>
      </c>
      <c r="AG47">
        <f t="shared" si="18"/>
        <v>246514.01952395146</v>
      </c>
      <c r="AH47">
        <f t="shared" si="19"/>
        <v>244672.26054656063</v>
      </c>
      <c r="AI47">
        <f t="shared" si="26"/>
        <v>251299.54193098884</v>
      </c>
    </row>
    <row r="48" spans="1:39" x14ac:dyDescent="0.3">
      <c r="B48">
        <v>5</v>
      </c>
      <c r="C48">
        <v>78921.877500000002</v>
      </c>
      <c r="D48">
        <v>78250.170299999998</v>
      </c>
      <c r="E48">
        <v>78678.379300000001</v>
      </c>
      <c r="F48">
        <v>78644.212700000004</v>
      </c>
      <c r="G48">
        <v>79049.717699999994</v>
      </c>
      <c r="H48">
        <v>79513.569499999998</v>
      </c>
      <c r="I48">
        <v>9.0387518415668406</v>
      </c>
      <c r="J48">
        <v>9.0149504927959523</v>
      </c>
      <c r="K48">
        <v>9.0015334628780721</v>
      </c>
      <c r="L48">
        <v>8.9925728542826846</v>
      </c>
      <c r="M48">
        <v>8.9788729577196129</v>
      </c>
      <c r="N48">
        <v>8.9639702097619729</v>
      </c>
      <c r="P48">
        <f t="shared" si="8"/>
        <v>192240.67774700519</v>
      </c>
      <c r="Q48">
        <f t="shared" si="9"/>
        <v>192198.34448387858</v>
      </c>
      <c r="R48">
        <f t="shared" si="10"/>
        <v>191367.62458634216</v>
      </c>
      <c r="S48">
        <f t="shared" si="11"/>
        <v>191132.97292848051</v>
      </c>
      <c r="T48">
        <f t="shared" si="12"/>
        <v>190316.47103158839</v>
      </c>
      <c r="U48">
        <f t="shared" si="13"/>
        <v>189405.5367928592</v>
      </c>
      <c r="V48">
        <f t="shared" si="20"/>
        <v>1</v>
      </c>
      <c r="W48">
        <f t="shared" si="21"/>
        <v>0</v>
      </c>
      <c r="X48">
        <f t="shared" si="22"/>
        <v>0</v>
      </c>
      <c r="Y48">
        <f t="shared" si="23"/>
        <v>0</v>
      </c>
      <c r="Z48">
        <f t="shared" si="24"/>
        <v>0</v>
      </c>
      <c r="AA48">
        <f t="shared" si="25"/>
        <v>0</v>
      </c>
      <c r="AC48">
        <f t="shared" si="14"/>
        <v>192240.67774700519</v>
      </c>
      <c r="AD48">
        <f t="shared" si="15"/>
        <v>192198.34448387858</v>
      </c>
      <c r="AE48">
        <f t="shared" si="16"/>
        <v>191367.62458634216</v>
      </c>
      <c r="AF48">
        <f t="shared" si="17"/>
        <v>191132.97292848051</v>
      </c>
      <c r="AG48">
        <f t="shared" si="18"/>
        <v>190316.47103158839</v>
      </c>
      <c r="AH48">
        <f t="shared" si="19"/>
        <v>189405.5367928592</v>
      </c>
      <c r="AI48">
        <f t="shared" si="26"/>
        <v>192240.67774700519</v>
      </c>
      <c r="AK48" s="18" t="s">
        <v>122</v>
      </c>
      <c r="AL48" s="62">
        <f>SUM(AL42:AL46)</f>
        <v>46730.792086122245</v>
      </c>
    </row>
    <row r="49" spans="2:35" x14ac:dyDescent="0.3">
      <c r="B49">
        <v>6</v>
      </c>
      <c r="C49">
        <v>76162.792799999996</v>
      </c>
      <c r="D49">
        <v>75312.157099999997</v>
      </c>
      <c r="E49">
        <v>75732.040699999998</v>
      </c>
      <c r="F49">
        <v>75502.298899999994</v>
      </c>
      <c r="G49">
        <v>76083.413400000005</v>
      </c>
      <c r="H49">
        <v>76319.674799999993</v>
      </c>
      <c r="I49">
        <v>10.600285603767878</v>
      </c>
      <c r="J49">
        <v>10.565695899165936</v>
      </c>
      <c r="K49">
        <v>10.545572460115933</v>
      </c>
      <c r="L49">
        <v>10.536150551874925</v>
      </c>
      <c r="M49">
        <v>10.502222696993332</v>
      </c>
      <c r="N49">
        <v>10.479530818454771</v>
      </c>
      <c r="P49">
        <f t="shared" si="8"/>
        <v>241845.77531303634</v>
      </c>
      <c r="Q49">
        <f t="shared" si="9"/>
        <v>241658.71987497807</v>
      </c>
      <c r="R49">
        <f t="shared" si="10"/>
        <v>240635.133103478</v>
      </c>
      <c r="S49">
        <f t="shared" si="11"/>
        <v>240582.21765624778</v>
      </c>
      <c r="T49">
        <f t="shared" si="12"/>
        <v>238983.26750979992</v>
      </c>
      <c r="U49">
        <f t="shared" si="13"/>
        <v>238066.24975364318</v>
      </c>
      <c r="V49">
        <f t="shared" si="20"/>
        <v>1</v>
      </c>
      <c r="W49">
        <f t="shared" si="21"/>
        <v>0</v>
      </c>
      <c r="X49">
        <f t="shared" si="22"/>
        <v>0</v>
      </c>
      <c r="Y49">
        <f t="shared" si="23"/>
        <v>0</v>
      </c>
      <c r="Z49">
        <f t="shared" si="24"/>
        <v>0</v>
      </c>
      <c r="AA49">
        <f t="shared" si="25"/>
        <v>0</v>
      </c>
      <c r="AC49">
        <f t="shared" si="14"/>
        <v>241845.77531303634</v>
      </c>
      <c r="AD49">
        <f t="shared" si="15"/>
        <v>241658.71987497807</v>
      </c>
      <c r="AE49">
        <f t="shared" si="16"/>
        <v>240635.133103478</v>
      </c>
      <c r="AF49">
        <f t="shared" si="17"/>
        <v>240582.21765624778</v>
      </c>
      <c r="AG49">
        <f t="shared" si="18"/>
        <v>238983.26750979992</v>
      </c>
      <c r="AH49">
        <f t="shared" si="19"/>
        <v>238066.24975364318</v>
      </c>
      <c r="AI49">
        <f t="shared" si="26"/>
        <v>241845.77531303634</v>
      </c>
    </row>
    <row r="50" spans="2:35" x14ac:dyDescent="0.3">
      <c r="B50">
        <v>7</v>
      </c>
      <c r="C50">
        <v>73419.518500000006</v>
      </c>
      <c r="D50">
        <v>71945.202099999995</v>
      </c>
      <c r="E50">
        <v>71952.956600000005</v>
      </c>
      <c r="F50">
        <v>71740.286500000002</v>
      </c>
      <c r="G50">
        <v>71610.669200000004</v>
      </c>
      <c r="H50">
        <v>71505.269</v>
      </c>
      <c r="I50">
        <v>10.721047270726087</v>
      </c>
      <c r="J50">
        <v>10.674738160908822</v>
      </c>
      <c r="K50">
        <v>10.648033368031113</v>
      </c>
      <c r="L50">
        <v>10.631269597657633</v>
      </c>
      <c r="M50">
        <v>10.599914531532178</v>
      </c>
      <c r="N50">
        <v>10.557047861319763</v>
      </c>
      <c r="P50">
        <f t="shared" si="8"/>
        <v>248211.89962178259</v>
      </c>
      <c r="Q50">
        <f t="shared" si="9"/>
        <v>248296.94272726466</v>
      </c>
      <c r="R50">
        <f t="shared" si="10"/>
        <v>247488.04444093336</v>
      </c>
      <c r="S50">
        <f t="shared" si="11"/>
        <v>247197.80142972904</v>
      </c>
      <c r="T50">
        <f t="shared" si="12"/>
        <v>246386.76674596535</v>
      </c>
      <c r="U50">
        <f t="shared" si="13"/>
        <v>245206.16683959289</v>
      </c>
      <c r="V50">
        <f t="shared" si="20"/>
        <v>0</v>
      </c>
      <c r="W50">
        <f t="shared" si="21"/>
        <v>1</v>
      </c>
      <c r="X50">
        <f t="shared" si="22"/>
        <v>0</v>
      </c>
      <c r="Y50">
        <f t="shared" si="23"/>
        <v>0</v>
      </c>
      <c r="Z50">
        <f t="shared" si="24"/>
        <v>0</v>
      </c>
      <c r="AA50">
        <f t="shared" si="25"/>
        <v>0</v>
      </c>
      <c r="AC50">
        <f t="shared" si="14"/>
        <v>248211.89962178259</v>
      </c>
      <c r="AD50">
        <f t="shared" si="15"/>
        <v>248296.94272726466</v>
      </c>
      <c r="AE50">
        <f t="shared" si="16"/>
        <v>247488.04444093336</v>
      </c>
      <c r="AF50">
        <f t="shared" si="17"/>
        <v>247197.80142972904</v>
      </c>
      <c r="AG50">
        <f t="shared" si="18"/>
        <v>246386.76674596535</v>
      </c>
      <c r="AH50">
        <f t="shared" si="19"/>
        <v>245206.16683959289</v>
      </c>
      <c r="AI50">
        <f t="shared" si="26"/>
        <v>248296.94272726466</v>
      </c>
    </row>
    <row r="51" spans="2:35" x14ac:dyDescent="0.3">
      <c r="B51">
        <v>8</v>
      </c>
      <c r="C51">
        <v>74712.431500000006</v>
      </c>
      <c r="D51">
        <v>73724.073900000003</v>
      </c>
      <c r="E51">
        <v>74090.8796</v>
      </c>
      <c r="F51">
        <v>74084.620899999994</v>
      </c>
      <c r="G51">
        <v>74225.762700000007</v>
      </c>
      <c r="H51">
        <v>74695.470300000001</v>
      </c>
      <c r="I51">
        <v>10.029652348564676</v>
      </c>
      <c r="J51">
        <v>10.021071918083106</v>
      </c>
      <c r="K51">
        <v>10.01058235081169</v>
      </c>
      <c r="L51">
        <v>10.007093472734413</v>
      </c>
      <c r="M51">
        <v>10.001307515663955</v>
      </c>
      <c r="N51">
        <v>9.9923399053296915</v>
      </c>
      <c r="P51">
        <f t="shared" si="8"/>
        <v>226177.13895694027</v>
      </c>
      <c r="Q51">
        <f t="shared" si="9"/>
        <v>226908.08364249318</v>
      </c>
      <c r="R51">
        <f t="shared" si="10"/>
        <v>226226.59092435072</v>
      </c>
      <c r="S51">
        <f t="shared" si="11"/>
        <v>226128.18328203238</v>
      </c>
      <c r="T51">
        <f t="shared" si="12"/>
        <v>225813.46276991861</v>
      </c>
      <c r="U51">
        <f t="shared" si="13"/>
        <v>225074.72685989074</v>
      </c>
      <c r="V51">
        <f t="shared" si="20"/>
        <v>0</v>
      </c>
      <c r="W51">
        <f t="shared" si="21"/>
        <v>1</v>
      </c>
      <c r="X51">
        <f t="shared" si="22"/>
        <v>0</v>
      </c>
      <c r="Y51">
        <f t="shared" si="23"/>
        <v>0</v>
      </c>
      <c r="Z51">
        <f t="shared" si="24"/>
        <v>0</v>
      </c>
      <c r="AA51">
        <f t="shared" si="25"/>
        <v>0</v>
      </c>
      <c r="AC51">
        <f t="shared" si="14"/>
        <v>226177.13895694027</v>
      </c>
      <c r="AD51">
        <f t="shared" si="15"/>
        <v>226908.08364249318</v>
      </c>
      <c r="AE51">
        <f t="shared" si="16"/>
        <v>226226.59092435072</v>
      </c>
      <c r="AF51">
        <f t="shared" si="17"/>
        <v>226128.18328203238</v>
      </c>
      <c r="AG51">
        <f t="shared" si="18"/>
        <v>225813.46276991861</v>
      </c>
      <c r="AH51">
        <f t="shared" si="19"/>
        <v>225074.72685989074</v>
      </c>
      <c r="AI51">
        <f t="shared" si="26"/>
        <v>226908.08364249318</v>
      </c>
    </row>
    <row r="52" spans="2:35" x14ac:dyDescent="0.3">
      <c r="B52">
        <v>9</v>
      </c>
      <c r="C52">
        <v>82347.833400000003</v>
      </c>
      <c r="D52">
        <v>80882.360199999996</v>
      </c>
      <c r="E52">
        <v>80571.350099999996</v>
      </c>
      <c r="F52">
        <v>80225.234700000001</v>
      </c>
      <c r="G52">
        <v>79909.380099999995</v>
      </c>
      <c r="H52">
        <v>79793.520900000003</v>
      </c>
      <c r="I52">
        <v>10.415331676355612</v>
      </c>
      <c r="J52">
        <v>10.405903778444243</v>
      </c>
      <c r="K52">
        <v>10.394022894857383</v>
      </c>
      <c r="L52">
        <v>10.390668909186612</v>
      </c>
      <c r="M52">
        <v>10.3789014066069</v>
      </c>
      <c r="N52">
        <v>10.370366280793514</v>
      </c>
      <c r="P52">
        <f t="shared" si="8"/>
        <v>230112.11689066835</v>
      </c>
      <c r="Q52">
        <f t="shared" si="9"/>
        <v>231294.75315332727</v>
      </c>
      <c r="R52">
        <f t="shared" si="10"/>
        <v>231249.33674572152</v>
      </c>
      <c r="S52">
        <f t="shared" si="11"/>
        <v>231494.83257559835</v>
      </c>
      <c r="T52">
        <f t="shared" si="12"/>
        <v>231457.66209820699</v>
      </c>
      <c r="U52">
        <f t="shared" si="13"/>
        <v>231317.46752380539</v>
      </c>
      <c r="V52">
        <f t="shared" si="20"/>
        <v>0</v>
      </c>
      <c r="W52">
        <f t="shared" si="21"/>
        <v>0</v>
      </c>
      <c r="X52">
        <f t="shared" si="22"/>
        <v>0</v>
      </c>
      <c r="Y52">
        <f t="shared" si="23"/>
        <v>1</v>
      </c>
      <c r="Z52">
        <f t="shared" si="24"/>
        <v>0</v>
      </c>
      <c r="AA52">
        <f t="shared" si="25"/>
        <v>0</v>
      </c>
      <c r="AC52">
        <f t="shared" si="14"/>
        <v>230112.11689066835</v>
      </c>
      <c r="AD52">
        <f t="shared" si="15"/>
        <v>231294.75315332727</v>
      </c>
      <c r="AE52">
        <f t="shared" si="16"/>
        <v>231249.33674572152</v>
      </c>
      <c r="AF52">
        <f t="shared" si="17"/>
        <v>231494.83257559835</v>
      </c>
      <c r="AG52">
        <f t="shared" si="18"/>
        <v>231457.66209820699</v>
      </c>
      <c r="AH52">
        <f t="shared" si="19"/>
        <v>231317.46752380539</v>
      </c>
      <c r="AI52">
        <f t="shared" si="26"/>
        <v>231494.83257559835</v>
      </c>
    </row>
    <row r="53" spans="2:35" x14ac:dyDescent="0.3">
      <c r="B53">
        <v>10</v>
      </c>
      <c r="C53">
        <v>64083.907500000001</v>
      </c>
      <c r="D53">
        <v>64576.854800000001</v>
      </c>
      <c r="E53">
        <v>65776.315400000007</v>
      </c>
      <c r="F53">
        <v>65823.6155</v>
      </c>
      <c r="G53">
        <v>67359.621100000004</v>
      </c>
      <c r="H53">
        <v>68570.626999999993</v>
      </c>
      <c r="I53">
        <v>8.0392352575267783</v>
      </c>
      <c r="J53">
        <v>8.0219801745131765</v>
      </c>
      <c r="K53">
        <v>8.0092486912296863</v>
      </c>
      <c r="L53">
        <v>8.0053336865796698</v>
      </c>
      <c r="M53">
        <v>7.9909507571758756</v>
      </c>
      <c r="N53">
        <v>7.9769968886539546</v>
      </c>
      <c r="P53">
        <f t="shared" si="8"/>
        <v>177093.15022580334</v>
      </c>
      <c r="Q53">
        <f t="shared" si="9"/>
        <v>176082.5504353953</v>
      </c>
      <c r="R53">
        <f t="shared" si="10"/>
        <v>174501.14533689059</v>
      </c>
      <c r="S53">
        <f t="shared" si="11"/>
        <v>174336.39509739011</v>
      </c>
      <c r="T53">
        <f t="shared" si="12"/>
        <v>172368.90161527623</v>
      </c>
      <c r="U53">
        <f t="shared" si="13"/>
        <v>170739.27965961862</v>
      </c>
      <c r="V53">
        <f t="shared" si="20"/>
        <v>1</v>
      </c>
      <c r="W53">
        <f t="shared" si="21"/>
        <v>0</v>
      </c>
      <c r="X53">
        <f t="shared" si="22"/>
        <v>0</v>
      </c>
      <c r="Y53">
        <f t="shared" si="23"/>
        <v>0</v>
      </c>
      <c r="Z53">
        <f t="shared" si="24"/>
        <v>0</v>
      </c>
      <c r="AA53">
        <f t="shared" si="25"/>
        <v>0</v>
      </c>
      <c r="AC53">
        <f t="shared" si="14"/>
        <v>177093.15022580334</v>
      </c>
      <c r="AD53">
        <f t="shared" si="15"/>
        <v>176082.5504353953</v>
      </c>
      <c r="AE53">
        <f t="shared" si="16"/>
        <v>174501.14533689059</v>
      </c>
      <c r="AF53">
        <f t="shared" si="17"/>
        <v>174336.39509739011</v>
      </c>
      <c r="AG53">
        <f t="shared" si="18"/>
        <v>172368.90161527623</v>
      </c>
      <c r="AH53">
        <f t="shared" si="19"/>
        <v>170739.27965961862</v>
      </c>
      <c r="AI53">
        <f t="shared" si="26"/>
        <v>177093.15022580334</v>
      </c>
    </row>
    <row r="54" spans="2:35" x14ac:dyDescent="0.3">
      <c r="B54">
        <v>11</v>
      </c>
      <c r="C54">
        <v>79764.7212</v>
      </c>
      <c r="D54">
        <v>78595.103600000002</v>
      </c>
      <c r="E54">
        <v>78682.153999999995</v>
      </c>
      <c r="F54">
        <v>78646.534700000004</v>
      </c>
      <c r="G54">
        <v>78727.147100000002</v>
      </c>
      <c r="H54">
        <v>78800.029399999999</v>
      </c>
      <c r="I54">
        <v>9.8359318936094411</v>
      </c>
      <c r="J54">
        <v>9.7923448297427633</v>
      </c>
      <c r="K54">
        <v>9.7665063248341504</v>
      </c>
      <c r="L54">
        <v>9.7591729936407727</v>
      </c>
      <c r="M54">
        <v>9.7197991195239499</v>
      </c>
      <c r="N54">
        <v>9.6975809633649064</v>
      </c>
      <c r="P54">
        <f t="shared" si="8"/>
        <v>215313.23560828323</v>
      </c>
      <c r="Q54">
        <f t="shared" si="9"/>
        <v>215175.24129228291</v>
      </c>
      <c r="R54">
        <f t="shared" si="10"/>
        <v>214313.03574502451</v>
      </c>
      <c r="S54">
        <f t="shared" si="11"/>
        <v>214128.65510922315</v>
      </c>
      <c r="T54">
        <f t="shared" si="12"/>
        <v>212866.82648571848</v>
      </c>
      <c r="U54">
        <f t="shared" si="13"/>
        <v>212127.39950094721</v>
      </c>
      <c r="V54">
        <f t="shared" si="20"/>
        <v>1</v>
      </c>
      <c r="W54">
        <f t="shared" si="21"/>
        <v>0</v>
      </c>
      <c r="X54">
        <f t="shared" si="22"/>
        <v>0</v>
      </c>
      <c r="Y54">
        <f t="shared" si="23"/>
        <v>0</v>
      </c>
      <c r="Z54">
        <f t="shared" si="24"/>
        <v>0</v>
      </c>
      <c r="AA54">
        <f t="shared" si="25"/>
        <v>0</v>
      </c>
      <c r="AC54">
        <f t="shared" si="14"/>
        <v>215313.23560828323</v>
      </c>
      <c r="AD54">
        <f t="shared" si="15"/>
        <v>215175.24129228291</v>
      </c>
      <c r="AE54">
        <f t="shared" si="16"/>
        <v>214313.03574502451</v>
      </c>
      <c r="AF54">
        <f t="shared" si="17"/>
        <v>214128.65510922315</v>
      </c>
      <c r="AG54">
        <f t="shared" si="18"/>
        <v>212866.82648571848</v>
      </c>
      <c r="AH54">
        <f t="shared" si="19"/>
        <v>212127.39950094721</v>
      </c>
      <c r="AI54">
        <f t="shared" si="26"/>
        <v>215313.23560828323</v>
      </c>
    </row>
    <row r="55" spans="2:35" x14ac:dyDescent="0.3">
      <c r="B55">
        <v>12</v>
      </c>
      <c r="C55">
        <v>72239.903200000001</v>
      </c>
      <c r="D55">
        <v>71002.896099999998</v>
      </c>
      <c r="E55">
        <v>71170.021699999998</v>
      </c>
      <c r="F55">
        <v>70955.751000000004</v>
      </c>
      <c r="G55">
        <v>70760.904299999995</v>
      </c>
      <c r="H55">
        <v>70727.329299999998</v>
      </c>
      <c r="I55">
        <v>10.674667872210115</v>
      </c>
      <c r="J55">
        <v>10.643302064156469</v>
      </c>
      <c r="K55">
        <v>10.629428035968735</v>
      </c>
      <c r="L55">
        <v>10.613106567335588</v>
      </c>
      <c r="M55">
        <v>10.584783701531494</v>
      </c>
      <c r="N55">
        <v>10.548249381228761</v>
      </c>
      <c r="P55">
        <f t="shared" si="8"/>
        <v>248000.13296630344</v>
      </c>
      <c r="Q55">
        <f t="shared" si="9"/>
        <v>248296.16582469404</v>
      </c>
      <c r="R55">
        <f t="shared" si="10"/>
        <v>247712.81937906204</v>
      </c>
      <c r="S55">
        <f t="shared" si="11"/>
        <v>247437.44602006767</v>
      </c>
      <c r="T55">
        <f t="shared" si="12"/>
        <v>246782.60674594482</v>
      </c>
      <c r="U55">
        <f t="shared" si="13"/>
        <v>245720.15213686286</v>
      </c>
      <c r="V55">
        <f t="shared" si="20"/>
        <v>0</v>
      </c>
      <c r="W55">
        <f t="shared" si="21"/>
        <v>1</v>
      </c>
      <c r="X55">
        <f t="shared" si="22"/>
        <v>0</v>
      </c>
      <c r="Y55">
        <f t="shared" si="23"/>
        <v>0</v>
      </c>
      <c r="Z55">
        <f t="shared" si="24"/>
        <v>0</v>
      </c>
      <c r="AA55">
        <f t="shared" si="25"/>
        <v>0</v>
      </c>
      <c r="AC55">
        <f t="shared" si="14"/>
        <v>248000.13296630344</v>
      </c>
      <c r="AD55">
        <f t="shared" si="15"/>
        <v>248296.16582469404</v>
      </c>
      <c r="AE55">
        <f t="shared" si="16"/>
        <v>247712.81937906204</v>
      </c>
      <c r="AF55">
        <f t="shared" si="17"/>
        <v>247437.44602006767</v>
      </c>
      <c r="AG55">
        <f t="shared" si="18"/>
        <v>246782.60674594482</v>
      </c>
      <c r="AH55">
        <f t="shared" si="19"/>
        <v>245720.15213686286</v>
      </c>
      <c r="AI55">
        <f t="shared" si="26"/>
        <v>248296.16582469404</v>
      </c>
    </row>
    <row r="56" spans="2:35" x14ac:dyDescent="0.3">
      <c r="B56">
        <v>13</v>
      </c>
      <c r="C56">
        <v>78883.525999999998</v>
      </c>
      <c r="D56">
        <v>78576.326799999995</v>
      </c>
      <c r="E56">
        <v>79134.694499999998</v>
      </c>
      <c r="F56">
        <v>79107.6492</v>
      </c>
      <c r="G56">
        <v>79499.092999999993</v>
      </c>
      <c r="H56">
        <v>80224.708899999998</v>
      </c>
      <c r="I56">
        <v>9.4112968924652272</v>
      </c>
      <c r="J56">
        <v>9.3937156800344379</v>
      </c>
      <c r="K56">
        <v>9.3839011155609811</v>
      </c>
      <c r="L56">
        <v>9.3758396059082045</v>
      </c>
      <c r="M56">
        <v>9.3614909483367157</v>
      </c>
      <c r="N56">
        <v>9.3490644835260834</v>
      </c>
      <c r="P56">
        <f t="shared" si="8"/>
        <v>203455.38077395683</v>
      </c>
      <c r="Q56">
        <f t="shared" si="9"/>
        <v>203235.14360103314</v>
      </c>
      <c r="R56">
        <f t="shared" si="10"/>
        <v>202382.33896682947</v>
      </c>
      <c r="S56">
        <f t="shared" si="11"/>
        <v>202167.53897724615</v>
      </c>
      <c r="T56">
        <f t="shared" si="12"/>
        <v>201345.63545010146</v>
      </c>
      <c r="U56">
        <f t="shared" si="13"/>
        <v>200247.2256057825</v>
      </c>
      <c r="V56">
        <f t="shared" si="20"/>
        <v>1</v>
      </c>
      <c r="W56">
        <f t="shared" si="21"/>
        <v>0</v>
      </c>
      <c r="X56">
        <f t="shared" si="22"/>
        <v>0</v>
      </c>
      <c r="Y56">
        <f t="shared" si="23"/>
        <v>0</v>
      </c>
      <c r="Z56">
        <f t="shared" si="24"/>
        <v>0</v>
      </c>
      <c r="AA56">
        <f t="shared" si="25"/>
        <v>0</v>
      </c>
      <c r="AC56">
        <f t="shared" si="14"/>
        <v>203455.38077395683</v>
      </c>
      <c r="AD56">
        <f t="shared" si="15"/>
        <v>203235.14360103314</v>
      </c>
      <c r="AE56">
        <f t="shared" si="16"/>
        <v>202382.33896682947</v>
      </c>
      <c r="AF56">
        <f t="shared" si="17"/>
        <v>202167.53897724615</v>
      </c>
      <c r="AG56">
        <f t="shared" si="18"/>
        <v>201345.63545010146</v>
      </c>
      <c r="AH56">
        <f t="shared" si="19"/>
        <v>200247.2256057825</v>
      </c>
      <c r="AI56">
        <f t="shared" si="26"/>
        <v>203455.38077395683</v>
      </c>
    </row>
    <row r="57" spans="2:35" x14ac:dyDescent="0.3">
      <c r="B57">
        <v>14</v>
      </c>
      <c r="C57">
        <v>79817.52</v>
      </c>
      <c r="D57">
        <v>79064.612200000003</v>
      </c>
      <c r="E57">
        <v>79426.8658</v>
      </c>
      <c r="F57">
        <v>79511.884300000005</v>
      </c>
      <c r="G57">
        <v>79762.686700000006</v>
      </c>
      <c r="H57">
        <v>79990.7359</v>
      </c>
      <c r="I57">
        <v>10.81349132811666</v>
      </c>
      <c r="J57">
        <v>10.765001324616426</v>
      </c>
      <c r="K57">
        <v>10.734787678144974</v>
      </c>
      <c r="L57">
        <v>10.720238931055158</v>
      </c>
      <c r="M57">
        <v>10.681384464923944</v>
      </c>
      <c r="N57">
        <v>10.656909043735808</v>
      </c>
      <c r="P57">
        <f t="shared" si="8"/>
        <v>244587.21984349977</v>
      </c>
      <c r="Q57">
        <f t="shared" si="9"/>
        <v>243885.4275384928</v>
      </c>
      <c r="R57">
        <f t="shared" si="10"/>
        <v>242616.76454434919</v>
      </c>
      <c r="S57">
        <f t="shared" si="11"/>
        <v>242095.28363165478</v>
      </c>
      <c r="T57">
        <f t="shared" si="12"/>
        <v>240678.84724771831</v>
      </c>
      <c r="U57">
        <f t="shared" si="13"/>
        <v>239716.53541207427</v>
      </c>
      <c r="V57">
        <f t="shared" si="20"/>
        <v>1</v>
      </c>
      <c r="W57">
        <f t="shared" si="21"/>
        <v>0</v>
      </c>
      <c r="X57">
        <f t="shared" si="22"/>
        <v>0</v>
      </c>
      <c r="Y57">
        <f t="shared" si="23"/>
        <v>0</v>
      </c>
      <c r="Z57">
        <f t="shared" si="24"/>
        <v>0</v>
      </c>
      <c r="AA57">
        <f t="shared" si="25"/>
        <v>0</v>
      </c>
      <c r="AC57">
        <f t="shared" si="14"/>
        <v>244587.21984349977</v>
      </c>
      <c r="AD57">
        <f t="shared" si="15"/>
        <v>243885.4275384928</v>
      </c>
      <c r="AE57">
        <f t="shared" si="16"/>
        <v>242616.76454434919</v>
      </c>
      <c r="AF57">
        <f t="shared" si="17"/>
        <v>242095.28363165478</v>
      </c>
      <c r="AG57">
        <f t="shared" si="18"/>
        <v>240678.84724771831</v>
      </c>
      <c r="AH57">
        <f t="shared" si="19"/>
        <v>239716.53541207427</v>
      </c>
      <c r="AI57">
        <f t="shared" si="26"/>
        <v>244587.21984349977</v>
      </c>
    </row>
    <row r="58" spans="2:35" x14ac:dyDescent="0.3">
      <c r="B58">
        <v>15</v>
      </c>
      <c r="C58">
        <v>72693.589800000002</v>
      </c>
      <c r="D58">
        <v>71484.123500000002</v>
      </c>
      <c r="E58">
        <v>71326.098199999993</v>
      </c>
      <c r="F58">
        <v>71097.418999999994</v>
      </c>
      <c r="G58">
        <v>71112.222999999998</v>
      </c>
      <c r="H58">
        <v>71193.397800000006</v>
      </c>
      <c r="I58">
        <v>9.8784583739805125</v>
      </c>
      <c r="J58">
        <v>9.8409231712681358</v>
      </c>
      <c r="K58">
        <v>9.80477904527155</v>
      </c>
      <c r="L58">
        <v>9.7920870213358278</v>
      </c>
      <c r="M58">
        <v>9.7604479740640162</v>
      </c>
      <c r="N58">
        <v>9.7309732842091314</v>
      </c>
      <c r="P58">
        <f t="shared" si="8"/>
        <v>223660.16141941538</v>
      </c>
      <c r="Q58">
        <f t="shared" si="9"/>
        <v>223743.57163804409</v>
      </c>
      <c r="R58">
        <f t="shared" si="10"/>
        <v>222817.27315814648</v>
      </c>
      <c r="S58">
        <f t="shared" si="11"/>
        <v>222665.19164007483</v>
      </c>
      <c r="T58">
        <f t="shared" si="12"/>
        <v>221701.21622192051</v>
      </c>
      <c r="U58">
        <f t="shared" si="13"/>
        <v>220735.80072627394</v>
      </c>
      <c r="V58">
        <f t="shared" si="20"/>
        <v>0</v>
      </c>
      <c r="W58">
        <f t="shared" si="21"/>
        <v>1</v>
      </c>
      <c r="X58">
        <f t="shared" si="22"/>
        <v>0</v>
      </c>
      <c r="Y58">
        <f t="shared" si="23"/>
        <v>0</v>
      </c>
      <c r="Z58">
        <f t="shared" si="24"/>
        <v>0</v>
      </c>
      <c r="AA58">
        <f t="shared" si="25"/>
        <v>0</v>
      </c>
      <c r="AC58">
        <f t="shared" si="14"/>
        <v>223660.16141941538</v>
      </c>
      <c r="AD58">
        <f t="shared" si="15"/>
        <v>223743.57163804409</v>
      </c>
      <c r="AE58">
        <f t="shared" si="16"/>
        <v>222817.27315814648</v>
      </c>
      <c r="AF58">
        <f t="shared" si="17"/>
        <v>222665.19164007483</v>
      </c>
      <c r="AG58">
        <f t="shared" si="18"/>
        <v>221701.21622192051</v>
      </c>
      <c r="AH58">
        <f t="shared" si="19"/>
        <v>220735.80072627394</v>
      </c>
      <c r="AI58">
        <f t="shared" si="26"/>
        <v>223743.57163804409</v>
      </c>
    </row>
    <row r="59" spans="2:35" x14ac:dyDescent="0.3">
      <c r="B59">
        <v>16</v>
      </c>
      <c r="C59">
        <v>69885.631200000003</v>
      </c>
      <c r="D59">
        <v>69589.708400000003</v>
      </c>
      <c r="E59">
        <v>70680.547900000005</v>
      </c>
      <c r="F59">
        <v>70519.2788</v>
      </c>
      <c r="G59">
        <v>71485.898199999996</v>
      </c>
      <c r="H59">
        <v>72516.607199999999</v>
      </c>
      <c r="I59">
        <v>11.237102210096204</v>
      </c>
      <c r="J59">
        <v>11.196644077019657</v>
      </c>
      <c r="K59">
        <v>11.183124153042758</v>
      </c>
      <c r="L59">
        <v>11.162871909699552</v>
      </c>
      <c r="M59">
        <v>11.135015737944391</v>
      </c>
      <c r="N59">
        <v>11.10360841886752</v>
      </c>
      <c r="P59">
        <f t="shared" si="8"/>
        <v>267227.43510288611</v>
      </c>
      <c r="Q59">
        <f t="shared" si="9"/>
        <v>266309.61391058972</v>
      </c>
      <c r="R59">
        <f t="shared" si="10"/>
        <v>264813.17669128272</v>
      </c>
      <c r="S59">
        <f t="shared" si="11"/>
        <v>264366.87849098654</v>
      </c>
      <c r="T59">
        <f t="shared" si="12"/>
        <v>262564.57393833174</v>
      </c>
      <c r="U59">
        <f t="shared" si="13"/>
        <v>260591.64536602559</v>
      </c>
      <c r="V59">
        <f t="shared" si="20"/>
        <v>1</v>
      </c>
      <c r="W59">
        <f t="shared" si="21"/>
        <v>0</v>
      </c>
      <c r="X59">
        <f t="shared" si="22"/>
        <v>0</v>
      </c>
      <c r="Y59">
        <f t="shared" si="23"/>
        <v>0</v>
      </c>
      <c r="Z59">
        <f t="shared" si="24"/>
        <v>0</v>
      </c>
      <c r="AA59">
        <f t="shared" si="25"/>
        <v>0</v>
      </c>
      <c r="AC59">
        <f t="shared" si="14"/>
        <v>267227.43510288611</v>
      </c>
      <c r="AD59">
        <f t="shared" si="15"/>
        <v>266309.61391058972</v>
      </c>
      <c r="AE59">
        <f t="shared" si="16"/>
        <v>264813.17669128272</v>
      </c>
      <c r="AF59">
        <f t="shared" si="17"/>
        <v>264366.87849098654</v>
      </c>
      <c r="AG59">
        <f t="shared" si="18"/>
        <v>262564.57393833174</v>
      </c>
      <c r="AH59">
        <f t="shared" si="19"/>
        <v>260591.64536602559</v>
      </c>
      <c r="AI59">
        <f t="shared" si="26"/>
        <v>267227.43510288611</v>
      </c>
    </row>
    <row r="60" spans="2:35" x14ac:dyDescent="0.3">
      <c r="B60">
        <v>17</v>
      </c>
      <c r="C60">
        <v>79472.862899999993</v>
      </c>
      <c r="D60">
        <v>77625.737599999993</v>
      </c>
      <c r="E60">
        <v>77052.007800000007</v>
      </c>
      <c r="F60">
        <v>76706.029800000004</v>
      </c>
      <c r="G60">
        <v>76212.753299999997</v>
      </c>
      <c r="H60">
        <v>75879.473400000003</v>
      </c>
      <c r="I60">
        <v>10.834483068884541</v>
      </c>
      <c r="J60">
        <v>10.824503915158472</v>
      </c>
      <c r="K60">
        <v>10.813653965031689</v>
      </c>
      <c r="L60">
        <v>10.810775601153496</v>
      </c>
      <c r="M60">
        <v>10.800652092096501</v>
      </c>
      <c r="N60">
        <v>10.793425274846514</v>
      </c>
      <c r="P60">
        <f t="shared" si="8"/>
        <v>245561.62916653621</v>
      </c>
      <c r="Q60">
        <f t="shared" si="9"/>
        <v>247109.37985475414</v>
      </c>
      <c r="R60">
        <f t="shared" si="10"/>
        <v>247357.61115095066</v>
      </c>
      <c r="S60">
        <f t="shared" si="11"/>
        <v>247617.23823460488</v>
      </c>
      <c r="T60">
        <f t="shared" si="12"/>
        <v>247806.80946289503</v>
      </c>
      <c r="U60">
        <f t="shared" si="13"/>
        <v>247923.28484539542</v>
      </c>
      <c r="V60">
        <f t="shared" si="20"/>
        <v>0</v>
      </c>
      <c r="W60">
        <f t="shared" si="21"/>
        <v>0</v>
      </c>
      <c r="X60">
        <f t="shared" si="22"/>
        <v>0</v>
      </c>
      <c r="Y60">
        <f t="shared" si="23"/>
        <v>0</v>
      </c>
      <c r="Z60">
        <f t="shared" si="24"/>
        <v>0</v>
      </c>
      <c r="AA60">
        <f t="shared" si="25"/>
        <v>1</v>
      </c>
      <c r="AC60">
        <f t="shared" si="14"/>
        <v>245561.62916653621</v>
      </c>
      <c r="AD60">
        <f t="shared" si="15"/>
        <v>247109.37985475414</v>
      </c>
      <c r="AE60">
        <f t="shared" si="16"/>
        <v>247357.61115095066</v>
      </c>
      <c r="AF60">
        <f t="shared" si="17"/>
        <v>247617.23823460488</v>
      </c>
      <c r="AG60">
        <f t="shared" si="18"/>
        <v>247806.80946289503</v>
      </c>
      <c r="AH60">
        <f t="shared" si="19"/>
        <v>247923.28484539542</v>
      </c>
      <c r="AI60">
        <f t="shared" si="26"/>
        <v>247923.28484539542</v>
      </c>
    </row>
    <row r="61" spans="2:35" x14ac:dyDescent="0.3">
      <c r="B61">
        <v>18</v>
      </c>
      <c r="C61">
        <v>78285.195600000006</v>
      </c>
      <c r="D61">
        <v>77767.3992</v>
      </c>
      <c r="E61">
        <v>78411.266199999998</v>
      </c>
      <c r="F61">
        <v>78407.368199999997</v>
      </c>
      <c r="G61">
        <v>78819.666899999997</v>
      </c>
      <c r="H61">
        <v>79434.679499999998</v>
      </c>
      <c r="I61">
        <v>10.161614587645387</v>
      </c>
      <c r="J61">
        <v>10.12330535539666</v>
      </c>
      <c r="K61">
        <v>10.087680479549695</v>
      </c>
      <c r="L61">
        <v>10.078750560231729</v>
      </c>
      <c r="M61">
        <v>10.055669915545504</v>
      </c>
      <c r="N61">
        <v>10.021272185796574</v>
      </c>
      <c r="P61">
        <f t="shared" si="8"/>
        <v>226563.24202936157</v>
      </c>
      <c r="Q61">
        <f t="shared" si="9"/>
        <v>225931.76146189979</v>
      </c>
      <c r="R61">
        <f t="shared" si="10"/>
        <v>224219.14818649081</v>
      </c>
      <c r="S61">
        <f t="shared" si="11"/>
        <v>223955.14860695184</v>
      </c>
      <c r="T61">
        <f t="shared" si="12"/>
        <v>222850.43056636513</v>
      </c>
      <c r="U61">
        <f t="shared" si="13"/>
        <v>221203.48607389725</v>
      </c>
      <c r="V61">
        <f t="shared" si="20"/>
        <v>1</v>
      </c>
      <c r="W61">
        <f t="shared" si="21"/>
        <v>0</v>
      </c>
      <c r="X61">
        <f t="shared" si="22"/>
        <v>0</v>
      </c>
      <c r="Y61">
        <f t="shared" si="23"/>
        <v>0</v>
      </c>
      <c r="Z61">
        <f t="shared" si="24"/>
        <v>0</v>
      </c>
      <c r="AA61">
        <f t="shared" si="25"/>
        <v>0</v>
      </c>
      <c r="AC61">
        <f t="shared" si="14"/>
        <v>226563.24202936157</v>
      </c>
      <c r="AD61">
        <f t="shared" si="15"/>
        <v>225931.76146189979</v>
      </c>
      <c r="AE61">
        <f t="shared" si="16"/>
        <v>224219.14818649081</v>
      </c>
      <c r="AF61">
        <f t="shared" si="17"/>
        <v>223955.14860695184</v>
      </c>
      <c r="AG61">
        <f t="shared" si="18"/>
        <v>222850.43056636513</v>
      </c>
      <c r="AH61">
        <f t="shared" si="19"/>
        <v>221203.48607389725</v>
      </c>
      <c r="AI61">
        <f t="shared" si="26"/>
        <v>226563.24202936157</v>
      </c>
    </row>
    <row r="62" spans="2:35" x14ac:dyDescent="0.3">
      <c r="B62">
        <v>19</v>
      </c>
      <c r="C62">
        <v>69249.598599999998</v>
      </c>
      <c r="D62">
        <v>68683.459600000002</v>
      </c>
      <c r="E62">
        <v>69244.189899999998</v>
      </c>
      <c r="F62">
        <v>69426.498500000002</v>
      </c>
      <c r="G62">
        <v>69673.958799999993</v>
      </c>
      <c r="H62">
        <v>70503.421900000001</v>
      </c>
      <c r="I62">
        <v>10.268295407456581</v>
      </c>
      <c r="J62">
        <v>10.24817256535594</v>
      </c>
      <c r="K62">
        <v>10.224954541083585</v>
      </c>
      <c r="L62">
        <v>10.215162805000217</v>
      </c>
      <c r="M62">
        <v>10.203659969187214</v>
      </c>
      <c r="N62">
        <v>10.17610002704019</v>
      </c>
      <c r="P62">
        <f t="shared" si="8"/>
        <v>238799.26362369742</v>
      </c>
      <c r="Q62">
        <f t="shared" si="9"/>
        <v>238761.71736067819</v>
      </c>
      <c r="R62">
        <f t="shared" si="10"/>
        <v>237504.44633250759</v>
      </c>
      <c r="S62">
        <f t="shared" si="11"/>
        <v>237028.38565000653</v>
      </c>
      <c r="T62">
        <f t="shared" si="12"/>
        <v>236435.84027561641</v>
      </c>
      <c r="U62">
        <f t="shared" si="13"/>
        <v>234779.5789112057</v>
      </c>
      <c r="V62">
        <f t="shared" si="20"/>
        <v>1</v>
      </c>
      <c r="W62">
        <f t="shared" si="21"/>
        <v>0</v>
      </c>
      <c r="X62">
        <f t="shared" si="22"/>
        <v>0</v>
      </c>
      <c r="Y62">
        <f t="shared" si="23"/>
        <v>0</v>
      </c>
      <c r="Z62">
        <f t="shared" si="24"/>
        <v>0</v>
      </c>
      <c r="AA62">
        <f t="shared" si="25"/>
        <v>0</v>
      </c>
      <c r="AC62">
        <f t="shared" si="14"/>
        <v>238799.26362369742</v>
      </c>
      <c r="AD62">
        <f t="shared" si="15"/>
        <v>238761.71736067819</v>
      </c>
      <c r="AE62">
        <f t="shared" si="16"/>
        <v>237504.44633250759</v>
      </c>
      <c r="AF62">
        <f t="shared" si="17"/>
        <v>237028.38565000653</v>
      </c>
      <c r="AG62">
        <f t="shared" si="18"/>
        <v>236435.84027561641</v>
      </c>
      <c r="AH62">
        <f t="shared" si="19"/>
        <v>234779.5789112057</v>
      </c>
      <c r="AI62">
        <f t="shared" si="26"/>
        <v>238799.26362369742</v>
      </c>
    </row>
    <row r="63" spans="2:35" x14ac:dyDescent="0.3">
      <c r="B63">
        <v>20</v>
      </c>
      <c r="C63">
        <v>76131.416500000007</v>
      </c>
      <c r="D63">
        <v>75097.958199999994</v>
      </c>
      <c r="E63">
        <v>75257.9283</v>
      </c>
      <c r="F63">
        <v>75080.637900000002</v>
      </c>
      <c r="G63">
        <v>75096.879000000001</v>
      </c>
      <c r="H63">
        <v>75551.658599999995</v>
      </c>
      <c r="I63">
        <v>10.97099534974112</v>
      </c>
      <c r="J63">
        <v>10.910183748405156</v>
      </c>
      <c r="K63">
        <v>10.876508139602727</v>
      </c>
      <c r="L63">
        <v>10.854468736903268</v>
      </c>
      <c r="M63">
        <v>10.825710886725892</v>
      </c>
      <c r="N63">
        <v>10.785980560228605</v>
      </c>
      <c r="P63">
        <f t="shared" si="8"/>
        <v>252998.4439922336</v>
      </c>
      <c r="Q63">
        <f t="shared" si="9"/>
        <v>252207.55425215472</v>
      </c>
      <c r="R63">
        <f t="shared" si="10"/>
        <v>251037.31588808182</v>
      </c>
      <c r="S63">
        <f t="shared" si="11"/>
        <v>250553.42420709805</v>
      </c>
      <c r="T63">
        <f t="shared" si="12"/>
        <v>249674.44760177674</v>
      </c>
      <c r="U63">
        <f t="shared" si="13"/>
        <v>248027.75820685815</v>
      </c>
      <c r="V63">
        <f t="shared" si="20"/>
        <v>1</v>
      </c>
      <c r="W63">
        <f t="shared" si="21"/>
        <v>0</v>
      </c>
      <c r="X63">
        <f t="shared" si="22"/>
        <v>0</v>
      </c>
      <c r="Y63">
        <f t="shared" si="23"/>
        <v>0</v>
      </c>
      <c r="Z63">
        <f t="shared" si="24"/>
        <v>0</v>
      </c>
      <c r="AA63">
        <f t="shared" si="25"/>
        <v>0</v>
      </c>
      <c r="AC63">
        <f t="shared" si="14"/>
        <v>252998.4439922336</v>
      </c>
      <c r="AD63">
        <f t="shared" si="15"/>
        <v>252207.55425215472</v>
      </c>
      <c r="AE63">
        <f t="shared" si="16"/>
        <v>251037.31588808182</v>
      </c>
      <c r="AF63">
        <f t="shared" si="17"/>
        <v>250553.42420709805</v>
      </c>
      <c r="AG63">
        <f t="shared" si="18"/>
        <v>249674.44760177674</v>
      </c>
      <c r="AH63">
        <f t="shared" si="19"/>
        <v>248027.75820685815</v>
      </c>
      <c r="AI63">
        <f t="shared" si="26"/>
        <v>252998.4439922336</v>
      </c>
    </row>
    <row r="64" spans="2:35" x14ac:dyDescent="0.3">
      <c r="B64">
        <v>21</v>
      </c>
      <c r="C64">
        <v>71348.097699999998</v>
      </c>
      <c r="D64">
        <v>70793.866899999994</v>
      </c>
      <c r="E64">
        <v>70966.006299999994</v>
      </c>
      <c r="F64">
        <v>70943.704400000002</v>
      </c>
      <c r="G64">
        <v>71407.360499999995</v>
      </c>
      <c r="H64">
        <v>71934.539000000004</v>
      </c>
      <c r="I64">
        <v>10.334600296400916</v>
      </c>
      <c r="J64">
        <v>10.306016435121903</v>
      </c>
      <c r="K64">
        <v>10.283138288033809</v>
      </c>
      <c r="L64">
        <v>10.268713210725318</v>
      </c>
      <c r="M64">
        <v>10.257237050746211</v>
      </c>
      <c r="N64">
        <v>10.226977521691186</v>
      </c>
      <c r="P64">
        <f t="shared" si="8"/>
        <v>238689.9111920275</v>
      </c>
      <c r="Q64">
        <f t="shared" si="9"/>
        <v>238386.62615365707</v>
      </c>
      <c r="R64">
        <f t="shared" si="10"/>
        <v>237528.14234101429</v>
      </c>
      <c r="S64">
        <f t="shared" si="11"/>
        <v>237117.69192175957</v>
      </c>
      <c r="T64">
        <f t="shared" si="12"/>
        <v>236309.75102238631</v>
      </c>
      <c r="U64">
        <f t="shared" si="13"/>
        <v>234874.78665073559</v>
      </c>
      <c r="V64">
        <f t="shared" si="20"/>
        <v>1</v>
      </c>
      <c r="W64">
        <f t="shared" si="21"/>
        <v>0</v>
      </c>
      <c r="X64">
        <f t="shared" si="22"/>
        <v>0</v>
      </c>
      <c r="Y64">
        <f t="shared" si="23"/>
        <v>0</v>
      </c>
      <c r="Z64">
        <f t="shared" si="24"/>
        <v>0</v>
      </c>
      <c r="AA64">
        <f t="shared" si="25"/>
        <v>0</v>
      </c>
      <c r="AC64">
        <f t="shared" si="14"/>
        <v>238689.9111920275</v>
      </c>
      <c r="AD64">
        <f t="shared" si="15"/>
        <v>238386.62615365707</v>
      </c>
      <c r="AE64">
        <f t="shared" si="16"/>
        <v>237528.14234101429</v>
      </c>
      <c r="AF64">
        <f t="shared" si="17"/>
        <v>237117.69192175957</v>
      </c>
      <c r="AG64">
        <f t="shared" si="18"/>
        <v>236309.75102238631</v>
      </c>
      <c r="AH64">
        <f t="shared" si="19"/>
        <v>234874.78665073559</v>
      </c>
      <c r="AI64">
        <f t="shared" si="26"/>
        <v>238689.9111920275</v>
      </c>
    </row>
    <row r="65" spans="2:35" x14ac:dyDescent="0.3">
      <c r="B65">
        <v>22</v>
      </c>
      <c r="C65">
        <v>71828.4859</v>
      </c>
      <c r="D65">
        <v>70777.930699999997</v>
      </c>
      <c r="E65">
        <v>70987.576799999995</v>
      </c>
      <c r="F65">
        <v>70982.965400000001</v>
      </c>
      <c r="G65">
        <v>70943.766399999993</v>
      </c>
      <c r="H65">
        <v>71366.746799999994</v>
      </c>
      <c r="I65">
        <v>9.5055087599150223</v>
      </c>
      <c r="J65">
        <v>9.4803881702514499</v>
      </c>
      <c r="K65">
        <v>9.4693777104969552</v>
      </c>
      <c r="L65">
        <v>9.4564928950549625</v>
      </c>
      <c r="M65">
        <v>9.4468970053219472</v>
      </c>
      <c r="N65">
        <v>9.4298570839373337</v>
      </c>
      <c r="P65">
        <f t="shared" si="8"/>
        <v>213336.77689745065</v>
      </c>
      <c r="Q65">
        <f t="shared" si="9"/>
        <v>213633.71440754351</v>
      </c>
      <c r="R65">
        <f t="shared" si="10"/>
        <v>213093.75451490865</v>
      </c>
      <c r="S65">
        <f t="shared" si="11"/>
        <v>212711.8214516489</v>
      </c>
      <c r="T65">
        <f t="shared" si="12"/>
        <v>212463.14375965841</v>
      </c>
      <c r="U65">
        <f t="shared" si="13"/>
        <v>211528.96571812002</v>
      </c>
      <c r="V65">
        <f t="shared" si="20"/>
        <v>0</v>
      </c>
      <c r="W65">
        <f t="shared" si="21"/>
        <v>1</v>
      </c>
      <c r="X65">
        <f t="shared" si="22"/>
        <v>0</v>
      </c>
      <c r="Y65">
        <f t="shared" si="23"/>
        <v>0</v>
      </c>
      <c r="Z65">
        <f t="shared" si="24"/>
        <v>0</v>
      </c>
      <c r="AA65">
        <f t="shared" si="25"/>
        <v>0</v>
      </c>
      <c r="AC65">
        <f t="shared" si="14"/>
        <v>213336.77689745065</v>
      </c>
      <c r="AD65">
        <f t="shared" si="15"/>
        <v>213633.71440754351</v>
      </c>
      <c r="AE65">
        <f t="shared" si="16"/>
        <v>213093.75451490865</v>
      </c>
      <c r="AF65">
        <f t="shared" si="17"/>
        <v>212711.8214516489</v>
      </c>
      <c r="AG65">
        <f t="shared" si="18"/>
        <v>212463.14375965841</v>
      </c>
      <c r="AH65">
        <f t="shared" si="19"/>
        <v>211528.96571812002</v>
      </c>
      <c r="AI65">
        <f t="shared" si="26"/>
        <v>213633.71440754351</v>
      </c>
    </row>
    <row r="66" spans="2:35" x14ac:dyDescent="0.3">
      <c r="B66">
        <v>23</v>
      </c>
      <c r="C66">
        <v>76924.643899999995</v>
      </c>
      <c r="D66">
        <v>76149.746400000004</v>
      </c>
      <c r="E66">
        <v>76531.430399999997</v>
      </c>
      <c r="F66">
        <v>76497.8698</v>
      </c>
      <c r="G66">
        <v>76743.238700000002</v>
      </c>
      <c r="H66">
        <v>77139.745500000005</v>
      </c>
      <c r="I66">
        <v>10.550253546767076</v>
      </c>
      <c r="J66">
        <v>10.532228307379359</v>
      </c>
      <c r="K66">
        <v>10.517297341844451</v>
      </c>
      <c r="L66">
        <v>10.510440106959603</v>
      </c>
      <c r="M66">
        <v>10.495974481914807</v>
      </c>
      <c r="N66">
        <v>10.47994979928232</v>
      </c>
      <c r="P66">
        <f t="shared" si="8"/>
        <v>239582.9625030123</v>
      </c>
      <c r="Q66">
        <f t="shared" si="9"/>
        <v>239817.10282138077</v>
      </c>
      <c r="R66">
        <f t="shared" si="10"/>
        <v>238987.48985533352</v>
      </c>
      <c r="S66">
        <f t="shared" si="11"/>
        <v>238815.33340878808</v>
      </c>
      <c r="T66">
        <f t="shared" si="12"/>
        <v>238135.99575744424</v>
      </c>
      <c r="U66">
        <f t="shared" si="13"/>
        <v>237258.74847846956</v>
      </c>
      <c r="V66">
        <f t="shared" si="20"/>
        <v>0</v>
      </c>
      <c r="W66">
        <f t="shared" si="21"/>
        <v>1</v>
      </c>
      <c r="X66">
        <f t="shared" si="22"/>
        <v>0</v>
      </c>
      <c r="Y66">
        <f t="shared" si="23"/>
        <v>0</v>
      </c>
      <c r="Z66">
        <f t="shared" si="24"/>
        <v>0</v>
      </c>
      <c r="AA66">
        <f t="shared" si="25"/>
        <v>0</v>
      </c>
      <c r="AC66">
        <f t="shared" si="14"/>
        <v>239582.9625030123</v>
      </c>
      <c r="AD66">
        <f t="shared" si="15"/>
        <v>239817.10282138077</v>
      </c>
      <c r="AE66">
        <f t="shared" si="16"/>
        <v>238987.48985533352</v>
      </c>
      <c r="AF66">
        <f t="shared" si="17"/>
        <v>238815.33340878808</v>
      </c>
      <c r="AG66">
        <f t="shared" si="18"/>
        <v>238135.99575744424</v>
      </c>
      <c r="AH66">
        <f t="shared" si="19"/>
        <v>237258.74847846956</v>
      </c>
      <c r="AI66">
        <f t="shared" si="26"/>
        <v>239817.10282138077</v>
      </c>
    </row>
    <row r="67" spans="2:35" x14ac:dyDescent="0.3">
      <c r="B67">
        <v>24</v>
      </c>
      <c r="C67">
        <v>80056.346399999995</v>
      </c>
      <c r="D67">
        <v>80002.589399999997</v>
      </c>
      <c r="E67">
        <v>80637.556100000002</v>
      </c>
      <c r="F67">
        <v>80912.819300000003</v>
      </c>
      <c r="G67">
        <v>81489.708899999998</v>
      </c>
      <c r="H67">
        <v>82319.497000000003</v>
      </c>
      <c r="I67">
        <v>10.088811943564924</v>
      </c>
      <c r="J67">
        <v>10.050424266474096</v>
      </c>
      <c r="K67">
        <v>10.034749917372196</v>
      </c>
      <c r="L67">
        <v>10.017397023925751</v>
      </c>
      <c r="M67">
        <v>9.9989050328495868</v>
      </c>
      <c r="N67">
        <v>9.9731648392665413</v>
      </c>
      <c r="P67">
        <f t="shared" si="8"/>
        <v>222608.01190694771</v>
      </c>
      <c r="Q67">
        <f t="shared" si="9"/>
        <v>221510.1385942229</v>
      </c>
      <c r="R67">
        <f t="shared" si="10"/>
        <v>220404.94142116589</v>
      </c>
      <c r="S67">
        <f t="shared" si="11"/>
        <v>219609.09141777255</v>
      </c>
      <c r="T67">
        <f t="shared" si="12"/>
        <v>218477.44208548762</v>
      </c>
      <c r="U67">
        <f t="shared" si="13"/>
        <v>216875.44817799624</v>
      </c>
      <c r="V67">
        <f t="shared" si="20"/>
        <v>1</v>
      </c>
      <c r="W67">
        <f t="shared" si="21"/>
        <v>0</v>
      </c>
      <c r="X67">
        <f t="shared" si="22"/>
        <v>0</v>
      </c>
      <c r="Y67">
        <f t="shared" si="23"/>
        <v>0</v>
      </c>
      <c r="Z67">
        <f t="shared" si="24"/>
        <v>0</v>
      </c>
      <c r="AA67">
        <f t="shared" si="25"/>
        <v>0</v>
      </c>
      <c r="AC67">
        <f t="shared" si="14"/>
        <v>222608.01190694771</v>
      </c>
      <c r="AD67">
        <f t="shared" si="15"/>
        <v>221510.1385942229</v>
      </c>
      <c r="AE67">
        <f t="shared" si="16"/>
        <v>220404.94142116589</v>
      </c>
      <c r="AF67">
        <f t="shared" si="17"/>
        <v>219609.09141777255</v>
      </c>
      <c r="AG67">
        <f t="shared" si="18"/>
        <v>218477.44208548762</v>
      </c>
      <c r="AH67">
        <f t="shared" si="19"/>
        <v>216875.44817799624</v>
      </c>
      <c r="AI67">
        <f t="shared" si="26"/>
        <v>222608.01190694771</v>
      </c>
    </row>
    <row r="68" spans="2:35" x14ac:dyDescent="0.3">
      <c r="B68">
        <v>25</v>
      </c>
      <c r="C68">
        <v>74407.444000000003</v>
      </c>
      <c r="D68">
        <v>73949.179900000003</v>
      </c>
      <c r="E68">
        <v>74655.951300000001</v>
      </c>
      <c r="F68">
        <v>74684.894400000005</v>
      </c>
      <c r="G68">
        <v>75295.040200000003</v>
      </c>
      <c r="H68">
        <v>75762.706999999995</v>
      </c>
      <c r="I68">
        <v>10.143362984894193</v>
      </c>
      <c r="J68">
        <v>10.104375488894254</v>
      </c>
      <c r="K68">
        <v>10.069265969464553</v>
      </c>
      <c r="L68">
        <v>10.052759523322045</v>
      </c>
      <c r="M68">
        <v>10.018900081907068</v>
      </c>
      <c r="N68">
        <v>9.9823908696875687</v>
      </c>
      <c r="P68">
        <f t="shared" si="8"/>
        <v>229893.44554682577</v>
      </c>
      <c r="Q68">
        <f t="shared" si="9"/>
        <v>229182.08476682764</v>
      </c>
      <c r="R68">
        <f t="shared" si="10"/>
        <v>227422.02778393659</v>
      </c>
      <c r="S68">
        <f t="shared" si="11"/>
        <v>226897.89129966137</v>
      </c>
      <c r="T68">
        <f t="shared" si="12"/>
        <v>225271.96225721203</v>
      </c>
      <c r="U68">
        <f t="shared" si="13"/>
        <v>223709.01909062709</v>
      </c>
      <c r="V68">
        <f t="shared" si="20"/>
        <v>1</v>
      </c>
      <c r="W68">
        <f t="shared" si="21"/>
        <v>0</v>
      </c>
      <c r="X68">
        <f t="shared" si="22"/>
        <v>0</v>
      </c>
      <c r="Y68">
        <f t="shared" si="23"/>
        <v>0</v>
      </c>
      <c r="Z68">
        <f t="shared" si="24"/>
        <v>0</v>
      </c>
      <c r="AA68">
        <f t="shared" si="25"/>
        <v>0</v>
      </c>
      <c r="AC68">
        <f t="shared" si="14"/>
        <v>229893.44554682577</v>
      </c>
      <c r="AD68">
        <f t="shared" si="15"/>
        <v>229182.08476682764</v>
      </c>
      <c r="AE68">
        <f t="shared" si="16"/>
        <v>227422.02778393659</v>
      </c>
      <c r="AF68">
        <f t="shared" si="17"/>
        <v>226897.89129966137</v>
      </c>
      <c r="AG68">
        <f t="shared" si="18"/>
        <v>225271.96225721203</v>
      </c>
      <c r="AH68">
        <f t="shared" si="19"/>
        <v>223709.01909062709</v>
      </c>
      <c r="AI68">
        <f t="shared" si="26"/>
        <v>229893.44554682577</v>
      </c>
    </row>
    <row r="69" spans="2:35" x14ac:dyDescent="0.3">
      <c r="B69">
        <v>26</v>
      </c>
      <c r="C69">
        <v>76994.237699999998</v>
      </c>
      <c r="D69">
        <v>75823.566099999996</v>
      </c>
      <c r="E69">
        <v>76008.192599999995</v>
      </c>
      <c r="F69">
        <v>75722.009399999995</v>
      </c>
      <c r="G69">
        <v>75761.315199999997</v>
      </c>
      <c r="H69">
        <v>75845.764599999995</v>
      </c>
      <c r="I69">
        <v>10.454221149491232</v>
      </c>
      <c r="J69">
        <v>10.425563999767276</v>
      </c>
      <c r="K69">
        <v>10.40028307626395</v>
      </c>
      <c r="L69">
        <v>10.392722023735301</v>
      </c>
      <c r="M69">
        <v>10.372674129797657</v>
      </c>
      <c r="N69">
        <v>10.3461755759224</v>
      </c>
      <c r="P69">
        <f t="shared" si="8"/>
        <v>236632.39678473695</v>
      </c>
      <c r="Q69">
        <f t="shared" si="9"/>
        <v>236943.35389301827</v>
      </c>
      <c r="R69">
        <f t="shared" si="10"/>
        <v>236000.29968791851</v>
      </c>
      <c r="S69">
        <f t="shared" si="11"/>
        <v>236059.65131205902</v>
      </c>
      <c r="T69">
        <f t="shared" si="12"/>
        <v>235418.90869392973</v>
      </c>
      <c r="U69">
        <f t="shared" si="13"/>
        <v>234539.50267767202</v>
      </c>
      <c r="V69">
        <f t="shared" si="20"/>
        <v>0</v>
      </c>
      <c r="W69">
        <f t="shared" si="21"/>
        <v>1</v>
      </c>
      <c r="X69">
        <f t="shared" si="22"/>
        <v>0</v>
      </c>
      <c r="Y69">
        <f t="shared" si="23"/>
        <v>0</v>
      </c>
      <c r="Z69">
        <f t="shared" si="24"/>
        <v>0</v>
      </c>
      <c r="AA69">
        <f t="shared" si="25"/>
        <v>0</v>
      </c>
      <c r="AC69">
        <f t="shared" si="14"/>
        <v>236632.39678473695</v>
      </c>
      <c r="AD69">
        <f t="shared" si="15"/>
        <v>236943.35389301827</v>
      </c>
      <c r="AE69">
        <f t="shared" si="16"/>
        <v>236000.29968791851</v>
      </c>
      <c r="AF69">
        <f t="shared" si="17"/>
        <v>236059.65131205902</v>
      </c>
      <c r="AG69">
        <f t="shared" si="18"/>
        <v>235418.90869392973</v>
      </c>
      <c r="AH69">
        <f t="shared" si="19"/>
        <v>234539.50267767202</v>
      </c>
      <c r="AI69">
        <f t="shared" si="26"/>
        <v>236943.35389301827</v>
      </c>
    </row>
    <row r="70" spans="2:35" x14ac:dyDescent="0.3">
      <c r="B70">
        <v>27</v>
      </c>
      <c r="C70">
        <v>83456.255999999994</v>
      </c>
      <c r="D70">
        <v>82425.069799999997</v>
      </c>
      <c r="E70">
        <v>82503.723899999997</v>
      </c>
      <c r="F70">
        <v>82477.877299999993</v>
      </c>
      <c r="G70">
        <v>82741.919200000004</v>
      </c>
      <c r="H70">
        <v>82917.376600000003</v>
      </c>
      <c r="I70">
        <v>9.9243488051348958</v>
      </c>
      <c r="J70">
        <v>9.9045696649236401</v>
      </c>
      <c r="K70">
        <v>9.8681669198850201</v>
      </c>
      <c r="L70">
        <v>9.8615860530843769</v>
      </c>
      <c r="M70">
        <v>9.8476777529026762</v>
      </c>
      <c r="N70">
        <v>9.814286709259191</v>
      </c>
      <c r="P70">
        <f t="shared" si="8"/>
        <v>214274.20815404691</v>
      </c>
      <c r="Q70">
        <f t="shared" si="9"/>
        <v>214712.02014770923</v>
      </c>
      <c r="R70">
        <f t="shared" si="10"/>
        <v>213541.28369655064</v>
      </c>
      <c r="S70">
        <f t="shared" si="11"/>
        <v>213369.7042925313</v>
      </c>
      <c r="T70">
        <f t="shared" si="12"/>
        <v>212688.41338708031</v>
      </c>
      <c r="U70">
        <f t="shared" si="13"/>
        <v>211511.2246777757</v>
      </c>
      <c r="V70">
        <f t="shared" si="20"/>
        <v>0</v>
      </c>
      <c r="W70">
        <f t="shared" si="21"/>
        <v>1</v>
      </c>
      <c r="X70">
        <f t="shared" si="22"/>
        <v>0</v>
      </c>
      <c r="Y70">
        <f t="shared" si="23"/>
        <v>0</v>
      </c>
      <c r="Z70">
        <f t="shared" si="24"/>
        <v>0</v>
      </c>
      <c r="AA70">
        <f t="shared" si="25"/>
        <v>0</v>
      </c>
      <c r="AC70">
        <f t="shared" si="14"/>
        <v>214274.20815404691</v>
      </c>
      <c r="AD70">
        <f t="shared" si="15"/>
        <v>214712.02014770923</v>
      </c>
      <c r="AE70">
        <f t="shared" si="16"/>
        <v>213541.28369655064</v>
      </c>
      <c r="AF70">
        <f t="shared" si="17"/>
        <v>213369.7042925313</v>
      </c>
      <c r="AG70">
        <f t="shared" si="18"/>
        <v>212688.41338708031</v>
      </c>
      <c r="AH70">
        <f t="shared" si="19"/>
        <v>211511.2246777757</v>
      </c>
      <c r="AI70">
        <f t="shared" si="26"/>
        <v>214712.02014770923</v>
      </c>
    </row>
    <row r="71" spans="2:35" x14ac:dyDescent="0.3">
      <c r="B71">
        <v>28</v>
      </c>
      <c r="C71">
        <v>78659.497799999997</v>
      </c>
      <c r="D71">
        <v>77520.712599999999</v>
      </c>
      <c r="E71">
        <v>77587.823099999994</v>
      </c>
      <c r="F71">
        <v>77387.766799999998</v>
      </c>
      <c r="G71">
        <v>77711.858200000002</v>
      </c>
      <c r="H71">
        <v>77620.676000000007</v>
      </c>
      <c r="I71">
        <v>10.706790588003654</v>
      </c>
      <c r="J71">
        <v>10.657328645578804</v>
      </c>
      <c r="K71">
        <v>10.634230568134544</v>
      </c>
      <c r="L71">
        <v>10.60849870825731</v>
      </c>
      <c r="M71">
        <v>10.57609253600441</v>
      </c>
      <c r="N71">
        <v>10.541440712237909</v>
      </c>
      <c r="P71">
        <f t="shared" si="8"/>
        <v>242544.21984010964</v>
      </c>
      <c r="Q71">
        <f t="shared" si="9"/>
        <v>242199.14676736415</v>
      </c>
      <c r="R71">
        <f t="shared" si="10"/>
        <v>241439.09394403634</v>
      </c>
      <c r="S71">
        <f t="shared" si="11"/>
        <v>240867.19444771932</v>
      </c>
      <c r="T71">
        <f t="shared" si="12"/>
        <v>239570.91788013227</v>
      </c>
      <c r="U71">
        <f t="shared" si="13"/>
        <v>238622.54536713727</v>
      </c>
      <c r="V71">
        <f t="shared" si="20"/>
        <v>1</v>
      </c>
      <c r="W71">
        <f t="shared" si="21"/>
        <v>0</v>
      </c>
      <c r="X71">
        <f t="shared" si="22"/>
        <v>0</v>
      </c>
      <c r="Y71">
        <f t="shared" si="23"/>
        <v>0</v>
      </c>
      <c r="Z71">
        <f t="shared" si="24"/>
        <v>0</v>
      </c>
      <c r="AA71">
        <f t="shared" si="25"/>
        <v>0</v>
      </c>
      <c r="AC71">
        <f t="shared" si="14"/>
        <v>242544.21984010964</v>
      </c>
      <c r="AD71">
        <f t="shared" si="15"/>
        <v>242199.14676736415</v>
      </c>
      <c r="AE71">
        <f t="shared" si="16"/>
        <v>241439.09394403634</v>
      </c>
      <c r="AF71">
        <f t="shared" si="17"/>
        <v>240867.19444771932</v>
      </c>
      <c r="AG71">
        <f t="shared" si="18"/>
        <v>239570.91788013227</v>
      </c>
      <c r="AH71">
        <f t="shared" si="19"/>
        <v>238622.54536713727</v>
      </c>
      <c r="AI71">
        <f t="shared" si="26"/>
        <v>242544.21984010964</v>
      </c>
    </row>
    <row r="72" spans="2:35" x14ac:dyDescent="0.3">
      <c r="B72">
        <v>29</v>
      </c>
      <c r="C72">
        <v>82768.797399999996</v>
      </c>
      <c r="D72">
        <v>82268.915900000007</v>
      </c>
      <c r="E72">
        <v>82729.709199999998</v>
      </c>
      <c r="F72">
        <v>82892.083499999993</v>
      </c>
      <c r="G72">
        <v>83192.950400000002</v>
      </c>
      <c r="H72">
        <v>83692.468099999998</v>
      </c>
      <c r="I72">
        <v>10.364872014538433</v>
      </c>
      <c r="J72">
        <v>10.306353443096583</v>
      </c>
      <c r="K72">
        <v>10.26880073235626</v>
      </c>
      <c r="L72">
        <v>10.241427659244078</v>
      </c>
      <c r="M72">
        <v>10.21212059535044</v>
      </c>
      <c r="N72">
        <v>10.173877628581778</v>
      </c>
      <c r="P72">
        <f t="shared" si="8"/>
        <v>228177.36303615302</v>
      </c>
      <c r="Q72">
        <f t="shared" si="9"/>
        <v>226921.6873928975</v>
      </c>
      <c r="R72">
        <f t="shared" si="10"/>
        <v>225334.3127706878</v>
      </c>
      <c r="S72">
        <f t="shared" si="11"/>
        <v>224350.74627732235</v>
      </c>
      <c r="T72">
        <f t="shared" si="12"/>
        <v>223170.66746051321</v>
      </c>
      <c r="U72">
        <f t="shared" si="13"/>
        <v>221523.86075745331</v>
      </c>
      <c r="V72">
        <f t="shared" si="20"/>
        <v>1</v>
      </c>
      <c r="W72">
        <f t="shared" si="21"/>
        <v>0</v>
      </c>
      <c r="X72">
        <f t="shared" si="22"/>
        <v>0</v>
      </c>
      <c r="Y72">
        <f t="shared" si="23"/>
        <v>0</v>
      </c>
      <c r="Z72">
        <f t="shared" si="24"/>
        <v>0</v>
      </c>
      <c r="AA72">
        <f t="shared" si="25"/>
        <v>0</v>
      </c>
      <c r="AC72">
        <f t="shared" si="14"/>
        <v>228177.36303615302</v>
      </c>
      <c r="AD72">
        <f t="shared" si="15"/>
        <v>226921.6873928975</v>
      </c>
      <c r="AE72">
        <f t="shared" si="16"/>
        <v>225334.3127706878</v>
      </c>
      <c r="AF72">
        <f t="shared" si="17"/>
        <v>224350.74627732235</v>
      </c>
      <c r="AG72">
        <f t="shared" si="18"/>
        <v>223170.66746051321</v>
      </c>
      <c r="AH72">
        <f t="shared" si="19"/>
        <v>221523.86075745331</v>
      </c>
      <c r="AI72">
        <f t="shared" si="26"/>
        <v>228177.36303615302</v>
      </c>
    </row>
    <row r="73" spans="2:35" x14ac:dyDescent="0.3">
      <c r="B73">
        <v>30</v>
      </c>
      <c r="C73">
        <v>80008.895300000004</v>
      </c>
      <c r="D73">
        <v>79208.9041</v>
      </c>
      <c r="E73">
        <v>79474.381999999998</v>
      </c>
      <c r="F73">
        <v>79463.7647</v>
      </c>
      <c r="G73">
        <v>79659.506599999993</v>
      </c>
      <c r="H73">
        <v>80192.702399999995</v>
      </c>
      <c r="I73">
        <v>11.073697101432849</v>
      </c>
      <c r="J73">
        <v>11.060068406231796</v>
      </c>
      <c r="K73">
        <v>11.048473514737662</v>
      </c>
      <c r="L73">
        <v>11.046604785675552</v>
      </c>
      <c r="M73">
        <v>11.033690286937802</v>
      </c>
      <c r="N73">
        <v>11.024298667224159</v>
      </c>
      <c r="P73">
        <f t="shared" si="8"/>
        <v>252202.01774298548</v>
      </c>
      <c r="Q73">
        <f t="shared" si="9"/>
        <v>252593.14808695391</v>
      </c>
      <c r="R73">
        <f t="shared" si="10"/>
        <v>251979.82344212988</v>
      </c>
      <c r="S73">
        <f t="shared" si="11"/>
        <v>251934.37887026655</v>
      </c>
      <c r="T73">
        <f t="shared" si="12"/>
        <v>251351.20200813407</v>
      </c>
      <c r="U73">
        <f t="shared" si="13"/>
        <v>250536.25761672476</v>
      </c>
      <c r="V73">
        <f t="shared" si="20"/>
        <v>0</v>
      </c>
      <c r="W73">
        <f t="shared" si="21"/>
        <v>1</v>
      </c>
      <c r="X73">
        <f t="shared" si="22"/>
        <v>0</v>
      </c>
      <c r="Y73">
        <f t="shared" si="23"/>
        <v>0</v>
      </c>
      <c r="Z73">
        <f t="shared" si="24"/>
        <v>0</v>
      </c>
      <c r="AA73">
        <f t="shared" si="25"/>
        <v>0</v>
      </c>
      <c r="AC73">
        <f t="shared" si="14"/>
        <v>252202.01774298548</v>
      </c>
      <c r="AD73">
        <f t="shared" si="15"/>
        <v>252593.14808695391</v>
      </c>
      <c r="AE73">
        <f t="shared" si="16"/>
        <v>251979.82344212988</v>
      </c>
      <c r="AF73">
        <f t="shared" si="17"/>
        <v>251934.37887026655</v>
      </c>
      <c r="AG73">
        <f t="shared" si="18"/>
        <v>251351.20200813407</v>
      </c>
      <c r="AH73">
        <f t="shared" si="19"/>
        <v>250536.25761672476</v>
      </c>
      <c r="AI73">
        <f t="shared" si="26"/>
        <v>252593.14808695391</v>
      </c>
    </row>
    <row r="74" spans="2:35" x14ac:dyDescent="0.3">
      <c r="B74">
        <v>31</v>
      </c>
      <c r="C74">
        <v>72091.272200000007</v>
      </c>
      <c r="D74">
        <v>71643.987099999998</v>
      </c>
      <c r="E74">
        <v>72729.1149</v>
      </c>
      <c r="F74">
        <v>72776.060200000007</v>
      </c>
      <c r="G74">
        <v>73386.247600000002</v>
      </c>
      <c r="H74">
        <v>74352.599100000007</v>
      </c>
      <c r="I74">
        <v>10.076796626158975</v>
      </c>
      <c r="J74">
        <v>10.034510455840193</v>
      </c>
      <c r="K74">
        <v>9.9955646781224186</v>
      </c>
      <c r="L74">
        <v>9.9813563849049061</v>
      </c>
      <c r="M74">
        <v>9.9497486516101112</v>
      </c>
      <c r="N74">
        <v>9.9114469943670329</v>
      </c>
      <c r="P74">
        <f t="shared" si="8"/>
        <v>230212.62658476923</v>
      </c>
      <c r="Q74">
        <f t="shared" si="9"/>
        <v>229391.32657520581</v>
      </c>
      <c r="R74">
        <f t="shared" si="10"/>
        <v>227137.8254436726</v>
      </c>
      <c r="S74">
        <f t="shared" si="11"/>
        <v>226664.63134714717</v>
      </c>
      <c r="T74">
        <f t="shared" si="12"/>
        <v>225106.21194830333</v>
      </c>
      <c r="U74">
        <f t="shared" si="13"/>
        <v>222990.81073101098</v>
      </c>
      <c r="V74">
        <f t="shared" si="20"/>
        <v>1</v>
      </c>
      <c r="W74">
        <f t="shared" si="21"/>
        <v>0</v>
      </c>
      <c r="X74">
        <f t="shared" si="22"/>
        <v>0</v>
      </c>
      <c r="Y74">
        <f t="shared" si="23"/>
        <v>0</v>
      </c>
      <c r="Z74">
        <f t="shared" si="24"/>
        <v>0</v>
      </c>
      <c r="AA74">
        <f t="shared" si="25"/>
        <v>0</v>
      </c>
      <c r="AC74">
        <f t="shared" si="14"/>
        <v>230212.62658476923</v>
      </c>
      <c r="AD74">
        <f t="shared" si="15"/>
        <v>229391.32657520581</v>
      </c>
      <c r="AE74">
        <f t="shared" si="16"/>
        <v>227137.8254436726</v>
      </c>
      <c r="AF74">
        <f t="shared" si="17"/>
        <v>226664.63134714717</v>
      </c>
      <c r="AG74">
        <f t="shared" si="18"/>
        <v>225106.21194830333</v>
      </c>
      <c r="AH74">
        <f t="shared" si="19"/>
        <v>222990.81073101098</v>
      </c>
      <c r="AI74">
        <f t="shared" si="26"/>
        <v>230212.62658476923</v>
      </c>
    </row>
    <row r="75" spans="2:35" x14ac:dyDescent="0.3">
      <c r="B75">
        <v>32</v>
      </c>
      <c r="C75">
        <v>71086.001999999993</v>
      </c>
      <c r="D75">
        <v>71009.482300000003</v>
      </c>
      <c r="E75">
        <v>71548.528399999996</v>
      </c>
      <c r="F75">
        <v>71820.3223</v>
      </c>
      <c r="G75">
        <v>72254.832899999994</v>
      </c>
      <c r="H75">
        <v>73075.570000000007</v>
      </c>
      <c r="I75">
        <v>9.2640122912400695</v>
      </c>
      <c r="J75">
        <v>9.245683846443816</v>
      </c>
      <c r="K75">
        <v>9.2340132212887713</v>
      </c>
      <c r="L75">
        <v>9.2243366031297871</v>
      </c>
      <c r="M75">
        <v>9.2185491934965338</v>
      </c>
      <c r="N75">
        <v>9.2024787825701555</v>
      </c>
      <c r="P75">
        <f t="shared" si="8"/>
        <v>206834.3667372021</v>
      </c>
      <c r="Q75">
        <f t="shared" si="9"/>
        <v>206361.03309331447</v>
      </c>
      <c r="R75">
        <f t="shared" si="10"/>
        <v>205471.86823866313</v>
      </c>
      <c r="S75">
        <f t="shared" si="11"/>
        <v>204909.77579389361</v>
      </c>
      <c r="T75">
        <f t="shared" si="12"/>
        <v>204301.64290489606</v>
      </c>
      <c r="U75">
        <f t="shared" si="13"/>
        <v>202998.79347710469</v>
      </c>
      <c r="V75">
        <f t="shared" si="20"/>
        <v>1</v>
      </c>
      <c r="W75">
        <f t="shared" si="21"/>
        <v>0</v>
      </c>
      <c r="X75">
        <f t="shared" si="22"/>
        <v>0</v>
      </c>
      <c r="Y75">
        <f t="shared" si="23"/>
        <v>0</v>
      </c>
      <c r="Z75">
        <f t="shared" si="24"/>
        <v>0</v>
      </c>
      <c r="AA75">
        <f t="shared" si="25"/>
        <v>0</v>
      </c>
      <c r="AC75">
        <f t="shared" si="14"/>
        <v>206834.3667372021</v>
      </c>
      <c r="AD75">
        <f t="shared" si="15"/>
        <v>206361.03309331447</v>
      </c>
      <c r="AE75">
        <f t="shared" si="16"/>
        <v>205471.86823866313</v>
      </c>
      <c r="AF75">
        <f t="shared" si="17"/>
        <v>204909.77579389361</v>
      </c>
      <c r="AG75">
        <f t="shared" si="18"/>
        <v>204301.64290489606</v>
      </c>
      <c r="AH75">
        <f t="shared" si="19"/>
        <v>202998.79347710469</v>
      </c>
      <c r="AI75">
        <f t="shared" si="26"/>
        <v>206834.3667372021</v>
      </c>
    </row>
    <row r="76" spans="2:35" x14ac:dyDescent="0.3">
      <c r="B76">
        <v>33</v>
      </c>
      <c r="C76">
        <v>73011.764299999995</v>
      </c>
      <c r="D76">
        <v>73013.679099999994</v>
      </c>
      <c r="E76">
        <v>73756.488700000002</v>
      </c>
      <c r="F76">
        <v>74168.877099999998</v>
      </c>
      <c r="G76">
        <v>74756.482499999998</v>
      </c>
      <c r="H76">
        <v>75742.805800000002</v>
      </c>
      <c r="I76">
        <v>9.9496473212006791</v>
      </c>
      <c r="J76">
        <v>9.9018127257350148</v>
      </c>
      <c r="K76">
        <v>9.8705619954019923</v>
      </c>
      <c r="L76">
        <v>9.8551036547682074</v>
      </c>
      <c r="M76">
        <v>9.8379904309175661</v>
      </c>
      <c r="N76">
        <v>9.7932030095852038</v>
      </c>
      <c r="P76">
        <f t="shared" si="8"/>
        <v>225477.6553360204</v>
      </c>
      <c r="Q76">
        <f t="shared" si="9"/>
        <v>224040.70267205045</v>
      </c>
      <c r="R76">
        <f t="shared" si="10"/>
        <v>222360.37116205978</v>
      </c>
      <c r="S76">
        <f t="shared" si="11"/>
        <v>221484.23254304624</v>
      </c>
      <c r="T76">
        <f t="shared" si="12"/>
        <v>220383.23042752699</v>
      </c>
      <c r="U76">
        <f t="shared" si="13"/>
        <v>218053.28448755611</v>
      </c>
      <c r="V76">
        <f t="shared" si="20"/>
        <v>1</v>
      </c>
      <c r="W76">
        <f t="shared" si="21"/>
        <v>0</v>
      </c>
      <c r="X76">
        <f t="shared" si="22"/>
        <v>0</v>
      </c>
      <c r="Y76">
        <f t="shared" si="23"/>
        <v>0</v>
      </c>
      <c r="Z76">
        <f t="shared" si="24"/>
        <v>0</v>
      </c>
      <c r="AA76">
        <f t="shared" si="25"/>
        <v>0</v>
      </c>
      <c r="AC76">
        <f t="shared" si="14"/>
        <v>225477.6553360204</v>
      </c>
      <c r="AD76">
        <f t="shared" si="15"/>
        <v>224040.70267205045</v>
      </c>
      <c r="AE76">
        <f t="shared" si="16"/>
        <v>222360.37116205978</v>
      </c>
      <c r="AF76">
        <f t="shared" si="17"/>
        <v>221484.23254304624</v>
      </c>
      <c r="AG76">
        <f t="shared" si="18"/>
        <v>220383.23042752699</v>
      </c>
      <c r="AH76">
        <f t="shared" si="19"/>
        <v>218053.28448755611</v>
      </c>
      <c r="AI76">
        <f t="shared" si="26"/>
        <v>225477.6553360204</v>
      </c>
    </row>
    <row r="77" spans="2:35" x14ac:dyDescent="0.3">
      <c r="B77">
        <v>34</v>
      </c>
      <c r="C77">
        <v>81196.551000000007</v>
      </c>
      <c r="D77">
        <v>80641.769899999999</v>
      </c>
      <c r="E77">
        <v>81112.647899999996</v>
      </c>
      <c r="F77">
        <v>81003.177299999996</v>
      </c>
      <c r="G77">
        <v>81714.913199999995</v>
      </c>
      <c r="H77">
        <v>82241.013099999996</v>
      </c>
      <c r="I77">
        <v>11.288904070648641</v>
      </c>
      <c r="J77">
        <v>11.261942821807413</v>
      </c>
      <c r="K77">
        <v>11.239701725920595</v>
      </c>
      <c r="L77">
        <v>11.234878875448215</v>
      </c>
      <c r="M77">
        <v>11.207879705094966</v>
      </c>
      <c r="N77">
        <v>11.186451074454386</v>
      </c>
      <c r="P77">
        <f t="shared" si="8"/>
        <v>257470.5711194592</v>
      </c>
      <c r="Q77">
        <f t="shared" si="9"/>
        <v>257216.51475422236</v>
      </c>
      <c r="R77">
        <f t="shared" si="10"/>
        <v>256078.40387761785</v>
      </c>
      <c r="S77">
        <f t="shared" si="11"/>
        <v>256043.18896344648</v>
      </c>
      <c r="T77">
        <f t="shared" si="12"/>
        <v>254521.47795284895</v>
      </c>
      <c r="U77">
        <f t="shared" si="13"/>
        <v>253352.51913363161</v>
      </c>
      <c r="V77">
        <f t="shared" si="20"/>
        <v>1</v>
      </c>
      <c r="W77">
        <f t="shared" si="21"/>
        <v>0</v>
      </c>
      <c r="X77">
        <f t="shared" si="22"/>
        <v>0</v>
      </c>
      <c r="Y77">
        <f t="shared" si="23"/>
        <v>0</v>
      </c>
      <c r="Z77">
        <f t="shared" si="24"/>
        <v>0</v>
      </c>
      <c r="AA77">
        <f t="shared" si="25"/>
        <v>0</v>
      </c>
      <c r="AC77">
        <f t="shared" si="14"/>
        <v>257470.5711194592</v>
      </c>
      <c r="AD77">
        <f t="shared" si="15"/>
        <v>257216.51475422236</v>
      </c>
      <c r="AE77">
        <f t="shared" si="16"/>
        <v>256078.40387761785</v>
      </c>
      <c r="AF77">
        <f t="shared" si="17"/>
        <v>256043.18896344648</v>
      </c>
      <c r="AG77">
        <f t="shared" si="18"/>
        <v>254521.47795284895</v>
      </c>
      <c r="AH77">
        <f t="shared" si="19"/>
        <v>253352.51913363161</v>
      </c>
      <c r="AI77">
        <f t="shared" si="26"/>
        <v>257470.5711194592</v>
      </c>
    </row>
    <row r="78" spans="2:35" x14ac:dyDescent="0.3">
      <c r="B78">
        <v>35</v>
      </c>
      <c r="C78">
        <v>74544.675499999998</v>
      </c>
      <c r="D78">
        <v>73166.337100000004</v>
      </c>
      <c r="E78">
        <v>73223.447100000005</v>
      </c>
      <c r="F78">
        <v>73010.109400000001</v>
      </c>
      <c r="G78">
        <v>73036.924299999999</v>
      </c>
      <c r="H78">
        <v>72855.631099999999</v>
      </c>
      <c r="I78">
        <v>10.160596907535552</v>
      </c>
      <c r="J78">
        <v>10.118005458719932</v>
      </c>
      <c r="K78">
        <v>10.083226427563782</v>
      </c>
      <c r="L78">
        <v>10.070255699690579</v>
      </c>
      <c r="M78">
        <v>10.032498813812012</v>
      </c>
      <c r="N78">
        <v>9.9920647779865686</v>
      </c>
      <c r="P78">
        <f t="shared" si="8"/>
        <v>230273.23172606656</v>
      </c>
      <c r="Q78">
        <f t="shared" si="9"/>
        <v>230373.82666159794</v>
      </c>
      <c r="R78">
        <f t="shared" si="10"/>
        <v>229273.34572691348</v>
      </c>
      <c r="S78">
        <f t="shared" si="11"/>
        <v>229097.56159071735</v>
      </c>
      <c r="T78">
        <f t="shared" si="12"/>
        <v>227938.04011436034</v>
      </c>
      <c r="U78">
        <f t="shared" si="13"/>
        <v>226906.31223959709</v>
      </c>
      <c r="V78">
        <f t="shared" si="20"/>
        <v>0</v>
      </c>
      <c r="W78">
        <f t="shared" si="21"/>
        <v>1</v>
      </c>
      <c r="X78">
        <f t="shared" si="22"/>
        <v>0</v>
      </c>
      <c r="Y78">
        <f t="shared" si="23"/>
        <v>0</v>
      </c>
      <c r="Z78">
        <f t="shared" si="24"/>
        <v>0</v>
      </c>
      <c r="AA78">
        <f t="shared" si="25"/>
        <v>0</v>
      </c>
      <c r="AC78">
        <f t="shared" si="14"/>
        <v>230273.23172606656</v>
      </c>
      <c r="AD78">
        <f t="shared" si="15"/>
        <v>230373.82666159794</v>
      </c>
      <c r="AE78">
        <f t="shared" si="16"/>
        <v>229273.34572691348</v>
      </c>
      <c r="AF78">
        <f t="shared" si="17"/>
        <v>229097.56159071735</v>
      </c>
      <c r="AG78">
        <f t="shared" si="18"/>
        <v>227938.04011436034</v>
      </c>
      <c r="AH78">
        <f t="shared" si="19"/>
        <v>226906.31223959709</v>
      </c>
      <c r="AI78">
        <f t="shared" si="26"/>
        <v>230373.82666159794</v>
      </c>
    </row>
    <row r="79" spans="2:35" x14ac:dyDescent="0.3">
      <c r="B79">
        <v>36</v>
      </c>
      <c r="C79">
        <v>73258.064599999998</v>
      </c>
      <c r="D79">
        <v>72699.299700000003</v>
      </c>
      <c r="E79">
        <v>73196.000100000005</v>
      </c>
      <c r="F79">
        <v>72795.027300000002</v>
      </c>
      <c r="G79">
        <v>73559.956699999995</v>
      </c>
      <c r="H79">
        <v>73857.770199999999</v>
      </c>
      <c r="I79">
        <v>10.56515443919981</v>
      </c>
      <c r="J79">
        <v>10.531497320239659</v>
      </c>
      <c r="K79">
        <v>10.514518179020042</v>
      </c>
      <c r="L79">
        <v>10.512551778769513</v>
      </c>
      <c r="M79">
        <v>10.487109289110235</v>
      </c>
      <c r="N79">
        <v>10.458601227204026</v>
      </c>
      <c r="P79">
        <f t="shared" si="8"/>
        <v>243696.56857599434</v>
      </c>
      <c r="Q79">
        <f t="shared" si="9"/>
        <v>243245.61990718977</v>
      </c>
      <c r="R79">
        <f t="shared" si="10"/>
        <v>242239.54527060129</v>
      </c>
      <c r="S79">
        <f t="shared" si="11"/>
        <v>242581.52606308536</v>
      </c>
      <c r="T79">
        <f t="shared" si="12"/>
        <v>241053.32197330706</v>
      </c>
      <c r="U79">
        <f t="shared" si="13"/>
        <v>239900.26661612079</v>
      </c>
      <c r="V79">
        <f t="shared" si="20"/>
        <v>1</v>
      </c>
      <c r="W79">
        <f t="shared" si="21"/>
        <v>0</v>
      </c>
      <c r="X79">
        <f t="shared" si="22"/>
        <v>0</v>
      </c>
      <c r="Y79">
        <f t="shared" si="23"/>
        <v>0</v>
      </c>
      <c r="Z79">
        <f t="shared" si="24"/>
        <v>0</v>
      </c>
      <c r="AA79">
        <f t="shared" si="25"/>
        <v>0</v>
      </c>
      <c r="AC79">
        <f t="shared" si="14"/>
        <v>243696.56857599434</v>
      </c>
      <c r="AD79">
        <f t="shared" si="15"/>
        <v>243245.61990718977</v>
      </c>
      <c r="AE79">
        <f t="shared" si="16"/>
        <v>242239.54527060129</v>
      </c>
      <c r="AF79">
        <f t="shared" si="17"/>
        <v>242581.52606308536</v>
      </c>
      <c r="AG79">
        <f t="shared" si="18"/>
        <v>241053.32197330706</v>
      </c>
      <c r="AH79">
        <f t="shared" si="19"/>
        <v>239900.26661612079</v>
      </c>
      <c r="AI79">
        <f t="shared" si="26"/>
        <v>243696.56857599434</v>
      </c>
    </row>
    <row r="80" spans="2:35" x14ac:dyDescent="0.3">
      <c r="B80">
        <v>37</v>
      </c>
      <c r="C80">
        <v>81997.542700000005</v>
      </c>
      <c r="D80">
        <v>81402.181500000006</v>
      </c>
      <c r="E80">
        <v>82069.347699999998</v>
      </c>
      <c r="F80">
        <v>81810.748000000007</v>
      </c>
      <c r="G80">
        <v>82358.925000000003</v>
      </c>
      <c r="H80">
        <v>83230.53</v>
      </c>
      <c r="I80">
        <v>11.401166329309756</v>
      </c>
      <c r="J80">
        <v>11.350389566648749</v>
      </c>
      <c r="K80">
        <v>11.316327924631933</v>
      </c>
      <c r="L80">
        <v>11.314229679085592</v>
      </c>
      <c r="M80">
        <v>11.281105605212932</v>
      </c>
      <c r="N80">
        <v>11.228847996430904</v>
      </c>
      <c r="P80">
        <f t="shared" si="8"/>
        <v>260037.44717929268</v>
      </c>
      <c r="Q80">
        <f t="shared" si="9"/>
        <v>259109.50549946248</v>
      </c>
      <c r="R80">
        <f t="shared" si="10"/>
        <v>257420.49003895803</v>
      </c>
      <c r="S80">
        <f t="shared" si="11"/>
        <v>257616.14237256773</v>
      </c>
      <c r="T80">
        <f t="shared" si="12"/>
        <v>256074.24315638799</v>
      </c>
      <c r="U80">
        <f t="shared" si="13"/>
        <v>253634.90989292713</v>
      </c>
      <c r="V80">
        <f t="shared" si="20"/>
        <v>1</v>
      </c>
      <c r="W80">
        <f t="shared" si="21"/>
        <v>0</v>
      </c>
      <c r="X80">
        <f t="shared" si="22"/>
        <v>0</v>
      </c>
      <c r="Y80">
        <f t="shared" si="23"/>
        <v>0</v>
      </c>
      <c r="Z80">
        <f t="shared" si="24"/>
        <v>0</v>
      </c>
      <c r="AA80">
        <f t="shared" si="25"/>
        <v>0</v>
      </c>
      <c r="AC80">
        <f t="shared" si="14"/>
        <v>260037.44717929268</v>
      </c>
      <c r="AD80">
        <f t="shared" si="15"/>
        <v>259109.50549946248</v>
      </c>
      <c r="AE80">
        <f t="shared" si="16"/>
        <v>257420.49003895803</v>
      </c>
      <c r="AF80">
        <f t="shared" si="17"/>
        <v>257616.14237256773</v>
      </c>
      <c r="AG80">
        <f t="shared" si="18"/>
        <v>256074.24315638799</v>
      </c>
      <c r="AH80">
        <f t="shared" si="19"/>
        <v>253634.90989292713</v>
      </c>
      <c r="AI80">
        <f t="shared" si="26"/>
        <v>260037.44717929268</v>
      </c>
    </row>
    <row r="81" spans="2:35" x14ac:dyDescent="0.3">
      <c r="B81">
        <v>38</v>
      </c>
      <c r="C81">
        <v>67783.518299999996</v>
      </c>
      <c r="D81">
        <v>67566.523000000001</v>
      </c>
      <c r="E81">
        <v>67971.773700000005</v>
      </c>
      <c r="F81">
        <v>68236.414000000004</v>
      </c>
      <c r="G81">
        <v>68761.445000000007</v>
      </c>
      <c r="H81">
        <v>69426.623699999996</v>
      </c>
      <c r="I81">
        <v>10.805805204212936</v>
      </c>
      <c r="J81">
        <v>10.728670843941341</v>
      </c>
      <c r="K81">
        <v>10.680700167741721</v>
      </c>
      <c r="L81">
        <v>10.649070145737001</v>
      </c>
      <c r="M81">
        <v>10.601535268603303</v>
      </c>
      <c r="N81">
        <v>10.5447635426557</v>
      </c>
      <c r="P81">
        <f t="shared" si="8"/>
        <v>256390.63782638806</v>
      </c>
      <c r="Q81">
        <f t="shared" si="9"/>
        <v>254293.60231824027</v>
      </c>
      <c r="R81">
        <f t="shared" si="10"/>
        <v>252449.23133225163</v>
      </c>
      <c r="S81">
        <f t="shared" si="11"/>
        <v>251235.69037211005</v>
      </c>
      <c r="T81">
        <f t="shared" si="12"/>
        <v>249284.61305809912</v>
      </c>
      <c r="U81">
        <f t="shared" si="13"/>
        <v>246916.28257967101</v>
      </c>
      <c r="V81">
        <f t="shared" si="20"/>
        <v>1</v>
      </c>
      <c r="W81">
        <f t="shared" si="21"/>
        <v>0</v>
      </c>
      <c r="X81">
        <f t="shared" si="22"/>
        <v>0</v>
      </c>
      <c r="Y81">
        <f t="shared" si="23"/>
        <v>0</v>
      </c>
      <c r="Z81">
        <f t="shared" si="24"/>
        <v>0</v>
      </c>
      <c r="AA81">
        <f t="shared" si="25"/>
        <v>0</v>
      </c>
      <c r="AC81">
        <f t="shared" si="14"/>
        <v>256390.63782638806</v>
      </c>
      <c r="AD81">
        <f t="shared" si="15"/>
        <v>254293.60231824027</v>
      </c>
      <c r="AE81">
        <f t="shared" si="16"/>
        <v>252449.23133225163</v>
      </c>
      <c r="AF81">
        <f t="shared" si="17"/>
        <v>251235.69037211005</v>
      </c>
      <c r="AG81">
        <f t="shared" si="18"/>
        <v>249284.61305809912</v>
      </c>
      <c r="AH81">
        <f t="shared" si="19"/>
        <v>246916.28257967101</v>
      </c>
      <c r="AI81">
        <f t="shared" si="26"/>
        <v>256390.63782638806</v>
      </c>
    </row>
    <row r="82" spans="2:35" x14ac:dyDescent="0.3">
      <c r="B82">
        <v>39</v>
      </c>
      <c r="C82">
        <v>76732.394400000005</v>
      </c>
      <c r="D82">
        <v>75419.295599999998</v>
      </c>
      <c r="E82">
        <v>75295.550799999997</v>
      </c>
      <c r="F82">
        <v>75147.838000000003</v>
      </c>
      <c r="G82">
        <v>75116.190799999997</v>
      </c>
      <c r="H82">
        <v>75146.682199999996</v>
      </c>
      <c r="I82">
        <v>9.5621932608654223</v>
      </c>
      <c r="J82">
        <v>9.5213470000743659</v>
      </c>
      <c r="K82">
        <v>9.4955985427864054</v>
      </c>
      <c r="L82">
        <v>9.4830865053102311</v>
      </c>
      <c r="M82">
        <v>9.4505212005282484</v>
      </c>
      <c r="N82">
        <v>9.4216014638337668</v>
      </c>
      <c r="P82">
        <f t="shared" si="8"/>
        <v>210133.40342596266</v>
      </c>
      <c r="Q82">
        <f t="shared" si="9"/>
        <v>210221.11440223095</v>
      </c>
      <c r="R82">
        <f t="shared" si="10"/>
        <v>209572.40548359216</v>
      </c>
      <c r="S82">
        <f t="shared" si="11"/>
        <v>209344.75715930696</v>
      </c>
      <c r="T82">
        <f t="shared" si="12"/>
        <v>208399.44521584746</v>
      </c>
      <c r="U82">
        <f t="shared" si="13"/>
        <v>207501.36171501304</v>
      </c>
      <c r="V82">
        <f t="shared" si="20"/>
        <v>0</v>
      </c>
      <c r="W82">
        <f t="shared" si="21"/>
        <v>1</v>
      </c>
      <c r="X82">
        <f t="shared" si="22"/>
        <v>0</v>
      </c>
      <c r="Y82">
        <f t="shared" si="23"/>
        <v>0</v>
      </c>
      <c r="Z82">
        <f t="shared" si="24"/>
        <v>0</v>
      </c>
      <c r="AA82">
        <f t="shared" si="25"/>
        <v>0</v>
      </c>
      <c r="AC82">
        <f t="shared" si="14"/>
        <v>210133.40342596266</v>
      </c>
      <c r="AD82">
        <f t="shared" si="15"/>
        <v>210221.11440223095</v>
      </c>
      <c r="AE82">
        <f t="shared" si="16"/>
        <v>209572.40548359216</v>
      </c>
      <c r="AF82">
        <f t="shared" si="17"/>
        <v>209344.75715930696</v>
      </c>
      <c r="AG82">
        <f t="shared" si="18"/>
        <v>208399.44521584746</v>
      </c>
      <c r="AH82">
        <f t="shared" si="19"/>
        <v>207501.36171501304</v>
      </c>
      <c r="AI82">
        <f t="shared" si="26"/>
        <v>210221.11440223095</v>
      </c>
    </row>
    <row r="83" spans="2:35" x14ac:dyDescent="0.3">
      <c r="B83">
        <v>40</v>
      </c>
      <c r="C83">
        <v>81172.059899999993</v>
      </c>
      <c r="D83">
        <v>79142.187099999996</v>
      </c>
      <c r="E83">
        <v>78423.635800000004</v>
      </c>
      <c r="F83">
        <v>77889.776199999993</v>
      </c>
      <c r="G83">
        <v>76928.743199999997</v>
      </c>
      <c r="H83">
        <v>76474.385999999999</v>
      </c>
      <c r="I83">
        <v>10.990141908101918</v>
      </c>
      <c r="J83">
        <v>10.96468194333749</v>
      </c>
      <c r="K83">
        <v>10.944411718546306</v>
      </c>
      <c r="L83">
        <v>10.933631649510254</v>
      </c>
      <c r="M83">
        <v>10.906683121793142</v>
      </c>
      <c r="N83">
        <v>10.887993478513209</v>
      </c>
      <c r="P83">
        <f t="shared" si="8"/>
        <v>248532.19734305755</v>
      </c>
      <c r="Q83">
        <f t="shared" si="9"/>
        <v>249798.27120012476</v>
      </c>
      <c r="R83">
        <f t="shared" si="10"/>
        <v>249908.7157563892</v>
      </c>
      <c r="S83">
        <f t="shared" si="11"/>
        <v>250119.17328530762</v>
      </c>
      <c r="T83">
        <f t="shared" si="12"/>
        <v>250271.75045379429</v>
      </c>
      <c r="U83">
        <f t="shared" si="13"/>
        <v>250165.41835539631</v>
      </c>
      <c r="V83">
        <f t="shared" si="20"/>
        <v>0</v>
      </c>
      <c r="W83">
        <f t="shared" si="21"/>
        <v>0</v>
      </c>
      <c r="X83">
        <f t="shared" si="22"/>
        <v>0</v>
      </c>
      <c r="Y83">
        <f t="shared" si="23"/>
        <v>0</v>
      </c>
      <c r="Z83">
        <f t="shared" si="24"/>
        <v>1</v>
      </c>
      <c r="AA83">
        <f t="shared" si="25"/>
        <v>0</v>
      </c>
      <c r="AC83">
        <f t="shared" si="14"/>
        <v>248532.19734305755</v>
      </c>
      <c r="AD83">
        <f t="shared" si="15"/>
        <v>249798.27120012476</v>
      </c>
      <c r="AE83">
        <f t="shared" si="16"/>
        <v>249908.7157563892</v>
      </c>
      <c r="AF83">
        <f t="shared" si="17"/>
        <v>250119.17328530762</v>
      </c>
      <c r="AG83">
        <f t="shared" si="18"/>
        <v>250271.75045379429</v>
      </c>
      <c r="AH83">
        <f t="shared" si="19"/>
        <v>250165.41835539631</v>
      </c>
      <c r="AI83">
        <f t="shared" si="26"/>
        <v>250271.75045379429</v>
      </c>
    </row>
    <row r="84" spans="2:35" x14ac:dyDescent="0.3">
      <c r="B84">
        <v>41</v>
      </c>
      <c r="C84">
        <v>72780.338000000003</v>
      </c>
      <c r="D84">
        <v>71670.460200000001</v>
      </c>
      <c r="E84">
        <v>72015.988200000007</v>
      </c>
      <c r="F84">
        <v>71734.155899999998</v>
      </c>
      <c r="G84">
        <v>72131.495699999999</v>
      </c>
      <c r="H84">
        <v>72138.166200000007</v>
      </c>
      <c r="I84">
        <v>11.262384213199942</v>
      </c>
      <c r="J84">
        <v>11.237281009867091</v>
      </c>
      <c r="K84">
        <v>11.22252239435544</v>
      </c>
      <c r="L84">
        <v>11.211300159807342</v>
      </c>
      <c r="M84">
        <v>11.193908243465239</v>
      </c>
      <c r="N84">
        <v>11.170183223703253</v>
      </c>
      <c r="P84">
        <f t="shared" si="8"/>
        <v>265091.18839599827</v>
      </c>
      <c r="Q84">
        <f t="shared" si="9"/>
        <v>265447.97009601269</v>
      </c>
      <c r="R84">
        <f t="shared" si="10"/>
        <v>264659.6836306632</v>
      </c>
      <c r="S84">
        <f t="shared" si="11"/>
        <v>264604.84889422025</v>
      </c>
      <c r="T84">
        <f t="shared" si="12"/>
        <v>263685.75160395715</v>
      </c>
      <c r="U84">
        <f t="shared" si="13"/>
        <v>262967.33051109756</v>
      </c>
      <c r="V84">
        <f t="shared" si="20"/>
        <v>0</v>
      </c>
      <c r="W84">
        <f t="shared" si="21"/>
        <v>1</v>
      </c>
      <c r="X84">
        <f t="shared" si="22"/>
        <v>0</v>
      </c>
      <c r="Y84">
        <f t="shared" si="23"/>
        <v>0</v>
      </c>
      <c r="Z84">
        <f t="shared" si="24"/>
        <v>0</v>
      </c>
      <c r="AA84">
        <f t="shared" si="25"/>
        <v>0</v>
      </c>
      <c r="AC84">
        <f t="shared" si="14"/>
        <v>265091.18839599827</v>
      </c>
      <c r="AD84">
        <f t="shared" si="15"/>
        <v>265447.97009601269</v>
      </c>
      <c r="AE84">
        <f t="shared" si="16"/>
        <v>264659.6836306632</v>
      </c>
      <c r="AF84">
        <f t="shared" si="17"/>
        <v>264604.84889422025</v>
      </c>
      <c r="AG84">
        <f t="shared" si="18"/>
        <v>263685.75160395715</v>
      </c>
      <c r="AH84">
        <f t="shared" si="19"/>
        <v>262967.33051109756</v>
      </c>
      <c r="AI84">
        <f t="shared" si="26"/>
        <v>265447.97009601269</v>
      </c>
    </row>
    <row r="85" spans="2:35" x14ac:dyDescent="0.3">
      <c r="B85">
        <v>42</v>
      </c>
      <c r="C85">
        <v>72524.077999999994</v>
      </c>
      <c r="D85">
        <v>71349.171199999997</v>
      </c>
      <c r="E85">
        <v>71337.0484</v>
      </c>
      <c r="F85">
        <v>71251.414199999999</v>
      </c>
      <c r="G85">
        <v>71234.586500000005</v>
      </c>
      <c r="H85">
        <v>71324.1734</v>
      </c>
      <c r="I85">
        <v>10.150701538199144</v>
      </c>
      <c r="J85">
        <v>10.120910957599774</v>
      </c>
      <c r="K85">
        <v>10.102576447845669</v>
      </c>
      <c r="L85">
        <v>10.092510948619992</v>
      </c>
      <c r="M85">
        <v>10.071165423953634</v>
      </c>
      <c r="N85">
        <v>10.046184233747075</v>
      </c>
      <c r="P85">
        <f t="shared" si="8"/>
        <v>231996.96814597433</v>
      </c>
      <c r="Q85">
        <f t="shared" si="9"/>
        <v>232278.15752799326</v>
      </c>
      <c r="R85">
        <f t="shared" si="10"/>
        <v>231740.24503537008</v>
      </c>
      <c r="S85">
        <f t="shared" si="11"/>
        <v>231523.91425859975</v>
      </c>
      <c r="T85">
        <f t="shared" si="12"/>
        <v>230900.37621860902</v>
      </c>
      <c r="U85">
        <f t="shared" si="13"/>
        <v>230061.35361241226</v>
      </c>
      <c r="V85">
        <f t="shared" si="20"/>
        <v>0</v>
      </c>
      <c r="W85">
        <f t="shared" si="21"/>
        <v>1</v>
      </c>
      <c r="X85">
        <f t="shared" si="22"/>
        <v>0</v>
      </c>
      <c r="Y85">
        <f t="shared" si="23"/>
        <v>0</v>
      </c>
      <c r="Z85">
        <f t="shared" si="24"/>
        <v>0</v>
      </c>
      <c r="AA85">
        <f t="shared" si="25"/>
        <v>0</v>
      </c>
      <c r="AC85">
        <f t="shared" si="14"/>
        <v>231996.96814597433</v>
      </c>
      <c r="AD85">
        <f t="shared" si="15"/>
        <v>232278.15752799326</v>
      </c>
      <c r="AE85">
        <f t="shared" si="16"/>
        <v>231740.24503537008</v>
      </c>
      <c r="AF85">
        <f t="shared" si="17"/>
        <v>231523.91425859975</v>
      </c>
      <c r="AG85">
        <f t="shared" si="18"/>
        <v>230900.37621860902</v>
      </c>
      <c r="AH85">
        <f t="shared" si="19"/>
        <v>230061.35361241226</v>
      </c>
      <c r="AI85">
        <f t="shared" si="26"/>
        <v>232278.15752799326</v>
      </c>
    </row>
    <row r="86" spans="2:35" x14ac:dyDescent="0.3">
      <c r="B86">
        <v>43</v>
      </c>
      <c r="C86">
        <v>88320.609400000001</v>
      </c>
      <c r="D86">
        <v>88431.076000000001</v>
      </c>
      <c r="E86">
        <v>89180.543900000004</v>
      </c>
      <c r="F86">
        <v>89280.83</v>
      </c>
      <c r="G86">
        <v>90172.441500000001</v>
      </c>
      <c r="H86">
        <v>91021.372700000007</v>
      </c>
      <c r="I86">
        <v>11.04071496781515</v>
      </c>
      <c r="J86">
        <v>11.005359365356151</v>
      </c>
      <c r="K86">
        <v>10.98911169109652</v>
      </c>
      <c r="L86">
        <v>10.977821419061652</v>
      </c>
      <c r="M86">
        <v>10.958174689333193</v>
      </c>
      <c r="N86">
        <v>10.930779373836948</v>
      </c>
      <c r="P86">
        <f t="shared" si="8"/>
        <v>242900.83963445452</v>
      </c>
      <c r="Q86">
        <f t="shared" si="9"/>
        <v>241729.70496068452</v>
      </c>
      <c r="R86">
        <f t="shared" si="10"/>
        <v>240492.80683289561</v>
      </c>
      <c r="S86">
        <f t="shared" si="11"/>
        <v>240053.81257184956</v>
      </c>
      <c r="T86">
        <f t="shared" si="12"/>
        <v>238572.79917999578</v>
      </c>
      <c r="U86">
        <f t="shared" si="13"/>
        <v>236902.00851510843</v>
      </c>
      <c r="V86">
        <f t="shared" si="20"/>
        <v>1</v>
      </c>
      <c r="W86">
        <f t="shared" si="21"/>
        <v>0</v>
      </c>
      <c r="X86">
        <f t="shared" si="22"/>
        <v>0</v>
      </c>
      <c r="Y86">
        <f t="shared" si="23"/>
        <v>0</v>
      </c>
      <c r="Z86">
        <f t="shared" si="24"/>
        <v>0</v>
      </c>
      <c r="AA86">
        <f t="shared" si="25"/>
        <v>0</v>
      </c>
      <c r="AC86">
        <f t="shared" si="14"/>
        <v>242900.83963445452</v>
      </c>
      <c r="AD86">
        <f t="shared" si="15"/>
        <v>241729.70496068452</v>
      </c>
      <c r="AE86">
        <f t="shared" si="16"/>
        <v>240492.80683289561</v>
      </c>
      <c r="AF86">
        <f t="shared" si="17"/>
        <v>240053.81257184956</v>
      </c>
      <c r="AG86">
        <f t="shared" si="18"/>
        <v>238572.79917999578</v>
      </c>
      <c r="AH86">
        <f t="shared" si="19"/>
        <v>236902.00851510843</v>
      </c>
      <c r="AI86">
        <f t="shared" si="26"/>
        <v>242900.83963445452</v>
      </c>
    </row>
    <row r="87" spans="2:35" x14ac:dyDescent="0.3">
      <c r="B87">
        <v>44</v>
      </c>
      <c r="C87">
        <v>84640.601800000004</v>
      </c>
      <c r="D87">
        <v>82900.381899999993</v>
      </c>
      <c r="E87">
        <v>82689.455499999996</v>
      </c>
      <c r="F87">
        <v>82411.2264</v>
      </c>
      <c r="G87">
        <v>82345.156499999997</v>
      </c>
      <c r="H87">
        <v>82045.582500000004</v>
      </c>
      <c r="I87">
        <v>10.580728844331885</v>
      </c>
      <c r="J87">
        <v>10.534601249206972</v>
      </c>
      <c r="K87">
        <v>10.51539282671478</v>
      </c>
      <c r="L87">
        <v>10.497193475060818</v>
      </c>
      <c r="M87">
        <v>10.479890517096251</v>
      </c>
      <c r="N87">
        <v>10.444586591275632</v>
      </c>
      <c r="P87">
        <f t="shared" si="8"/>
        <v>232781.26352995657</v>
      </c>
      <c r="Q87">
        <f t="shared" si="9"/>
        <v>233137.65557620919</v>
      </c>
      <c r="R87">
        <f t="shared" si="10"/>
        <v>232772.32930144342</v>
      </c>
      <c r="S87">
        <f t="shared" si="11"/>
        <v>232504.57785182458</v>
      </c>
      <c r="T87">
        <f t="shared" si="12"/>
        <v>232051.55901288753</v>
      </c>
      <c r="U87">
        <f t="shared" si="13"/>
        <v>231292.01523826894</v>
      </c>
      <c r="V87">
        <f t="shared" si="20"/>
        <v>0</v>
      </c>
      <c r="W87">
        <f t="shared" si="21"/>
        <v>1</v>
      </c>
      <c r="X87">
        <f t="shared" si="22"/>
        <v>0</v>
      </c>
      <c r="Y87">
        <f t="shared" si="23"/>
        <v>0</v>
      </c>
      <c r="Z87">
        <f t="shared" si="24"/>
        <v>0</v>
      </c>
      <c r="AA87">
        <f t="shared" si="25"/>
        <v>0</v>
      </c>
      <c r="AC87">
        <f t="shared" si="14"/>
        <v>232781.26352995657</v>
      </c>
      <c r="AD87">
        <f t="shared" si="15"/>
        <v>233137.65557620919</v>
      </c>
      <c r="AE87">
        <f t="shared" si="16"/>
        <v>232772.32930144342</v>
      </c>
      <c r="AF87">
        <f t="shared" si="17"/>
        <v>232504.57785182458</v>
      </c>
      <c r="AG87">
        <f t="shared" si="18"/>
        <v>232051.55901288753</v>
      </c>
      <c r="AH87">
        <f t="shared" si="19"/>
        <v>231292.01523826894</v>
      </c>
      <c r="AI87">
        <f t="shared" si="26"/>
        <v>233137.65557620919</v>
      </c>
    </row>
    <row r="88" spans="2:35" x14ac:dyDescent="0.3">
      <c r="B88">
        <v>45</v>
      </c>
      <c r="C88">
        <v>73566.953099999999</v>
      </c>
      <c r="D88">
        <v>72881.437000000005</v>
      </c>
      <c r="E88">
        <v>73467.738400000002</v>
      </c>
      <c r="F88">
        <v>73203.024399999995</v>
      </c>
      <c r="G88">
        <v>73957.831099999996</v>
      </c>
      <c r="H88">
        <v>74427.217699999994</v>
      </c>
      <c r="I88">
        <v>11.206335314661411</v>
      </c>
      <c r="J88">
        <v>11.152861878263264</v>
      </c>
      <c r="K88">
        <v>11.118763505589083</v>
      </c>
      <c r="L88">
        <v>11.116774867196828</v>
      </c>
      <c r="M88">
        <v>11.071167656695712</v>
      </c>
      <c r="N88">
        <v>11.039099009247217</v>
      </c>
      <c r="P88">
        <f t="shared" si="8"/>
        <v>262623.10633984231</v>
      </c>
      <c r="Q88">
        <f t="shared" si="9"/>
        <v>261704.41934789796</v>
      </c>
      <c r="R88">
        <f t="shared" si="10"/>
        <v>260095.16676767249</v>
      </c>
      <c r="S88">
        <f t="shared" si="11"/>
        <v>260300.22161590483</v>
      </c>
      <c r="T88">
        <f t="shared" si="12"/>
        <v>258177.19860087137</v>
      </c>
      <c r="U88">
        <f t="shared" si="13"/>
        <v>256745.75257741654</v>
      </c>
      <c r="V88">
        <f t="shared" si="20"/>
        <v>1</v>
      </c>
      <c r="W88">
        <f t="shared" si="21"/>
        <v>0</v>
      </c>
      <c r="X88">
        <f t="shared" si="22"/>
        <v>0</v>
      </c>
      <c r="Y88">
        <f t="shared" si="23"/>
        <v>0</v>
      </c>
      <c r="Z88">
        <f t="shared" si="24"/>
        <v>0</v>
      </c>
      <c r="AA88">
        <f t="shared" si="25"/>
        <v>0</v>
      </c>
      <c r="AC88">
        <f t="shared" si="14"/>
        <v>262623.10633984231</v>
      </c>
      <c r="AD88">
        <f t="shared" si="15"/>
        <v>261704.41934789796</v>
      </c>
      <c r="AE88">
        <f t="shared" si="16"/>
        <v>260095.16676767249</v>
      </c>
      <c r="AF88">
        <f t="shared" si="17"/>
        <v>260300.22161590483</v>
      </c>
      <c r="AG88">
        <f t="shared" si="18"/>
        <v>258177.19860087137</v>
      </c>
      <c r="AH88">
        <f t="shared" si="19"/>
        <v>256745.75257741654</v>
      </c>
      <c r="AI88">
        <f t="shared" si="26"/>
        <v>262623.10633984231</v>
      </c>
    </row>
    <row r="89" spans="2:35" x14ac:dyDescent="0.3">
      <c r="B89">
        <v>46</v>
      </c>
      <c r="C89">
        <v>77759.084400000007</v>
      </c>
      <c r="D89">
        <v>76040.149300000005</v>
      </c>
      <c r="E89">
        <v>75682.751900000003</v>
      </c>
      <c r="F89">
        <v>75263.691800000001</v>
      </c>
      <c r="G89">
        <v>74841.470499999996</v>
      </c>
      <c r="H89">
        <v>74539.754799999995</v>
      </c>
      <c r="I89">
        <v>10.241234930405378</v>
      </c>
      <c r="J89">
        <v>10.22214440530748</v>
      </c>
      <c r="K89">
        <v>10.208269935378077</v>
      </c>
      <c r="L89">
        <v>10.199059184141923</v>
      </c>
      <c r="M89">
        <v>10.185380379468981</v>
      </c>
      <c r="N89">
        <v>10.167297598559928</v>
      </c>
      <c r="P89">
        <f t="shared" si="8"/>
        <v>229477.96351216134</v>
      </c>
      <c r="Q89">
        <f t="shared" si="9"/>
        <v>230624.18285922444</v>
      </c>
      <c r="R89">
        <f t="shared" si="10"/>
        <v>230565.34616134231</v>
      </c>
      <c r="S89">
        <f t="shared" si="11"/>
        <v>230708.08372425768</v>
      </c>
      <c r="T89">
        <f t="shared" si="12"/>
        <v>230719.94088406942</v>
      </c>
      <c r="U89">
        <f t="shared" si="13"/>
        <v>230479.17315679783</v>
      </c>
      <c r="V89">
        <f t="shared" si="20"/>
        <v>0</v>
      </c>
      <c r="W89">
        <f t="shared" si="21"/>
        <v>0</v>
      </c>
      <c r="X89">
        <f t="shared" si="22"/>
        <v>0</v>
      </c>
      <c r="Y89">
        <f t="shared" si="23"/>
        <v>0</v>
      </c>
      <c r="Z89">
        <f t="shared" si="24"/>
        <v>1</v>
      </c>
      <c r="AA89">
        <f t="shared" si="25"/>
        <v>0</v>
      </c>
      <c r="AC89">
        <f t="shared" si="14"/>
        <v>229477.96351216134</v>
      </c>
      <c r="AD89">
        <f t="shared" si="15"/>
        <v>230624.18285922444</v>
      </c>
      <c r="AE89">
        <f t="shared" si="16"/>
        <v>230565.34616134231</v>
      </c>
      <c r="AF89">
        <f t="shared" si="17"/>
        <v>230708.08372425768</v>
      </c>
      <c r="AG89">
        <f t="shared" si="18"/>
        <v>230719.94088406942</v>
      </c>
      <c r="AH89">
        <f t="shared" si="19"/>
        <v>230479.17315679783</v>
      </c>
      <c r="AI89">
        <f t="shared" si="26"/>
        <v>230719.94088406942</v>
      </c>
    </row>
    <row r="90" spans="2:35" x14ac:dyDescent="0.3">
      <c r="B90">
        <v>47</v>
      </c>
      <c r="C90">
        <v>75789.566600000006</v>
      </c>
      <c r="D90">
        <v>75089.838399999993</v>
      </c>
      <c r="E90">
        <v>75604.737299999993</v>
      </c>
      <c r="F90">
        <v>75552.261199999994</v>
      </c>
      <c r="G90">
        <v>76009.329400000002</v>
      </c>
      <c r="H90">
        <v>76552.180200000003</v>
      </c>
      <c r="I90">
        <v>9.6606515158851636</v>
      </c>
      <c r="J90">
        <v>9.6390829759205516</v>
      </c>
      <c r="K90">
        <v>9.6164317869827389</v>
      </c>
      <c r="L90">
        <v>9.6108861510715364</v>
      </c>
      <c r="M90">
        <v>9.5960836185557437</v>
      </c>
      <c r="N90">
        <v>9.5745565211244994</v>
      </c>
      <c r="P90">
        <f t="shared" si="8"/>
        <v>214029.97887655487</v>
      </c>
      <c r="Q90">
        <f t="shared" si="9"/>
        <v>214082.65087761654</v>
      </c>
      <c r="R90">
        <f t="shared" si="10"/>
        <v>212888.21630948217</v>
      </c>
      <c r="S90">
        <f t="shared" si="11"/>
        <v>212774.3233321461</v>
      </c>
      <c r="T90">
        <f t="shared" si="12"/>
        <v>211873.17915667233</v>
      </c>
      <c r="U90">
        <f t="shared" si="13"/>
        <v>210684.51543373498</v>
      </c>
      <c r="V90">
        <f t="shared" si="20"/>
        <v>0</v>
      </c>
      <c r="W90">
        <f t="shared" si="21"/>
        <v>1</v>
      </c>
      <c r="X90">
        <f t="shared" si="22"/>
        <v>0</v>
      </c>
      <c r="Y90">
        <f t="shared" si="23"/>
        <v>0</v>
      </c>
      <c r="Z90">
        <f t="shared" si="24"/>
        <v>0</v>
      </c>
      <c r="AA90">
        <f t="shared" si="25"/>
        <v>0</v>
      </c>
      <c r="AC90">
        <f t="shared" si="14"/>
        <v>214029.97887655487</v>
      </c>
      <c r="AD90">
        <f t="shared" si="15"/>
        <v>214082.65087761654</v>
      </c>
      <c r="AE90">
        <f t="shared" si="16"/>
        <v>212888.21630948217</v>
      </c>
      <c r="AF90">
        <f t="shared" si="17"/>
        <v>212774.3233321461</v>
      </c>
      <c r="AG90">
        <f t="shared" si="18"/>
        <v>211873.17915667233</v>
      </c>
      <c r="AH90">
        <f t="shared" si="19"/>
        <v>210684.51543373498</v>
      </c>
      <c r="AI90">
        <f t="shared" si="26"/>
        <v>214082.65087761654</v>
      </c>
    </row>
    <row r="91" spans="2:35" x14ac:dyDescent="0.3">
      <c r="B91">
        <v>48</v>
      </c>
      <c r="C91">
        <v>74291.375199999995</v>
      </c>
      <c r="D91">
        <v>73740.903999999995</v>
      </c>
      <c r="E91">
        <v>74318.035900000003</v>
      </c>
      <c r="F91">
        <v>74626.235199999996</v>
      </c>
      <c r="G91">
        <v>74812.109299999996</v>
      </c>
      <c r="H91">
        <v>75476.285000000003</v>
      </c>
      <c r="I91">
        <v>11.868927374382496</v>
      </c>
      <c r="J91">
        <v>11.836948046320099</v>
      </c>
      <c r="K91">
        <v>11.821107469440799</v>
      </c>
      <c r="L91">
        <v>11.798468637599704</v>
      </c>
      <c r="M91">
        <v>11.776801507266741</v>
      </c>
      <c r="N91">
        <v>11.756137295890762</v>
      </c>
      <c r="P91">
        <f t="shared" si="8"/>
        <v>281776.44603147486</v>
      </c>
      <c r="Q91">
        <f t="shared" si="9"/>
        <v>281367.53738960298</v>
      </c>
      <c r="R91">
        <f t="shared" si="10"/>
        <v>280315.18818322395</v>
      </c>
      <c r="S91">
        <f t="shared" si="11"/>
        <v>279327.82392799115</v>
      </c>
      <c r="T91">
        <f t="shared" si="12"/>
        <v>278491.93591800221</v>
      </c>
      <c r="U91">
        <f t="shared" si="13"/>
        <v>277207.83387672284</v>
      </c>
      <c r="V91">
        <f t="shared" si="20"/>
        <v>1</v>
      </c>
      <c r="W91">
        <f t="shared" si="21"/>
        <v>0</v>
      </c>
      <c r="X91">
        <f t="shared" si="22"/>
        <v>0</v>
      </c>
      <c r="Y91">
        <f t="shared" si="23"/>
        <v>0</v>
      </c>
      <c r="Z91">
        <f t="shared" si="24"/>
        <v>0</v>
      </c>
      <c r="AA91">
        <f t="shared" si="25"/>
        <v>0</v>
      </c>
      <c r="AC91">
        <f t="shared" si="14"/>
        <v>281776.44603147486</v>
      </c>
      <c r="AD91">
        <f t="shared" si="15"/>
        <v>281367.53738960298</v>
      </c>
      <c r="AE91">
        <f t="shared" si="16"/>
        <v>280315.18818322395</v>
      </c>
      <c r="AF91">
        <f t="shared" si="17"/>
        <v>279327.82392799115</v>
      </c>
      <c r="AG91">
        <f t="shared" si="18"/>
        <v>278491.93591800221</v>
      </c>
      <c r="AH91">
        <f t="shared" si="19"/>
        <v>277207.83387672284</v>
      </c>
      <c r="AI91">
        <f t="shared" si="26"/>
        <v>281776.44603147486</v>
      </c>
    </row>
    <row r="92" spans="2:35" x14ac:dyDescent="0.3">
      <c r="B92">
        <v>49</v>
      </c>
      <c r="C92">
        <v>94201.164499999999</v>
      </c>
      <c r="D92">
        <v>93162.544399999999</v>
      </c>
      <c r="E92">
        <v>93195.119699999996</v>
      </c>
      <c r="F92">
        <v>93094.995599999995</v>
      </c>
      <c r="G92">
        <v>93170.971099999995</v>
      </c>
      <c r="H92">
        <v>93481.411900000006</v>
      </c>
      <c r="I92">
        <v>10.859346336575138</v>
      </c>
      <c r="J92">
        <v>10.838405936463538</v>
      </c>
      <c r="K92">
        <v>10.820606858303746</v>
      </c>
      <c r="L92">
        <v>10.812628106822066</v>
      </c>
      <c r="M92">
        <v>10.792878878028372</v>
      </c>
      <c r="N92">
        <v>10.776434434601263</v>
      </c>
      <c r="P92">
        <f t="shared" si="8"/>
        <v>231579.22559725412</v>
      </c>
      <c r="Q92">
        <f t="shared" si="9"/>
        <v>231989.63369390613</v>
      </c>
      <c r="R92">
        <f t="shared" si="10"/>
        <v>231423.08604911237</v>
      </c>
      <c r="S92">
        <f t="shared" si="11"/>
        <v>231283.84760466198</v>
      </c>
      <c r="T92">
        <f t="shared" si="12"/>
        <v>230615.39524085118</v>
      </c>
      <c r="U92">
        <f t="shared" si="13"/>
        <v>229811.62113803788</v>
      </c>
      <c r="V92">
        <f t="shared" si="20"/>
        <v>0</v>
      </c>
      <c r="W92">
        <f t="shared" si="21"/>
        <v>1</v>
      </c>
      <c r="X92">
        <f t="shared" si="22"/>
        <v>0</v>
      </c>
      <c r="Y92">
        <f t="shared" si="23"/>
        <v>0</v>
      </c>
      <c r="Z92">
        <f t="shared" si="24"/>
        <v>0</v>
      </c>
      <c r="AA92">
        <f t="shared" si="25"/>
        <v>0</v>
      </c>
      <c r="AC92">
        <f t="shared" si="14"/>
        <v>231579.22559725412</v>
      </c>
      <c r="AD92">
        <f t="shared" si="15"/>
        <v>231989.63369390613</v>
      </c>
      <c r="AE92">
        <f t="shared" si="16"/>
        <v>231423.08604911237</v>
      </c>
      <c r="AF92">
        <f t="shared" si="17"/>
        <v>231283.84760466198</v>
      </c>
      <c r="AG92">
        <f t="shared" si="18"/>
        <v>230615.39524085118</v>
      </c>
      <c r="AH92">
        <f t="shared" si="19"/>
        <v>229811.62113803788</v>
      </c>
      <c r="AI92">
        <f t="shared" si="26"/>
        <v>231989.63369390613</v>
      </c>
    </row>
    <row r="93" spans="2:35" x14ac:dyDescent="0.3">
      <c r="B93">
        <v>50</v>
      </c>
      <c r="C93">
        <v>72051.715200000006</v>
      </c>
      <c r="D93">
        <v>70695.876399999994</v>
      </c>
      <c r="E93">
        <v>70790.690700000006</v>
      </c>
      <c r="F93">
        <v>70514.155700000003</v>
      </c>
      <c r="G93">
        <v>70452.046799999996</v>
      </c>
      <c r="H93">
        <v>70489.319600000003</v>
      </c>
      <c r="I93">
        <v>10.414972088388859</v>
      </c>
      <c r="J93">
        <v>10.387045526102554</v>
      </c>
      <c r="K93">
        <v>10.365127743123915</v>
      </c>
      <c r="L93">
        <v>10.356103427338965</v>
      </c>
      <c r="M93">
        <v>10.332386731376271</v>
      </c>
      <c r="N93">
        <v>10.312373578103577</v>
      </c>
      <c r="P93">
        <f t="shared" si="8"/>
        <v>240397.44745166579</v>
      </c>
      <c r="Q93">
        <f t="shared" si="9"/>
        <v>240915.48938307661</v>
      </c>
      <c r="R93">
        <f t="shared" si="10"/>
        <v>240163.14159371748</v>
      </c>
      <c r="S93">
        <f t="shared" si="11"/>
        <v>240168.94712016894</v>
      </c>
      <c r="T93">
        <f t="shared" si="12"/>
        <v>239519.55514128815</v>
      </c>
      <c r="U93">
        <f t="shared" si="13"/>
        <v>238881.88774310733</v>
      </c>
      <c r="V93">
        <f t="shared" si="20"/>
        <v>0</v>
      </c>
      <c r="W93">
        <f t="shared" si="21"/>
        <v>1</v>
      </c>
      <c r="X93">
        <f t="shared" si="22"/>
        <v>0</v>
      </c>
      <c r="Y93">
        <f t="shared" si="23"/>
        <v>0</v>
      </c>
      <c r="Z93">
        <f t="shared" si="24"/>
        <v>0</v>
      </c>
      <c r="AA93">
        <f t="shared" si="25"/>
        <v>0</v>
      </c>
      <c r="AC93">
        <f t="shared" si="14"/>
        <v>240397.44745166579</v>
      </c>
      <c r="AD93">
        <f t="shared" si="15"/>
        <v>240915.48938307661</v>
      </c>
      <c r="AE93">
        <f t="shared" si="16"/>
        <v>240163.14159371748</v>
      </c>
      <c r="AF93">
        <f t="shared" si="17"/>
        <v>240168.94712016894</v>
      </c>
      <c r="AG93">
        <f t="shared" si="18"/>
        <v>239519.55514128815</v>
      </c>
      <c r="AH93">
        <f t="shared" si="19"/>
        <v>238881.88774310733</v>
      </c>
      <c r="AI93">
        <f t="shared" si="26"/>
        <v>240915.48938307661</v>
      </c>
    </row>
    <row r="94" spans="2:35" x14ac:dyDescent="0.3">
      <c r="B94">
        <v>51</v>
      </c>
      <c r="C94">
        <v>78304.040999999997</v>
      </c>
      <c r="D94">
        <v>78291.649099999995</v>
      </c>
      <c r="E94">
        <v>79255.176699999996</v>
      </c>
      <c r="F94">
        <v>79504.457599999994</v>
      </c>
      <c r="G94">
        <v>80232.020600000003</v>
      </c>
      <c r="H94">
        <v>81227.7071</v>
      </c>
      <c r="I94">
        <v>10.028484776156239</v>
      </c>
      <c r="J94">
        <v>9.9795377754229992</v>
      </c>
      <c r="K94">
        <v>9.9484463788955537</v>
      </c>
      <c r="L94">
        <v>9.9328071552660457</v>
      </c>
      <c r="M94">
        <v>9.9124459983242428</v>
      </c>
      <c r="N94">
        <v>9.8719745550983298</v>
      </c>
      <c r="P94">
        <f t="shared" si="8"/>
        <v>222550.50228468716</v>
      </c>
      <c r="Q94">
        <f t="shared" si="9"/>
        <v>221094.48416269</v>
      </c>
      <c r="R94">
        <f t="shared" si="10"/>
        <v>219198.21466686658</v>
      </c>
      <c r="S94">
        <f t="shared" si="11"/>
        <v>218479.75705798136</v>
      </c>
      <c r="T94">
        <f t="shared" si="12"/>
        <v>217141.35934972728</v>
      </c>
      <c r="U94">
        <f t="shared" si="13"/>
        <v>214931.52955294988</v>
      </c>
      <c r="V94">
        <f t="shared" si="20"/>
        <v>1</v>
      </c>
      <c r="W94">
        <f t="shared" si="21"/>
        <v>0</v>
      </c>
      <c r="X94">
        <f t="shared" si="22"/>
        <v>0</v>
      </c>
      <c r="Y94">
        <f t="shared" si="23"/>
        <v>0</v>
      </c>
      <c r="Z94">
        <f t="shared" si="24"/>
        <v>0</v>
      </c>
      <c r="AA94">
        <f t="shared" si="25"/>
        <v>0</v>
      </c>
      <c r="AC94">
        <f t="shared" si="14"/>
        <v>222550.50228468716</v>
      </c>
      <c r="AD94">
        <f t="shared" si="15"/>
        <v>221094.48416269</v>
      </c>
      <c r="AE94">
        <f t="shared" si="16"/>
        <v>219198.21466686658</v>
      </c>
      <c r="AF94">
        <f t="shared" si="17"/>
        <v>218479.75705798136</v>
      </c>
      <c r="AG94">
        <f t="shared" si="18"/>
        <v>217141.35934972728</v>
      </c>
      <c r="AH94">
        <f t="shared" si="19"/>
        <v>214931.52955294988</v>
      </c>
      <c r="AI94">
        <f t="shared" si="26"/>
        <v>222550.50228468716</v>
      </c>
    </row>
    <row r="95" spans="2:35" x14ac:dyDescent="0.3">
      <c r="B95">
        <v>52</v>
      </c>
      <c r="C95">
        <v>83039.883600000001</v>
      </c>
      <c r="D95">
        <v>81273.883700000006</v>
      </c>
      <c r="E95">
        <v>80851.979800000001</v>
      </c>
      <c r="F95">
        <v>80496.289600000004</v>
      </c>
      <c r="G95">
        <v>79952.321899999995</v>
      </c>
      <c r="H95">
        <v>79720.331099999996</v>
      </c>
      <c r="I95">
        <v>10.773384659122577</v>
      </c>
      <c r="J95">
        <v>10.734389205976704</v>
      </c>
      <c r="K95">
        <v>10.708949491664482</v>
      </c>
      <c r="L95">
        <v>10.693821678134173</v>
      </c>
      <c r="M95">
        <v>10.666089785152963</v>
      </c>
      <c r="N95">
        <v>10.639226630337751</v>
      </c>
      <c r="P95">
        <f t="shared" si="8"/>
        <v>240161.6561736773</v>
      </c>
      <c r="Q95">
        <f t="shared" si="9"/>
        <v>240757.7924793011</v>
      </c>
      <c r="R95">
        <f t="shared" si="10"/>
        <v>240416.50494993446</v>
      </c>
      <c r="S95">
        <f t="shared" si="11"/>
        <v>240318.36074402515</v>
      </c>
      <c r="T95">
        <f t="shared" si="12"/>
        <v>240030.3716545889</v>
      </c>
      <c r="U95">
        <f t="shared" si="13"/>
        <v>239456.46781013254</v>
      </c>
      <c r="V95">
        <f t="shared" si="20"/>
        <v>0</v>
      </c>
      <c r="W95">
        <f t="shared" si="21"/>
        <v>1</v>
      </c>
      <c r="X95">
        <f t="shared" si="22"/>
        <v>0</v>
      </c>
      <c r="Y95">
        <f t="shared" si="23"/>
        <v>0</v>
      </c>
      <c r="Z95">
        <f t="shared" si="24"/>
        <v>0</v>
      </c>
      <c r="AA95">
        <f t="shared" si="25"/>
        <v>0</v>
      </c>
      <c r="AC95">
        <f t="shared" si="14"/>
        <v>240161.6561736773</v>
      </c>
      <c r="AD95">
        <f t="shared" si="15"/>
        <v>240757.7924793011</v>
      </c>
      <c r="AE95">
        <f t="shared" si="16"/>
        <v>240416.50494993446</v>
      </c>
      <c r="AF95">
        <f t="shared" si="17"/>
        <v>240318.36074402515</v>
      </c>
      <c r="AG95">
        <f t="shared" si="18"/>
        <v>240030.3716545889</v>
      </c>
      <c r="AH95">
        <f t="shared" si="19"/>
        <v>239456.46781013254</v>
      </c>
      <c r="AI95">
        <f t="shared" si="26"/>
        <v>240757.7924793011</v>
      </c>
    </row>
    <row r="96" spans="2:35" x14ac:dyDescent="0.3">
      <c r="B96">
        <v>53</v>
      </c>
      <c r="C96">
        <v>78202.810700000002</v>
      </c>
      <c r="D96">
        <v>76372.7209</v>
      </c>
      <c r="E96">
        <v>75964.228900000002</v>
      </c>
      <c r="F96">
        <v>75481.546900000001</v>
      </c>
      <c r="G96">
        <v>75154.355100000001</v>
      </c>
      <c r="H96">
        <v>74611.339699999997</v>
      </c>
      <c r="I96">
        <v>9.445957169346622</v>
      </c>
      <c r="J96">
        <v>9.3977305663390709</v>
      </c>
      <c r="K96">
        <v>9.3552336893275108</v>
      </c>
      <c r="L96">
        <v>9.3344976122647605</v>
      </c>
      <c r="M96">
        <v>9.3036134858398754</v>
      </c>
      <c r="N96">
        <v>9.2623081435519001</v>
      </c>
      <c r="P96">
        <f t="shared" si="8"/>
        <v>205175.90438039866</v>
      </c>
      <c r="Q96">
        <f t="shared" si="9"/>
        <v>205559.1960901721</v>
      </c>
      <c r="R96">
        <f t="shared" si="10"/>
        <v>204692.78177982534</v>
      </c>
      <c r="S96">
        <f t="shared" si="11"/>
        <v>204553.38146794279</v>
      </c>
      <c r="T96">
        <f t="shared" si="12"/>
        <v>203954.04947519628</v>
      </c>
      <c r="U96">
        <f t="shared" si="13"/>
        <v>203257.90460655699</v>
      </c>
      <c r="V96">
        <f t="shared" si="20"/>
        <v>0</v>
      </c>
      <c r="W96">
        <f t="shared" si="21"/>
        <v>1</v>
      </c>
      <c r="X96">
        <f t="shared" si="22"/>
        <v>0</v>
      </c>
      <c r="Y96">
        <f t="shared" si="23"/>
        <v>0</v>
      </c>
      <c r="Z96">
        <f t="shared" si="24"/>
        <v>0</v>
      </c>
      <c r="AA96">
        <f t="shared" si="25"/>
        <v>0</v>
      </c>
      <c r="AC96">
        <f t="shared" si="14"/>
        <v>205175.90438039866</v>
      </c>
      <c r="AD96">
        <f t="shared" si="15"/>
        <v>205559.1960901721</v>
      </c>
      <c r="AE96">
        <f t="shared" si="16"/>
        <v>204692.78177982534</v>
      </c>
      <c r="AF96">
        <f t="shared" si="17"/>
        <v>204553.38146794279</v>
      </c>
      <c r="AG96">
        <f t="shared" si="18"/>
        <v>203954.04947519628</v>
      </c>
      <c r="AH96">
        <f t="shared" si="19"/>
        <v>203257.90460655699</v>
      </c>
      <c r="AI96">
        <f t="shared" si="26"/>
        <v>205559.1960901721</v>
      </c>
    </row>
    <row r="97" spans="2:35" x14ac:dyDescent="0.3">
      <c r="B97">
        <v>54</v>
      </c>
      <c r="C97">
        <v>72473.035499999998</v>
      </c>
      <c r="D97">
        <v>71847.5766</v>
      </c>
      <c r="E97">
        <v>72460.990999999995</v>
      </c>
      <c r="F97">
        <v>72451.170599999998</v>
      </c>
      <c r="G97">
        <v>72985.951499999996</v>
      </c>
      <c r="H97">
        <v>73619.528999999995</v>
      </c>
      <c r="I97">
        <v>10.690769326076031</v>
      </c>
      <c r="J97">
        <v>10.642426269284444</v>
      </c>
      <c r="K97">
        <v>10.615360598019782</v>
      </c>
      <c r="L97">
        <v>10.610588789803106</v>
      </c>
      <c r="M97">
        <v>10.580729437692051</v>
      </c>
      <c r="N97">
        <v>10.541158334040858</v>
      </c>
      <c r="P97">
        <f t="shared" si="8"/>
        <v>248250.04428228096</v>
      </c>
      <c r="Q97">
        <f t="shared" si="9"/>
        <v>247425.21147853331</v>
      </c>
      <c r="R97">
        <f t="shared" si="10"/>
        <v>245999.82694059348</v>
      </c>
      <c r="S97">
        <f t="shared" si="11"/>
        <v>245866.49309409317</v>
      </c>
      <c r="T97">
        <f t="shared" si="12"/>
        <v>244435.93163076157</v>
      </c>
      <c r="U97">
        <f t="shared" si="13"/>
        <v>242615.22102122579</v>
      </c>
      <c r="V97">
        <f t="shared" si="20"/>
        <v>1</v>
      </c>
      <c r="W97">
        <f t="shared" si="21"/>
        <v>0</v>
      </c>
      <c r="X97">
        <f t="shared" si="22"/>
        <v>0</v>
      </c>
      <c r="Y97">
        <f t="shared" si="23"/>
        <v>0</v>
      </c>
      <c r="Z97">
        <f t="shared" si="24"/>
        <v>0</v>
      </c>
      <c r="AA97">
        <f t="shared" si="25"/>
        <v>0</v>
      </c>
      <c r="AC97">
        <f t="shared" si="14"/>
        <v>248250.04428228096</v>
      </c>
      <c r="AD97">
        <f t="shared" si="15"/>
        <v>247425.21147853331</v>
      </c>
      <c r="AE97">
        <f t="shared" si="16"/>
        <v>245999.82694059348</v>
      </c>
      <c r="AF97">
        <f t="shared" si="17"/>
        <v>245866.49309409317</v>
      </c>
      <c r="AG97">
        <f t="shared" si="18"/>
        <v>244435.93163076157</v>
      </c>
      <c r="AH97">
        <f t="shared" si="19"/>
        <v>242615.22102122579</v>
      </c>
      <c r="AI97">
        <f t="shared" si="26"/>
        <v>248250.04428228096</v>
      </c>
    </row>
    <row r="98" spans="2:35" x14ac:dyDescent="0.3">
      <c r="B98">
        <v>55</v>
      </c>
      <c r="C98">
        <v>81741.595700000005</v>
      </c>
      <c r="D98">
        <v>80876.381099999999</v>
      </c>
      <c r="E98">
        <v>81249.699800000002</v>
      </c>
      <c r="F98">
        <v>81114.037200000006</v>
      </c>
      <c r="G98">
        <v>81295.638800000001</v>
      </c>
      <c r="H98">
        <v>81498.110100000005</v>
      </c>
      <c r="I98">
        <v>10.114479906876285</v>
      </c>
      <c r="J98">
        <v>10.034642513413939</v>
      </c>
      <c r="K98">
        <v>9.9730144692210931</v>
      </c>
      <c r="L98">
        <v>9.9569101234127881</v>
      </c>
      <c r="M98">
        <v>9.898653134056806</v>
      </c>
      <c r="N98">
        <v>9.8337814429746295</v>
      </c>
      <c r="P98">
        <f t="shared" si="8"/>
        <v>221692.80150628858</v>
      </c>
      <c r="Q98">
        <f t="shared" si="9"/>
        <v>220162.89430241816</v>
      </c>
      <c r="R98">
        <f t="shared" si="10"/>
        <v>217940.73427663278</v>
      </c>
      <c r="S98">
        <f t="shared" si="11"/>
        <v>217593.26650238363</v>
      </c>
      <c r="T98">
        <f t="shared" si="12"/>
        <v>215663.95522170415</v>
      </c>
      <c r="U98">
        <f t="shared" si="13"/>
        <v>213515.33318923891</v>
      </c>
      <c r="V98">
        <f t="shared" si="20"/>
        <v>1</v>
      </c>
      <c r="W98">
        <f t="shared" si="21"/>
        <v>0</v>
      </c>
      <c r="X98">
        <f t="shared" si="22"/>
        <v>0</v>
      </c>
      <c r="Y98">
        <f t="shared" si="23"/>
        <v>0</v>
      </c>
      <c r="Z98">
        <f t="shared" si="24"/>
        <v>0</v>
      </c>
      <c r="AA98">
        <f t="shared" si="25"/>
        <v>0</v>
      </c>
      <c r="AC98">
        <f t="shared" si="14"/>
        <v>221692.80150628858</v>
      </c>
      <c r="AD98">
        <f t="shared" si="15"/>
        <v>220162.89430241816</v>
      </c>
      <c r="AE98">
        <f t="shared" si="16"/>
        <v>217940.73427663278</v>
      </c>
      <c r="AF98">
        <f t="shared" si="17"/>
        <v>217593.26650238363</v>
      </c>
      <c r="AG98">
        <f t="shared" si="18"/>
        <v>215663.95522170415</v>
      </c>
      <c r="AH98">
        <f t="shared" si="19"/>
        <v>213515.33318923891</v>
      </c>
      <c r="AI98">
        <f t="shared" si="26"/>
        <v>221692.80150628858</v>
      </c>
    </row>
    <row r="99" spans="2:35" x14ac:dyDescent="0.3">
      <c r="B99">
        <v>56</v>
      </c>
      <c r="C99">
        <v>77429.886700000003</v>
      </c>
      <c r="D99">
        <v>75935.362200000003</v>
      </c>
      <c r="E99">
        <v>75736.4234</v>
      </c>
      <c r="F99">
        <v>75538.082200000004</v>
      </c>
      <c r="G99">
        <v>75317.805600000007</v>
      </c>
      <c r="H99">
        <v>75259.578500000003</v>
      </c>
      <c r="I99">
        <v>9.9291060661861454</v>
      </c>
      <c r="J99">
        <v>9.9146654128393354</v>
      </c>
      <c r="K99">
        <v>9.9016229004504677</v>
      </c>
      <c r="L99">
        <v>9.8985943817690512</v>
      </c>
      <c r="M99">
        <v>9.8870752553934729</v>
      </c>
      <c r="N99">
        <v>9.8765667695954349</v>
      </c>
      <c r="P99">
        <f t="shared" si="8"/>
        <v>220443.29528558438</v>
      </c>
      <c r="Q99">
        <f t="shared" si="9"/>
        <v>221504.60018518005</v>
      </c>
      <c r="R99">
        <f t="shared" si="10"/>
        <v>221312.26361351405</v>
      </c>
      <c r="S99">
        <f t="shared" si="11"/>
        <v>221419.74925307155</v>
      </c>
      <c r="T99">
        <f t="shared" si="12"/>
        <v>221294.45206180419</v>
      </c>
      <c r="U99">
        <f t="shared" si="13"/>
        <v>221037.42458786303</v>
      </c>
      <c r="V99">
        <f t="shared" si="20"/>
        <v>0</v>
      </c>
      <c r="W99">
        <f t="shared" si="21"/>
        <v>1</v>
      </c>
      <c r="X99">
        <f t="shared" si="22"/>
        <v>0</v>
      </c>
      <c r="Y99">
        <f t="shared" si="23"/>
        <v>0</v>
      </c>
      <c r="Z99">
        <f t="shared" si="24"/>
        <v>0</v>
      </c>
      <c r="AA99">
        <f t="shared" si="25"/>
        <v>0</v>
      </c>
      <c r="AC99">
        <f t="shared" si="14"/>
        <v>220443.29528558438</v>
      </c>
      <c r="AD99">
        <f t="shared" si="15"/>
        <v>221504.60018518005</v>
      </c>
      <c r="AE99">
        <f t="shared" si="16"/>
        <v>221312.26361351405</v>
      </c>
      <c r="AF99">
        <f t="shared" si="17"/>
        <v>221419.74925307155</v>
      </c>
      <c r="AG99">
        <f t="shared" si="18"/>
        <v>221294.45206180419</v>
      </c>
      <c r="AH99">
        <f t="shared" si="19"/>
        <v>221037.42458786303</v>
      </c>
      <c r="AI99">
        <f t="shared" si="26"/>
        <v>221504.60018518005</v>
      </c>
    </row>
    <row r="100" spans="2:35" x14ac:dyDescent="0.3">
      <c r="B100">
        <v>57</v>
      </c>
      <c r="C100">
        <v>72202.996799999994</v>
      </c>
      <c r="D100">
        <v>71791.050900000002</v>
      </c>
      <c r="E100">
        <v>72478.529200000004</v>
      </c>
      <c r="F100">
        <v>72694.7454</v>
      </c>
      <c r="G100">
        <v>73310.777199999997</v>
      </c>
      <c r="H100">
        <v>73940.849499999997</v>
      </c>
      <c r="I100">
        <v>9.9914695994759928</v>
      </c>
      <c r="J100">
        <v>9.9436045180304884</v>
      </c>
      <c r="K100">
        <v>9.9165032671296931</v>
      </c>
      <c r="L100">
        <v>9.8939035380632046</v>
      </c>
      <c r="M100">
        <v>9.8724674809712187</v>
      </c>
      <c r="N100">
        <v>9.8319192440489598</v>
      </c>
      <c r="P100">
        <f t="shared" si="8"/>
        <v>227541.09118427979</v>
      </c>
      <c r="Q100">
        <f t="shared" si="9"/>
        <v>226517.08464091466</v>
      </c>
      <c r="R100">
        <f t="shared" si="10"/>
        <v>225016.5688138908</v>
      </c>
      <c r="S100">
        <f t="shared" si="11"/>
        <v>224122.36074189615</v>
      </c>
      <c r="T100">
        <f t="shared" si="12"/>
        <v>222863.24722913653</v>
      </c>
      <c r="U100">
        <f t="shared" si="13"/>
        <v>221016.72782146878</v>
      </c>
      <c r="V100">
        <f t="shared" si="20"/>
        <v>1</v>
      </c>
      <c r="W100">
        <f t="shared" si="21"/>
        <v>0</v>
      </c>
      <c r="X100">
        <f t="shared" si="22"/>
        <v>0</v>
      </c>
      <c r="Y100">
        <f t="shared" si="23"/>
        <v>0</v>
      </c>
      <c r="Z100">
        <f t="shared" si="24"/>
        <v>0</v>
      </c>
      <c r="AA100">
        <f t="shared" si="25"/>
        <v>0</v>
      </c>
      <c r="AC100">
        <f t="shared" si="14"/>
        <v>227541.09118427979</v>
      </c>
      <c r="AD100">
        <f t="shared" si="15"/>
        <v>226517.08464091466</v>
      </c>
      <c r="AE100">
        <f t="shared" si="16"/>
        <v>225016.5688138908</v>
      </c>
      <c r="AF100">
        <f t="shared" si="17"/>
        <v>224122.36074189615</v>
      </c>
      <c r="AG100">
        <f t="shared" si="18"/>
        <v>222863.24722913653</v>
      </c>
      <c r="AH100">
        <f t="shared" si="19"/>
        <v>221016.72782146878</v>
      </c>
      <c r="AI100">
        <f t="shared" si="26"/>
        <v>227541.09118427979</v>
      </c>
    </row>
    <row r="101" spans="2:35" x14ac:dyDescent="0.3">
      <c r="B101">
        <v>58</v>
      </c>
      <c r="C101">
        <v>81254.0383</v>
      </c>
      <c r="D101">
        <v>80790.502900000007</v>
      </c>
      <c r="E101">
        <v>81545.385800000004</v>
      </c>
      <c r="F101">
        <v>81336.501900000003</v>
      </c>
      <c r="G101">
        <v>82030.062900000004</v>
      </c>
      <c r="H101">
        <v>82729.323600000003</v>
      </c>
      <c r="I101">
        <v>9.9292803327551766</v>
      </c>
      <c r="J101">
        <v>9.8954075469535692</v>
      </c>
      <c r="K101">
        <v>9.8773206658366011</v>
      </c>
      <c r="L101">
        <v>9.8780962316143253</v>
      </c>
      <c r="M101">
        <v>9.8366618556522791</v>
      </c>
      <c r="N101">
        <v>9.8165190776463085</v>
      </c>
      <c r="P101">
        <f t="shared" si="8"/>
        <v>216624.3716826553</v>
      </c>
      <c r="Q101">
        <f t="shared" si="9"/>
        <v>216071.72350860707</v>
      </c>
      <c r="R101">
        <f t="shared" si="10"/>
        <v>214774.23417509807</v>
      </c>
      <c r="S101">
        <f t="shared" si="11"/>
        <v>215006.38504842974</v>
      </c>
      <c r="T101">
        <f t="shared" si="12"/>
        <v>213069.79276956833</v>
      </c>
      <c r="U101">
        <f t="shared" si="13"/>
        <v>211766.24872938928</v>
      </c>
      <c r="V101">
        <f t="shared" si="20"/>
        <v>1</v>
      </c>
      <c r="W101">
        <f t="shared" si="21"/>
        <v>0</v>
      </c>
      <c r="X101">
        <f t="shared" si="22"/>
        <v>0</v>
      </c>
      <c r="Y101">
        <f t="shared" si="23"/>
        <v>0</v>
      </c>
      <c r="Z101">
        <f t="shared" si="24"/>
        <v>0</v>
      </c>
      <c r="AA101">
        <f t="shared" si="25"/>
        <v>0</v>
      </c>
      <c r="AC101">
        <f t="shared" si="14"/>
        <v>216624.3716826553</v>
      </c>
      <c r="AD101">
        <f t="shared" si="15"/>
        <v>216071.72350860707</v>
      </c>
      <c r="AE101">
        <f t="shared" si="16"/>
        <v>214774.23417509807</v>
      </c>
      <c r="AF101">
        <f t="shared" si="17"/>
        <v>215006.38504842974</v>
      </c>
      <c r="AG101">
        <f t="shared" si="18"/>
        <v>213069.79276956833</v>
      </c>
      <c r="AH101">
        <f t="shared" si="19"/>
        <v>211766.24872938928</v>
      </c>
      <c r="AI101">
        <f t="shared" si="26"/>
        <v>216624.3716826553</v>
      </c>
    </row>
    <row r="102" spans="2:35" x14ac:dyDescent="0.3">
      <c r="B102">
        <v>59</v>
      </c>
      <c r="C102">
        <v>72995.862899999993</v>
      </c>
      <c r="D102">
        <v>71297.090899999996</v>
      </c>
      <c r="E102">
        <v>71054.094800000006</v>
      </c>
      <c r="F102">
        <v>70682.018400000001</v>
      </c>
      <c r="G102">
        <v>70761.208100000003</v>
      </c>
      <c r="H102">
        <v>70123.506800000003</v>
      </c>
      <c r="I102">
        <v>9.845354115207094</v>
      </c>
      <c r="J102">
        <v>9.795851499159248</v>
      </c>
      <c r="K102">
        <v>9.767127912081758</v>
      </c>
      <c r="L102">
        <v>9.7446470567350563</v>
      </c>
      <c r="M102">
        <v>9.7346982216498024</v>
      </c>
      <c r="N102">
        <v>9.6822732132512499</v>
      </c>
      <c r="P102">
        <f t="shared" si="8"/>
        <v>222364.7605562128</v>
      </c>
      <c r="Q102">
        <f t="shared" si="9"/>
        <v>222578.45407477743</v>
      </c>
      <c r="R102">
        <f t="shared" si="10"/>
        <v>221959.74256245274</v>
      </c>
      <c r="S102">
        <f t="shared" si="11"/>
        <v>221657.3933020517</v>
      </c>
      <c r="T102">
        <f t="shared" si="12"/>
        <v>221279.73854949407</v>
      </c>
      <c r="U102">
        <f t="shared" si="13"/>
        <v>220344.68959753748</v>
      </c>
      <c r="V102">
        <f t="shared" si="20"/>
        <v>0</v>
      </c>
      <c r="W102">
        <f t="shared" si="21"/>
        <v>1</v>
      </c>
      <c r="X102">
        <f t="shared" si="22"/>
        <v>0</v>
      </c>
      <c r="Y102">
        <f t="shared" si="23"/>
        <v>0</v>
      </c>
      <c r="Z102">
        <f t="shared" si="24"/>
        <v>0</v>
      </c>
      <c r="AA102">
        <f t="shared" si="25"/>
        <v>0</v>
      </c>
      <c r="AC102">
        <f t="shared" si="14"/>
        <v>222364.7605562128</v>
      </c>
      <c r="AD102">
        <f t="shared" si="15"/>
        <v>222578.45407477743</v>
      </c>
      <c r="AE102">
        <f t="shared" si="16"/>
        <v>221959.74256245274</v>
      </c>
      <c r="AF102">
        <f t="shared" si="17"/>
        <v>221657.3933020517</v>
      </c>
      <c r="AG102">
        <f t="shared" si="18"/>
        <v>221279.73854949407</v>
      </c>
      <c r="AH102">
        <f t="shared" si="19"/>
        <v>220344.68959753748</v>
      </c>
      <c r="AI102">
        <f t="shared" si="26"/>
        <v>222578.45407477743</v>
      </c>
    </row>
    <row r="103" spans="2:35" x14ac:dyDescent="0.3">
      <c r="B103">
        <v>60</v>
      </c>
      <c r="C103">
        <v>76839.407099999997</v>
      </c>
      <c r="D103">
        <v>76496.971000000005</v>
      </c>
      <c r="E103">
        <v>77226.035900000003</v>
      </c>
      <c r="F103">
        <v>77321.828099999999</v>
      </c>
      <c r="G103">
        <v>78024.865099999995</v>
      </c>
      <c r="H103">
        <v>78804.535300000003</v>
      </c>
      <c r="I103">
        <v>9.6362986072763803</v>
      </c>
      <c r="J103">
        <v>9.5968971623877266</v>
      </c>
      <c r="K103">
        <v>9.5608799624135177</v>
      </c>
      <c r="L103">
        <v>9.5472387593894013</v>
      </c>
      <c r="M103">
        <v>9.5184456448770014</v>
      </c>
      <c r="N103">
        <v>9.4902672997548088</v>
      </c>
      <c r="P103">
        <f t="shared" si="8"/>
        <v>212249.55111829139</v>
      </c>
      <c r="Q103">
        <f t="shared" si="9"/>
        <v>211409.94387163175</v>
      </c>
      <c r="R103">
        <f t="shared" si="10"/>
        <v>209600.36297240551</v>
      </c>
      <c r="S103">
        <f t="shared" si="11"/>
        <v>209095.33468168206</v>
      </c>
      <c r="T103">
        <f t="shared" si="12"/>
        <v>207528.50424631004</v>
      </c>
      <c r="U103">
        <f t="shared" si="13"/>
        <v>205903.48369264428</v>
      </c>
      <c r="V103">
        <f t="shared" si="20"/>
        <v>1</v>
      </c>
      <c r="W103">
        <f t="shared" si="21"/>
        <v>0</v>
      </c>
      <c r="X103">
        <f t="shared" si="22"/>
        <v>0</v>
      </c>
      <c r="Y103">
        <f t="shared" si="23"/>
        <v>0</v>
      </c>
      <c r="Z103">
        <f t="shared" si="24"/>
        <v>0</v>
      </c>
      <c r="AA103">
        <f t="shared" si="25"/>
        <v>0</v>
      </c>
      <c r="AC103">
        <f t="shared" si="14"/>
        <v>212249.55111829139</v>
      </c>
      <c r="AD103">
        <f t="shared" si="15"/>
        <v>211409.94387163175</v>
      </c>
      <c r="AE103">
        <f t="shared" si="16"/>
        <v>209600.36297240551</v>
      </c>
      <c r="AF103">
        <f t="shared" si="17"/>
        <v>209095.33468168206</v>
      </c>
      <c r="AG103">
        <f t="shared" si="18"/>
        <v>207528.50424631004</v>
      </c>
      <c r="AH103">
        <f t="shared" si="19"/>
        <v>205903.48369264428</v>
      </c>
      <c r="AI103">
        <f t="shared" si="26"/>
        <v>212249.55111829139</v>
      </c>
    </row>
    <row r="104" spans="2:35" x14ac:dyDescent="0.3">
      <c r="B104">
        <v>61</v>
      </c>
      <c r="C104">
        <v>78344.403200000001</v>
      </c>
      <c r="D104">
        <v>77332.920700000002</v>
      </c>
      <c r="E104">
        <v>77602.170499999993</v>
      </c>
      <c r="F104">
        <v>77470.042700000005</v>
      </c>
      <c r="G104">
        <v>77757.005000000005</v>
      </c>
      <c r="H104">
        <v>77990.206399999995</v>
      </c>
      <c r="I104">
        <v>9.6885360143106194</v>
      </c>
      <c r="J104">
        <v>9.6580668491517656</v>
      </c>
      <c r="K104">
        <v>9.6400359619865554</v>
      </c>
      <c r="L104">
        <v>9.630638684394965</v>
      </c>
      <c r="M104">
        <v>9.608264311638127</v>
      </c>
      <c r="N104">
        <v>9.5857400941909567</v>
      </c>
      <c r="P104">
        <f t="shared" si="8"/>
        <v>212311.67722931859</v>
      </c>
      <c r="Q104">
        <f t="shared" si="9"/>
        <v>212409.08477455296</v>
      </c>
      <c r="R104">
        <f t="shared" si="10"/>
        <v>211598.90835959668</v>
      </c>
      <c r="S104">
        <f t="shared" si="11"/>
        <v>211449.11783184897</v>
      </c>
      <c r="T104">
        <f t="shared" si="12"/>
        <v>210490.92434914381</v>
      </c>
      <c r="U104">
        <f t="shared" si="13"/>
        <v>209581.99642572869</v>
      </c>
      <c r="V104">
        <f t="shared" si="20"/>
        <v>0</v>
      </c>
      <c r="W104">
        <f t="shared" si="21"/>
        <v>1</v>
      </c>
      <c r="X104">
        <f t="shared" si="22"/>
        <v>0</v>
      </c>
      <c r="Y104">
        <f t="shared" si="23"/>
        <v>0</v>
      </c>
      <c r="Z104">
        <f t="shared" si="24"/>
        <v>0</v>
      </c>
      <c r="AA104">
        <f t="shared" si="25"/>
        <v>0</v>
      </c>
      <c r="AC104">
        <f t="shared" si="14"/>
        <v>212311.67722931859</v>
      </c>
      <c r="AD104">
        <f t="shared" si="15"/>
        <v>212409.08477455296</v>
      </c>
      <c r="AE104">
        <f t="shared" si="16"/>
        <v>211598.90835959668</v>
      </c>
      <c r="AF104">
        <f t="shared" si="17"/>
        <v>211449.11783184897</v>
      </c>
      <c r="AG104">
        <f t="shared" si="18"/>
        <v>210490.92434914381</v>
      </c>
      <c r="AH104">
        <f t="shared" si="19"/>
        <v>209581.99642572869</v>
      </c>
      <c r="AI104">
        <f t="shared" si="26"/>
        <v>212409.08477455296</v>
      </c>
    </row>
    <row r="105" spans="2:35" x14ac:dyDescent="0.3">
      <c r="B105">
        <v>62</v>
      </c>
      <c r="C105">
        <v>73354.861699999994</v>
      </c>
      <c r="D105">
        <v>73392.895999999993</v>
      </c>
      <c r="E105">
        <v>74259.527100000007</v>
      </c>
      <c r="F105">
        <v>74140.795499999993</v>
      </c>
      <c r="G105">
        <v>74826.845000000001</v>
      </c>
      <c r="H105">
        <v>76094.271399999998</v>
      </c>
      <c r="I105">
        <v>9.3747500170286138</v>
      </c>
      <c r="J105">
        <v>9.3391734979874919</v>
      </c>
      <c r="K105">
        <v>9.3298701118556657</v>
      </c>
      <c r="L105">
        <v>9.325196600653495</v>
      </c>
      <c r="M105">
        <v>9.3024821902175088</v>
      </c>
      <c r="N105">
        <v>9.2806104167682779</v>
      </c>
      <c r="P105">
        <f t="shared" si="8"/>
        <v>207887.63881085842</v>
      </c>
      <c r="Q105">
        <f t="shared" si="9"/>
        <v>206782.30893962475</v>
      </c>
      <c r="R105">
        <f t="shared" si="10"/>
        <v>205636.57625566999</v>
      </c>
      <c r="S105">
        <f t="shared" si="11"/>
        <v>205615.10251960484</v>
      </c>
      <c r="T105">
        <f t="shared" si="12"/>
        <v>204247.62070652525</v>
      </c>
      <c r="U105">
        <f t="shared" si="13"/>
        <v>202324.04110304834</v>
      </c>
      <c r="V105">
        <f t="shared" si="20"/>
        <v>1</v>
      </c>
      <c r="W105">
        <f t="shared" si="21"/>
        <v>0</v>
      </c>
      <c r="X105">
        <f t="shared" si="22"/>
        <v>0</v>
      </c>
      <c r="Y105">
        <f t="shared" si="23"/>
        <v>0</v>
      </c>
      <c r="Z105">
        <f t="shared" si="24"/>
        <v>0</v>
      </c>
      <c r="AA105">
        <f t="shared" si="25"/>
        <v>0</v>
      </c>
      <c r="AC105">
        <f t="shared" si="14"/>
        <v>207887.63881085842</v>
      </c>
      <c r="AD105">
        <f t="shared" si="15"/>
        <v>206782.30893962475</v>
      </c>
      <c r="AE105">
        <f t="shared" si="16"/>
        <v>205636.57625566999</v>
      </c>
      <c r="AF105">
        <f t="shared" si="17"/>
        <v>205615.10251960484</v>
      </c>
      <c r="AG105">
        <f t="shared" si="18"/>
        <v>204247.62070652525</v>
      </c>
      <c r="AH105">
        <f t="shared" si="19"/>
        <v>202324.04110304834</v>
      </c>
      <c r="AI105">
        <f t="shared" si="26"/>
        <v>207887.63881085842</v>
      </c>
    </row>
    <row r="106" spans="2:35" x14ac:dyDescent="0.3">
      <c r="B106">
        <v>63</v>
      </c>
      <c r="C106">
        <v>69608.441600000006</v>
      </c>
      <c r="D106">
        <v>68029.102100000004</v>
      </c>
      <c r="E106">
        <v>67669.036399999997</v>
      </c>
      <c r="F106">
        <v>67334.890199999994</v>
      </c>
      <c r="G106">
        <v>67101.275099999999</v>
      </c>
      <c r="H106">
        <v>66637.709799999997</v>
      </c>
      <c r="I106">
        <v>9.1970522154504426</v>
      </c>
      <c r="J106">
        <v>9.1860166160832595</v>
      </c>
      <c r="K106">
        <v>9.1765059361902903</v>
      </c>
      <c r="L106">
        <v>9.173623999611257</v>
      </c>
      <c r="M106">
        <v>9.1644163704710735</v>
      </c>
      <c r="N106">
        <v>9.1525446583974368</v>
      </c>
      <c r="P106">
        <f t="shared" si="8"/>
        <v>206303.12486351328</v>
      </c>
      <c r="Q106">
        <f t="shared" si="9"/>
        <v>207551.39638249774</v>
      </c>
      <c r="R106">
        <f t="shared" si="10"/>
        <v>207626.14168570872</v>
      </c>
      <c r="S106">
        <f t="shared" si="11"/>
        <v>207873.82978833772</v>
      </c>
      <c r="T106">
        <f t="shared" si="12"/>
        <v>207831.21601413222</v>
      </c>
      <c r="U106">
        <f t="shared" si="13"/>
        <v>207938.6299519231</v>
      </c>
      <c r="V106">
        <f t="shared" si="20"/>
        <v>0</v>
      </c>
      <c r="W106">
        <f t="shared" si="21"/>
        <v>0</v>
      </c>
      <c r="X106">
        <f t="shared" si="22"/>
        <v>0</v>
      </c>
      <c r="Y106">
        <f t="shared" si="23"/>
        <v>0</v>
      </c>
      <c r="Z106">
        <f t="shared" si="24"/>
        <v>0</v>
      </c>
      <c r="AA106">
        <f t="shared" si="25"/>
        <v>1</v>
      </c>
      <c r="AC106">
        <f t="shared" si="14"/>
        <v>206303.12486351328</v>
      </c>
      <c r="AD106">
        <f t="shared" si="15"/>
        <v>207551.39638249774</v>
      </c>
      <c r="AE106">
        <f t="shared" si="16"/>
        <v>207626.14168570872</v>
      </c>
      <c r="AF106">
        <f t="shared" si="17"/>
        <v>207873.82978833772</v>
      </c>
      <c r="AG106">
        <f t="shared" si="18"/>
        <v>207831.21601413222</v>
      </c>
      <c r="AH106">
        <f t="shared" si="19"/>
        <v>207938.6299519231</v>
      </c>
      <c r="AI106">
        <f t="shared" si="26"/>
        <v>207938.6299519231</v>
      </c>
    </row>
    <row r="107" spans="2:35" x14ac:dyDescent="0.3">
      <c r="B107">
        <v>64</v>
      </c>
      <c r="C107">
        <v>75768.208899999998</v>
      </c>
      <c r="D107">
        <v>75513.993100000007</v>
      </c>
      <c r="E107">
        <v>75966.571299999996</v>
      </c>
      <c r="F107">
        <v>76204.290999999997</v>
      </c>
      <c r="G107">
        <v>76635.055399999997</v>
      </c>
      <c r="H107">
        <v>77420.515100000004</v>
      </c>
      <c r="I107">
        <v>9.792695055571329</v>
      </c>
      <c r="J107">
        <v>9.787161255718047</v>
      </c>
      <c r="K107">
        <v>9.7832042015192933</v>
      </c>
      <c r="L107">
        <v>9.7802703212245259</v>
      </c>
      <c r="M107">
        <v>9.7761231089680543</v>
      </c>
      <c r="N107">
        <v>9.7722688284160792</v>
      </c>
      <c r="P107">
        <f t="shared" si="8"/>
        <v>218012.64276713986</v>
      </c>
      <c r="Q107">
        <f t="shared" si="9"/>
        <v>218100.84457154141</v>
      </c>
      <c r="R107">
        <f t="shared" si="10"/>
        <v>217529.55474557879</v>
      </c>
      <c r="S107">
        <f t="shared" si="11"/>
        <v>217203.81863673576</v>
      </c>
      <c r="T107">
        <f t="shared" si="12"/>
        <v>216648.63786904159</v>
      </c>
      <c r="U107">
        <f t="shared" si="13"/>
        <v>215747.54975248239</v>
      </c>
      <c r="V107">
        <f t="shared" si="20"/>
        <v>0</v>
      </c>
      <c r="W107">
        <f t="shared" si="21"/>
        <v>1</v>
      </c>
      <c r="X107">
        <f t="shared" si="22"/>
        <v>0</v>
      </c>
      <c r="Y107">
        <f t="shared" si="23"/>
        <v>0</v>
      </c>
      <c r="Z107">
        <f t="shared" si="24"/>
        <v>0</v>
      </c>
      <c r="AA107">
        <f t="shared" si="25"/>
        <v>0</v>
      </c>
      <c r="AC107">
        <f t="shared" si="14"/>
        <v>218012.64276713986</v>
      </c>
      <c r="AD107">
        <f t="shared" si="15"/>
        <v>218100.84457154141</v>
      </c>
      <c r="AE107">
        <f t="shared" si="16"/>
        <v>217529.55474557879</v>
      </c>
      <c r="AF107">
        <f t="shared" si="17"/>
        <v>217203.81863673576</v>
      </c>
      <c r="AG107">
        <f t="shared" si="18"/>
        <v>216648.63786904159</v>
      </c>
      <c r="AH107">
        <f t="shared" si="19"/>
        <v>215747.54975248239</v>
      </c>
      <c r="AI107">
        <f t="shared" si="26"/>
        <v>218100.84457154141</v>
      </c>
    </row>
    <row r="108" spans="2:35" x14ac:dyDescent="0.3">
      <c r="B108">
        <v>65</v>
      </c>
      <c r="C108">
        <v>73524.804699999993</v>
      </c>
      <c r="D108">
        <v>73306.989300000001</v>
      </c>
      <c r="E108">
        <v>74184.020699999994</v>
      </c>
      <c r="F108">
        <v>74218.650699999998</v>
      </c>
      <c r="G108">
        <v>74976.217300000004</v>
      </c>
      <c r="H108">
        <v>75919.218299999993</v>
      </c>
      <c r="I108">
        <v>9.390275256997759</v>
      </c>
      <c r="J108">
        <v>9.3696623260743124</v>
      </c>
      <c r="K108">
        <v>9.3537660954948816</v>
      </c>
      <c r="L108">
        <v>9.3459973987072402</v>
      </c>
      <c r="M108">
        <v>9.3330858086014548</v>
      </c>
      <c r="N108">
        <v>9.3127623833498241</v>
      </c>
      <c r="P108">
        <f t="shared" ref="P108:P171" si="27">Threshold*I108-C108</f>
        <v>208183.45300993277</v>
      </c>
      <c r="Q108">
        <f t="shared" ref="Q108:Q171" si="28">Threshold*J108-D108</f>
        <v>207782.88048222935</v>
      </c>
      <c r="R108">
        <f t="shared" ref="R108:R171" si="29">Threshold*K108-E108</f>
        <v>206428.96216484648</v>
      </c>
      <c r="S108">
        <f t="shared" ref="S108:S171" si="30">Threshold*L108-F108</f>
        <v>206161.27126121719</v>
      </c>
      <c r="T108">
        <f t="shared" ref="T108:T171" si="31">Threshold*M108-G108</f>
        <v>205016.35695804365</v>
      </c>
      <c r="U108">
        <f t="shared" ref="U108:U171" si="32">Threshold*N108-H108</f>
        <v>203463.65320049471</v>
      </c>
      <c r="V108">
        <f t="shared" si="20"/>
        <v>1</v>
      </c>
      <c r="W108">
        <f t="shared" si="21"/>
        <v>0</v>
      </c>
      <c r="X108">
        <f t="shared" si="22"/>
        <v>0</v>
      </c>
      <c r="Y108">
        <f t="shared" si="23"/>
        <v>0</v>
      </c>
      <c r="Z108">
        <f t="shared" si="24"/>
        <v>0</v>
      </c>
      <c r="AA108">
        <f t="shared" si="25"/>
        <v>0</v>
      </c>
      <c r="AC108">
        <f t="shared" ref="AC108:AC171" si="33">Threshold*I108-C108</f>
        <v>208183.45300993277</v>
      </c>
      <c r="AD108">
        <f t="shared" ref="AD108:AD171" si="34">Threshold*J108-D108</f>
        <v>207782.88048222935</v>
      </c>
      <c r="AE108">
        <f t="shared" ref="AE108:AE171" si="35">Threshold*K108-E108</f>
        <v>206428.96216484648</v>
      </c>
      <c r="AF108">
        <f t="shared" ref="AF108:AF171" si="36">Threshold*L108-F108</f>
        <v>206161.27126121719</v>
      </c>
      <c r="AG108">
        <f t="shared" ref="AG108:AG171" si="37">Threshold*M108-G108</f>
        <v>205016.35695804365</v>
      </c>
      <c r="AH108">
        <f t="shared" ref="AH108:AH171" si="38">Threshold*N108-H108</f>
        <v>203463.65320049471</v>
      </c>
      <c r="AI108">
        <f t="shared" si="26"/>
        <v>208183.45300993277</v>
      </c>
    </row>
    <row r="109" spans="2:35" x14ac:dyDescent="0.3">
      <c r="B109">
        <v>66</v>
      </c>
      <c r="C109">
        <v>82906.355500000005</v>
      </c>
      <c r="D109">
        <v>81561.965299999996</v>
      </c>
      <c r="E109">
        <v>81655.286099999998</v>
      </c>
      <c r="F109">
        <v>81537.989600000001</v>
      </c>
      <c r="G109">
        <v>81504.459300000002</v>
      </c>
      <c r="H109">
        <v>81883.826000000001</v>
      </c>
      <c r="I109">
        <v>9.2820207894641236</v>
      </c>
      <c r="J109">
        <v>9.272391179242943</v>
      </c>
      <c r="K109">
        <v>9.2688771318183036</v>
      </c>
      <c r="L109">
        <v>9.2680246479230224</v>
      </c>
      <c r="M109">
        <v>9.2603059854726464</v>
      </c>
      <c r="N109">
        <v>9.2573623217577676</v>
      </c>
      <c r="P109">
        <f t="shared" si="27"/>
        <v>195554.26818392368</v>
      </c>
      <c r="Q109">
        <f t="shared" si="28"/>
        <v>196609.77007728833</v>
      </c>
      <c r="R109">
        <f t="shared" si="29"/>
        <v>196411.02785454909</v>
      </c>
      <c r="S109">
        <f t="shared" si="30"/>
        <v>196502.74983769064</v>
      </c>
      <c r="T109">
        <f t="shared" si="31"/>
        <v>196304.7202641794</v>
      </c>
      <c r="U109">
        <f t="shared" si="32"/>
        <v>195837.04365273303</v>
      </c>
      <c r="V109">
        <f t="shared" ref="V109:V172" si="39">IF(MAX(P109:U109)=P109, 1, 0)</f>
        <v>0</v>
      </c>
      <c r="W109">
        <f t="shared" ref="W109:W172" si="40">IF(MAX(P109:U109)=Q109, 1, 0)</f>
        <v>1</v>
      </c>
      <c r="X109">
        <f t="shared" ref="X109:X172" si="41">IF(MAX(P109:U109)=R109, 1, 0)</f>
        <v>0</v>
      </c>
      <c r="Y109">
        <f t="shared" ref="Y109:Y172" si="42">IF(MAX(P109:U109)=S109, 1, 0)</f>
        <v>0</v>
      </c>
      <c r="Z109">
        <f t="shared" ref="Z109:Z172" si="43">IF(MAX(P109:U109)=T109, 1, 0)</f>
        <v>0</v>
      </c>
      <c r="AA109">
        <f t="shared" ref="AA109:AA172" si="44">IF(MAX(P109:U109)=U109, 1, 0)</f>
        <v>0</v>
      </c>
      <c r="AC109">
        <f t="shared" si="33"/>
        <v>195554.26818392368</v>
      </c>
      <c r="AD109">
        <f t="shared" si="34"/>
        <v>196609.77007728833</v>
      </c>
      <c r="AE109">
        <f t="shared" si="35"/>
        <v>196411.02785454909</v>
      </c>
      <c r="AF109">
        <f t="shared" si="36"/>
        <v>196502.74983769064</v>
      </c>
      <c r="AG109">
        <f t="shared" si="37"/>
        <v>196304.7202641794</v>
      </c>
      <c r="AH109">
        <f t="shared" si="38"/>
        <v>195837.04365273303</v>
      </c>
      <c r="AI109">
        <f t="shared" ref="AI109:AI172" si="45">MAX(AC109:AH109)</f>
        <v>196609.77007728833</v>
      </c>
    </row>
    <row r="110" spans="2:35" x14ac:dyDescent="0.3">
      <c r="B110">
        <v>67</v>
      </c>
      <c r="C110">
        <v>72513.977700000003</v>
      </c>
      <c r="D110">
        <v>72151.820000000007</v>
      </c>
      <c r="E110">
        <v>73118.915299999993</v>
      </c>
      <c r="F110">
        <v>73056.061000000002</v>
      </c>
      <c r="G110">
        <v>73854.995899999994</v>
      </c>
      <c r="H110">
        <v>75049.213399999993</v>
      </c>
      <c r="I110">
        <v>8.6659314284404463</v>
      </c>
      <c r="J110">
        <v>8.65575021260101</v>
      </c>
      <c r="K110">
        <v>8.6494018379399673</v>
      </c>
      <c r="L110">
        <v>8.6466542540917377</v>
      </c>
      <c r="M110">
        <v>8.638242584253673</v>
      </c>
      <c r="N110">
        <v>8.6289331950699459</v>
      </c>
      <c r="P110">
        <f t="shared" si="27"/>
        <v>187463.96515321336</v>
      </c>
      <c r="Q110">
        <f t="shared" si="28"/>
        <v>187520.68637803028</v>
      </c>
      <c r="R110">
        <f t="shared" si="29"/>
        <v>186363.13983819901</v>
      </c>
      <c r="S110">
        <f t="shared" si="30"/>
        <v>186343.56662275211</v>
      </c>
      <c r="T110">
        <f t="shared" si="31"/>
        <v>185292.28162761021</v>
      </c>
      <c r="U110">
        <f t="shared" si="32"/>
        <v>183818.78245209838</v>
      </c>
      <c r="V110">
        <f t="shared" si="39"/>
        <v>0</v>
      </c>
      <c r="W110">
        <f t="shared" si="40"/>
        <v>1</v>
      </c>
      <c r="X110">
        <f t="shared" si="41"/>
        <v>0</v>
      </c>
      <c r="Y110">
        <f t="shared" si="42"/>
        <v>0</v>
      </c>
      <c r="Z110">
        <f t="shared" si="43"/>
        <v>0</v>
      </c>
      <c r="AA110">
        <f t="shared" si="44"/>
        <v>0</v>
      </c>
      <c r="AC110">
        <f t="shared" si="33"/>
        <v>187463.96515321336</v>
      </c>
      <c r="AD110">
        <f t="shared" si="34"/>
        <v>187520.68637803028</v>
      </c>
      <c r="AE110">
        <f t="shared" si="35"/>
        <v>186363.13983819901</v>
      </c>
      <c r="AF110">
        <f t="shared" si="36"/>
        <v>186343.56662275211</v>
      </c>
      <c r="AG110">
        <f t="shared" si="37"/>
        <v>185292.28162761021</v>
      </c>
      <c r="AH110">
        <f t="shared" si="38"/>
        <v>183818.78245209838</v>
      </c>
      <c r="AI110">
        <f t="shared" si="45"/>
        <v>187520.68637803028</v>
      </c>
    </row>
    <row r="111" spans="2:35" x14ac:dyDescent="0.3">
      <c r="B111">
        <v>68</v>
      </c>
      <c r="C111">
        <v>78252.133199999997</v>
      </c>
      <c r="D111">
        <v>77328.930800000002</v>
      </c>
      <c r="E111">
        <v>77867.634699999995</v>
      </c>
      <c r="F111">
        <v>77719.713199999998</v>
      </c>
      <c r="G111">
        <v>78065.833799999993</v>
      </c>
      <c r="H111">
        <v>78402.272700000001</v>
      </c>
      <c r="I111">
        <v>11.152812809323946</v>
      </c>
      <c r="J111">
        <v>11.144952430972246</v>
      </c>
      <c r="K111">
        <v>11.138799707172812</v>
      </c>
      <c r="L111">
        <v>11.134303759240936</v>
      </c>
      <c r="M111">
        <v>11.128979304260616</v>
      </c>
      <c r="N111">
        <v>11.118028389368391</v>
      </c>
      <c r="P111">
        <f t="shared" si="27"/>
        <v>256332.25107971841</v>
      </c>
      <c r="Q111">
        <f t="shared" si="28"/>
        <v>257019.64212916736</v>
      </c>
      <c r="R111">
        <f t="shared" si="29"/>
        <v>256296.35651518434</v>
      </c>
      <c r="S111">
        <f t="shared" si="30"/>
        <v>256309.39957722806</v>
      </c>
      <c r="T111">
        <f t="shared" si="31"/>
        <v>255803.54532781846</v>
      </c>
      <c r="U111">
        <f t="shared" si="32"/>
        <v>255138.57898105172</v>
      </c>
      <c r="V111">
        <f t="shared" si="39"/>
        <v>0</v>
      </c>
      <c r="W111">
        <f t="shared" si="40"/>
        <v>1</v>
      </c>
      <c r="X111">
        <f t="shared" si="41"/>
        <v>0</v>
      </c>
      <c r="Y111">
        <f t="shared" si="42"/>
        <v>0</v>
      </c>
      <c r="Z111">
        <f t="shared" si="43"/>
        <v>0</v>
      </c>
      <c r="AA111">
        <f t="shared" si="44"/>
        <v>0</v>
      </c>
      <c r="AC111">
        <f t="shared" si="33"/>
        <v>256332.25107971841</v>
      </c>
      <c r="AD111">
        <f t="shared" si="34"/>
        <v>257019.64212916736</v>
      </c>
      <c r="AE111">
        <f t="shared" si="35"/>
        <v>256296.35651518434</v>
      </c>
      <c r="AF111">
        <f t="shared" si="36"/>
        <v>256309.39957722806</v>
      </c>
      <c r="AG111">
        <f t="shared" si="37"/>
        <v>255803.54532781846</v>
      </c>
      <c r="AH111">
        <f t="shared" si="38"/>
        <v>255138.57898105172</v>
      </c>
      <c r="AI111">
        <f t="shared" si="45"/>
        <v>257019.64212916736</v>
      </c>
    </row>
    <row r="112" spans="2:35" x14ac:dyDescent="0.3">
      <c r="B112">
        <v>69</v>
      </c>
      <c r="C112">
        <v>85067.748300000007</v>
      </c>
      <c r="D112">
        <v>84180.861699999994</v>
      </c>
      <c r="E112">
        <v>84524.895600000003</v>
      </c>
      <c r="F112">
        <v>84335.170299999998</v>
      </c>
      <c r="G112">
        <v>84568.852700000003</v>
      </c>
      <c r="H112">
        <v>84990.511499999993</v>
      </c>
      <c r="I112">
        <v>10.481555939582703</v>
      </c>
      <c r="J112">
        <v>10.428823481788964</v>
      </c>
      <c r="K112">
        <v>10.394952758901656</v>
      </c>
      <c r="L112">
        <v>10.384550353542405</v>
      </c>
      <c r="M112">
        <v>10.344459406113353</v>
      </c>
      <c r="N112">
        <v>10.298610872285341</v>
      </c>
      <c r="P112">
        <f t="shared" si="27"/>
        <v>229378.92988748112</v>
      </c>
      <c r="Q112">
        <f t="shared" si="28"/>
        <v>228683.8427536689</v>
      </c>
      <c r="R112">
        <f t="shared" si="29"/>
        <v>227323.68716704968</v>
      </c>
      <c r="S112">
        <f t="shared" si="30"/>
        <v>227201.34030627215</v>
      </c>
      <c r="T112">
        <f t="shared" si="31"/>
        <v>225764.9294834006</v>
      </c>
      <c r="U112">
        <f t="shared" si="32"/>
        <v>223967.81466856026</v>
      </c>
      <c r="V112">
        <f t="shared" si="39"/>
        <v>1</v>
      </c>
      <c r="W112">
        <f t="shared" si="40"/>
        <v>0</v>
      </c>
      <c r="X112">
        <f t="shared" si="41"/>
        <v>0</v>
      </c>
      <c r="Y112">
        <f t="shared" si="42"/>
        <v>0</v>
      </c>
      <c r="Z112">
        <f t="shared" si="43"/>
        <v>0</v>
      </c>
      <c r="AA112">
        <f t="shared" si="44"/>
        <v>0</v>
      </c>
      <c r="AC112">
        <f t="shared" si="33"/>
        <v>229378.92988748112</v>
      </c>
      <c r="AD112">
        <f t="shared" si="34"/>
        <v>228683.8427536689</v>
      </c>
      <c r="AE112">
        <f t="shared" si="35"/>
        <v>227323.68716704968</v>
      </c>
      <c r="AF112">
        <f t="shared" si="36"/>
        <v>227201.34030627215</v>
      </c>
      <c r="AG112">
        <f t="shared" si="37"/>
        <v>225764.9294834006</v>
      </c>
      <c r="AH112">
        <f t="shared" si="38"/>
        <v>223967.81466856026</v>
      </c>
      <c r="AI112">
        <f t="shared" si="45"/>
        <v>229378.92988748112</v>
      </c>
    </row>
    <row r="113" spans="2:35" x14ac:dyDescent="0.3">
      <c r="B113">
        <v>70</v>
      </c>
      <c r="C113">
        <v>95175.653900000005</v>
      </c>
      <c r="D113">
        <v>94021.832899999994</v>
      </c>
      <c r="E113">
        <v>94007.463900000002</v>
      </c>
      <c r="F113">
        <v>93827.389899999995</v>
      </c>
      <c r="G113">
        <v>93836.3079</v>
      </c>
      <c r="H113">
        <v>93936.046199999997</v>
      </c>
      <c r="I113">
        <v>9.8235584499767228</v>
      </c>
      <c r="J113">
        <v>9.8008476886157005</v>
      </c>
      <c r="K113">
        <v>9.7865070423047378</v>
      </c>
      <c r="L113">
        <v>9.7773851875804567</v>
      </c>
      <c r="M113">
        <v>9.7567705353883891</v>
      </c>
      <c r="N113">
        <v>9.7416339422462723</v>
      </c>
      <c r="P113">
        <f t="shared" si="27"/>
        <v>199531.09959930167</v>
      </c>
      <c r="Q113">
        <f t="shared" si="28"/>
        <v>200003.59775847103</v>
      </c>
      <c r="R113">
        <f t="shared" si="29"/>
        <v>199587.7473691421</v>
      </c>
      <c r="S113">
        <f t="shared" si="30"/>
        <v>199494.16572741367</v>
      </c>
      <c r="T113">
        <f t="shared" si="31"/>
        <v>198866.80816165166</v>
      </c>
      <c r="U113">
        <f t="shared" si="32"/>
        <v>198312.97206738818</v>
      </c>
      <c r="V113">
        <f t="shared" si="39"/>
        <v>0</v>
      </c>
      <c r="W113">
        <f t="shared" si="40"/>
        <v>1</v>
      </c>
      <c r="X113">
        <f t="shared" si="41"/>
        <v>0</v>
      </c>
      <c r="Y113">
        <f t="shared" si="42"/>
        <v>0</v>
      </c>
      <c r="Z113">
        <f t="shared" si="43"/>
        <v>0</v>
      </c>
      <c r="AA113">
        <f t="shared" si="44"/>
        <v>0</v>
      </c>
      <c r="AC113">
        <f t="shared" si="33"/>
        <v>199531.09959930167</v>
      </c>
      <c r="AD113">
        <f t="shared" si="34"/>
        <v>200003.59775847103</v>
      </c>
      <c r="AE113">
        <f t="shared" si="35"/>
        <v>199587.7473691421</v>
      </c>
      <c r="AF113">
        <f t="shared" si="36"/>
        <v>199494.16572741367</v>
      </c>
      <c r="AG113">
        <f t="shared" si="37"/>
        <v>198866.80816165166</v>
      </c>
      <c r="AH113">
        <f t="shared" si="38"/>
        <v>198312.97206738818</v>
      </c>
      <c r="AI113">
        <f t="shared" si="45"/>
        <v>200003.59775847103</v>
      </c>
    </row>
    <row r="114" spans="2:35" x14ac:dyDescent="0.3">
      <c r="B114">
        <v>71</v>
      </c>
      <c r="C114">
        <v>73669.525399999999</v>
      </c>
      <c r="D114">
        <v>73318.124100000001</v>
      </c>
      <c r="E114">
        <v>74102.560299999997</v>
      </c>
      <c r="F114">
        <v>74281.9185</v>
      </c>
      <c r="G114">
        <v>74825.230800000005</v>
      </c>
      <c r="H114">
        <v>75597.166500000007</v>
      </c>
      <c r="I114">
        <v>10.498040091854573</v>
      </c>
      <c r="J114">
        <v>10.472572283886308</v>
      </c>
      <c r="K114">
        <v>10.454210848149687</v>
      </c>
      <c r="L114">
        <v>10.443970525707131</v>
      </c>
      <c r="M114">
        <v>10.428526026843691</v>
      </c>
      <c r="N114">
        <v>10.411780950744932</v>
      </c>
      <c r="P114">
        <f t="shared" si="27"/>
        <v>241271.67735563719</v>
      </c>
      <c r="Q114">
        <f t="shared" si="28"/>
        <v>240859.0444165892</v>
      </c>
      <c r="R114">
        <f t="shared" si="29"/>
        <v>239523.76514449058</v>
      </c>
      <c r="S114">
        <f t="shared" si="30"/>
        <v>239037.19727121395</v>
      </c>
      <c r="T114">
        <f t="shared" si="31"/>
        <v>238030.55000531074</v>
      </c>
      <c r="U114">
        <f t="shared" si="32"/>
        <v>236756.26202234795</v>
      </c>
      <c r="V114">
        <f t="shared" si="39"/>
        <v>1</v>
      </c>
      <c r="W114">
        <f t="shared" si="40"/>
        <v>0</v>
      </c>
      <c r="X114">
        <f t="shared" si="41"/>
        <v>0</v>
      </c>
      <c r="Y114">
        <f t="shared" si="42"/>
        <v>0</v>
      </c>
      <c r="Z114">
        <f t="shared" si="43"/>
        <v>0</v>
      </c>
      <c r="AA114">
        <f t="shared" si="44"/>
        <v>0</v>
      </c>
      <c r="AC114">
        <f t="shared" si="33"/>
        <v>241271.67735563719</v>
      </c>
      <c r="AD114">
        <f t="shared" si="34"/>
        <v>240859.0444165892</v>
      </c>
      <c r="AE114">
        <f t="shared" si="35"/>
        <v>239523.76514449058</v>
      </c>
      <c r="AF114">
        <f t="shared" si="36"/>
        <v>239037.19727121395</v>
      </c>
      <c r="AG114">
        <f t="shared" si="37"/>
        <v>238030.55000531074</v>
      </c>
      <c r="AH114">
        <f t="shared" si="38"/>
        <v>236756.26202234795</v>
      </c>
      <c r="AI114">
        <f t="shared" si="45"/>
        <v>241271.67735563719</v>
      </c>
    </row>
    <row r="115" spans="2:35" x14ac:dyDescent="0.3">
      <c r="B115">
        <v>72</v>
      </c>
      <c r="C115">
        <v>75447.748699999996</v>
      </c>
      <c r="D115">
        <v>75534.881500000003</v>
      </c>
      <c r="E115">
        <v>76365.596099999995</v>
      </c>
      <c r="F115">
        <v>76496.810599999997</v>
      </c>
      <c r="G115">
        <v>77681.090700000001</v>
      </c>
      <c r="H115">
        <v>78498.850099999996</v>
      </c>
      <c r="I115">
        <v>10.551594699797965</v>
      </c>
      <c r="J115">
        <v>10.513917460984747</v>
      </c>
      <c r="K115">
        <v>10.493992584921395</v>
      </c>
      <c r="L115">
        <v>10.484704643685287</v>
      </c>
      <c r="M115">
        <v>10.456431479499829</v>
      </c>
      <c r="N115">
        <v>10.432173382413517</v>
      </c>
      <c r="P115">
        <f t="shared" si="27"/>
        <v>241100.09229393897</v>
      </c>
      <c r="Q115">
        <f t="shared" si="28"/>
        <v>239882.64232954237</v>
      </c>
      <c r="R115">
        <f t="shared" si="29"/>
        <v>238454.18144764184</v>
      </c>
      <c r="S115">
        <f t="shared" si="30"/>
        <v>238044.32871055862</v>
      </c>
      <c r="T115">
        <f t="shared" si="31"/>
        <v>236011.85368499486</v>
      </c>
      <c r="U115">
        <f t="shared" si="32"/>
        <v>234466.35137240554</v>
      </c>
      <c r="V115">
        <f t="shared" si="39"/>
        <v>1</v>
      </c>
      <c r="W115">
        <f t="shared" si="40"/>
        <v>0</v>
      </c>
      <c r="X115">
        <f t="shared" si="41"/>
        <v>0</v>
      </c>
      <c r="Y115">
        <f t="shared" si="42"/>
        <v>0</v>
      </c>
      <c r="Z115">
        <f t="shared" si="43"/>
        <v>0</v>
      </c>
      <c r="AA115">
        <f t="shared" si="44"/>
        <v>0</v>
      </c>
      <c r="AC115">
        <f t="shared" si="33"/>
        <v>241100.09229393897</v>
      </c>
      <c r="AD115">
        <f t="shared" si="34"/>
        <v>239882.64232954237</v>
      </c>
      <c r="AE115">
        <f t="shared" si="35"/>
        <v>238454.18144764184</v>
      </c>
      <c r="AF115">
        <f t="shared" si="36"/>
        <v>238044.32871055862</v>
      </c>
      <c r="AG115">
        <f t="shared" si="37"/>
        <v>236011.85368499486</v>
      </c>
      <c r="AH115">
        <f t="shared" si="38"/>
        <v>234466.35137240554</v>
      </c>
      <c r="AI115">
        <f t="shared" si="45"/>
        <v>241100.09229393897</v>
      </c>
    </row>
    <row r="116" spans="2:35" x14ac:dyDescent="0.3">
      <c r="B116">
        <v>73</v>
      </c>
      <c r="C116">
        <v>81329.820900000006</v>
      </c>
      <c r="D116">
        <v>80101.675900000002</v>
      </c>
      <c r="E116">
        <v>80199.550099999993</v>
      </c>
      <c r="F116">
        <v>79905.943299999999</v>
      </c>
      <c r="G116">
        <v>80077.612099999998</v>
      </c>
      <c r="H116">
        <v>80088.791100000002</v>
      </c>
      <c r="I116">
        <v>8.8192980435774579</v>
      </c>
      <c r="J116">
        <v>8.8006803644707201</v>
      </c>
      <c r="K116">
        <v>8.7916430331851441</v>
      </c>
      <c r="L116">
        <v>8.7823938198109985</v>
      </c>
      <c r="M116">
        <v>8.7749694948590342</v>
      </c>
      <c r="N116">
        <v>8.7566847388683389</v>
      </c>
      <c r="P116">
        <f t="shared" si="27"/>
        <v>183249.12040732376</v>
      </c>
      <c r="Q116">
        <f t="shared" si="28"/>
        <v>183918.73503412158</v>
      </c>
      <c r="R116">
        <f t="shared" si="29"/>
        <v>183549.74089555431</v>
      </c>
      <c r="S116">
        <f t="shared" si="30"/>
        <v>183565.87129432999</v>
      </c>
      <c r="T116">
        <f t="shared" si="31"/>
        <v>183171.47274577103</v>
      </c>
      <c r="U116">
        <f t="shared" si="32"/>
        <v>182611.75106605017</v>
      </c>
      <c r="V116">
        <f t="shared" si="39"/>
        <v>0</v>
      </c>
      <c r="W116">
        <f t="shared" si="40"/>
        <v>1</v>
      </c>
      <c r="X116">
        <f t="shared" si="41"/>
        <v>0</v>
      </c>
      <c r="Y116">
        <f t="shared" si="42"/>
        <v>0</v>
      </c>
      <c r="Z116">
        <f t="shared" si="43"/>
        <v>0</v>
      </c>
      <c r="AA116">
        <f t="shared" si="44"/>
        <v>0</v>
      </c>
      <c r="AC116">
        <f t="shared" si="33"/>
        <v>183249.12040732376</v>
      </c>
      <c r="AD116">
        <f t="shared" si="34"/>
        <v>183918.73503412158</v>
      </c>
      <c r="AE116">
        <f t="shared" si="35"/>
        <v>183549.74089555431</v>
      </c>
      <c r="AF116">
        <f t="shared" si="36"/>
        <v>183565.87129432999</v>
      </c>
      <c r="AG116">
        <f t="shared" si="37"/>
        <v>183171.47274577103</v>
      </c>
      <c r="AH116">
        <f t="shared" si="38"/>
        <v>182611.75106605017</v>
      </c>
      <c r="AI116">
        <f t="shared" si="45"/>
        <v>183918.73503412158</v>
      </c>
    </row>
    <row r="117" spans="2:35" x14ac:dyDescent="0.3">
      <c r="B117">
        <v>74</v>
      </c>
      <c r="C117">
        <v>77752.183000000005</v>
      </c>
      <c r="D117">
        <v>77277.361399999994</v>
      </c>
      <c r="E117">
        <v>77836.548999999999</v>
      </c>
      <c r="F117">
        <v>77936.024799999999</v>
      </c>
      <c r="G117">
        <v>78426.111199999999</v>
      </c>
      <c r="H117">
        <v>79160.958100000003</v>
      </c>
      <c r="I117">
        <v>10.928008197083805</v>
      </c>
      <c r="J117">
        <v>10.883614497679604</v>
      </c>
      <c r="K117">
        <v>10.860643131801993</v>
      </c>
      <c r="L117">
        <v>10.846669647504729</v>
      </c>
      <c r="M117">
        <v>10.820344305693444</v>
      </c>
      <c r="N117">
        <v>10.791486169183788</v>
      </c>
      <c r="P117">
        <f t="shared" si="27"/>
        <v>250088.06291251414</v>
      </c>
      <c r="Q117">
        <f t="shared" si="28"/>
        <v>249231.07353038812</v>
      </c>
      <c r="R117">
        <f t="shared" si="29"/>
        <v>247982.74495405977</v>
      </c>
      <c r="S117">
        <f t="shared" si="30"/>
        <v>247464.06462514185</v>
      </c>
      <c r="T117">
        <f t="shared" si="31"/>
        <v>246184.21797080332</v>
      </c>
      <c r="U117">
        <f t="shared" si="32"/>
        <v>244583.62697551365</v>
      </c>
      <c r="V117">
        <f t="shared" si="39"/>
        <v>1</v>
      </c>
      <c r="W117">
        <f t="shared" si="40"/>
        <v>0</v>
      </c>
      <c r="X117">
        <f t="shared" si="41"/>
        <v>0</v>
      </c>
      <c r="Y117">
        <f t="shared" si="42"/>
        <v>0</v>
      </c>
      <c r="Z117">
        <f t="shared" si="43"/>
        <v>0</v>
      </c>
      <c r="AA117">
        <f t="shared" si="44"/>
        <v>0</v>
      </c>
      <c r="AC117">
        <f t="shared" si="33"/>
        <v>250088.06291251414</v>
      </c>
      <c r="AD117">
        <f t="shared" si="34"/>
        <v>249231.07353038812</v>
      </c>
      <c r="AE117">
        <f t="shared" si="35"/>
        <v>247982.74495405977</v>
      </c>
      <c r="AF117">
        <f t="shared" si="36"/>
        <v>247464.06462514185</v>
      </c>
      <c r="AG117">
        <f t="shared" si="37"/>
        <v>246184.21797080332</v>
      </c>
      <c r="AH117">
        <f t="shared" si="38"/>
        <v>244583.62697551365</v>
      </c>
      <c r="AI117">
        <f t="shared" si="45"/>
        <v>250088.06291251414</v>
      </c>
    </row>
    <row r="118" spans="2:35" x14ac:dyDescent="0.3">
      <c r="B118">
        <v>75</v>
      </c>
      <c r="C118">
        <v>68344.1103</v>
      </c>
      <c r="D118">
        <v>68150.311700000006</v>
      </c>
      <c r="E118">
        <v>68754.102299999999</v>
      </c>
      <c r="F118">
        <v>68820.615900000004</v>
      </c>
      <c r="G118">
        <v>69407.452699999994</v>
      </c>
      <c r="H118">
        <v>70212.871100000004</v>
      </c>
      <c r="I118">
        <v>10.488403841342413</v>
      </c>
      <c r="J118">
        <v>10.446167396000011</v>
      </c>
      <c r="K118">
        <v>10.419969242265193</v>
      </c>
      <c r="L118">
        <v>10.40257461932487</v>
      </c>
      <c r="M118">
        <v>10.377874223817505</v>
      </c>
      <c r="N118">
        <v>10.339508717306961</v>
      </c>
      <c r="P118">
        <f t="shared" si="27"/>
        <v>246308.00494027237</v>
      </c>
      <c r="Q118">
        <f t="shared" si="28"/>
        <v>245234.71018000029</v>
      </c>
      <c r="R118">
        <f t="shared" si="29"/>
        <v>243844.97496795582</v>
      </c>
      <c r="S118">
        <f t="shared" si="30"/>
        <v>243256.6226797461</v>
      </c>
      <c r="T118">
        <f t="shared" si="31"/>
        <v>241928.77401452514</v>
      </c>
      <c r="U118">
        <f t="shared" si="32"/>
        <v>239972.39041920885</v>
      </c>
      <c r="V118">
        <f t="shared" si="39"/>
        <v>1</v>
      </c>
      <c r="W118">
        <f t="shared" si="40"/>
        <v>0</v>
      </c>
      <c r="X118">
        <f t="shared" si="41"/>
        <v>0</v>
      </c>
      <c r="Y118">
        <f t="shared" si="42"/>
        <v>0</v>
      </c>
      <c r="Z118">
        <f t="shared" si="43"/>
        <v>0</v>
      </c>
      <c r="AA118">
        <f t="shared" si="44"/>
        <v>0</v>
      </c>
      <c r="AC118">
        <f t="shared" si="33"/>
        <v>246308.00494027237</v>
      </c>
      <c r="AD118">
        <f t="shared" si="34"/>
        <v>245234.71018000029</v>
      </c>
      <c r="AE118">
        <f t="shared" si="35"/>
        <v>243844.97496795582</v>
      </c>
      <c r="AF118">
        <f t="shared" si="36"/>
        <v>243256.6226797461</v>
      </c>
      <c r="AG118">
        <f t="shared" si="37"/>
        <v>241928.77401452514</v>
      </c>
      <c r="AH118">
        <f t="shared" si="38"/>
        <v>239972.39041920885</v>
      </c>
      <c r="AI118">
        <f t="shared" si="45"/>
        <v>246308.00494027237</v>
      </c>
    </row>
    <row r="119" spans="2:35" x14ac:dyDescent="0.3">
      <c r="B119">
        <v>76</v>
      </c>
      <c r="C119">
        <v>83692.437600000005</v>
      </c>
      <c r="D119">
        <v>82167.948900000003</v>
      </c>
      <c r="E119">
        <v>81988.081600000005</v>
      </c>
      <c r="F119">
        <v>81615.969599999997</v>
      </c>
      <c r="G119">
        <v>81498.452799999999</v>
      </c>
      <c r="H119">
        <v>81254.689700000003</v>
      </c>
      <c r="I119">
        <v>9.5397054021765317</v>
      </c>
      <c r="J119">
        <v>9.5093444081070526</v>
      </c>
      <c r="K119">
        <v>9.4920706882035653</v>
      </c>
      <c r="L119">
        <v>9.4796307891937719</v>
      </c>
      <c r="M119">
        <v>9.4597188041421436</v>
      </c>
      <c r="N119">
        <v>9.4348185614953444</v>
      </c>
      <c r="P119">
        <f t="shared" si="27"/>
        <v>202498.72446529596</v>
      </c>
      <c r="Q119">
        <f t="shared" si="28"/>
        <v>203112.38334321155</v>
      </c>
      <c r="R119">
        <f t="shared" si="29"/>
        <v>202774.03904610695</v>
      </c>
      <c r="S119">
        <f t="shared" si="30"/>
        <v>202772.95407581312</v>
      </c>
      <c r="T119">
        <f t="shared" si="31"/>
        <v>202293.11132426429</v>
      </c>
      <c r="U119">
        <f t="shared" si="32"/>
        <v>201789.86714486033</v>
      </c>
      <c r="V119">
        <f t="shared" si="39"/>
        <v>0</v>
      </c>
      <c r="W119">
        <f t="shared" si="40"/>
        <v>1</v>
      </c>
      <c r="X119">
        <f t="shared" si="41"/>
        <v>0</v>
      </c>
      <c r="Y119">
        <f t="shared" si="42"/>
        <v>0</v>
      </c>
      <c r="Z119">
        <f t="shared" si="43"/>
        <v>0</v>
      </c>
      <c r="AA119">
        <f t="shared" si="44"/>
        <v>0</v>
      </c>
      <c r="AC119">
        <f t="shared" si="33"/>
        <v>202498.72446529596</v>
      </c>
      <c r="AD119">
        <f t="shared" si="34"/>
        <v>203112.38334321155</v>
      </c>
      <c r="AE119">
        <f t="shared" si="35"/>
        <v>202774.03904610695</v>
      </c>
      <c r="AF119">
        <f t="shared" si="36"/>
        <v>202772.95407581312</v>
      </c>
      <c r="AG119">
        <f t="shared" si="37"/>
        <v>202293.11132426429</v>
      </c>
      <c r="AH119">
        <f t="shared" si="38"/>
        <v>201789.86714486033</v>
      </c>
      <c r="AI119">
        <f t="shared" si="45"/>
        <v>203112.38334321155</v>
      </c>
    </row>
    <row r="120" spans="2:35" x14ac:dyDescent="0.3">
      <c r="B120">
        <v>77</v>
      </c>
      <c r="C120">
        <v>74072.880600000004</v>
      </c>
      <c r="D120">
        <v>72404.859800000006</v>
      </c>
      <c r="E120">
        <v>72374.406799999997</v>
      </c>
      <c r="F120">
        <v>72000.853499999997</v>
      </c>
      <c r="G120">
        <v>71777.910300000003</v>
      </c>
      <c r="H120">
        <v>71625.029800000004</v>
      </c>
      <c r="I120">
        <v>10.396148353136063</v>
      </c>
      <c r="J120">
        <v>10.382908665696148</v>
      </c>
      <c r="K120">
        <v>10.375455868818117</v>
      </c>
      <c r="L120">
        <v>10.371586880913574</v>
      </c>
      <c r="M120">
        <v>10.362900137450008</v>
      </c>
      <c r="N120">
        <v>10.353585908116644</v>
      </c>
      <c r="P120">
        <f t="shared" si="27"/>
        <v>237811.56999408189</v>
      </c>
      <c r="Q120">
        <f t="shared" si="28"/>
        <v>239082.40017088442</v>
      </c>
      <c r="R120">
        <f t="shared" si="29"/>
        <v>238889.26926454349</v>
      </c>
      <c r="S120">
        <f t="shared" si="30"/>
        <v>239146.75292740724</v>
      </c>
      <c r="T120">
        <f t="shared" si="31"/>
        <v>239109.09382350027</v>
      </c>
      <c r="U120">
        <f t="shared" si="32"/>
        <v>238982.54744349932</v>
      </c>
      <c r="V120">
        <f t="shared" si="39"/>
        <v>0</v>
      </c>
      <c r="W120">
        <f t="shared" si="40"/>
        <v>0</v>
      </c>
      <c r="X120">
        <f t="shared" si="41"/>
        <v>0</v>
      </c>
      <c r="Y120">
        <f t="shared" si="42"/>
        <v>1</v>
      </c>
      <c r="Z120">
        <f t="shared" si="43"/>
        <v>0</v>
      </c>
      <c r="AA120">
        <f t="shared" si="44"/>
        <v>0</v>
      </c>
      <c r="AC120">
        <f t="shared" si="33"/>
        <v>237811.56999408189</v>
      </c>
      <c r="AD120">
        <f t="shared" si="34"/>
        <v>239082.40017088442</v>
      </c>
      <c r="AE120">
        <f t="shared" si="35"/>
        <v>238889.26926454349</v>
      </c>
      <c r="AF120">
        <f t="shared" si="36"/>
        <v>239146.75292740724</v>
      </c>
      <c r="AG120">
        <f t="shared" si="37"/>
        <v>239109.09382350027</v>
      </c>
      <c r="AH120">
        <f t="shared" si="38"/>
        <v>238982.54744349932</v>
      </c>
      <c r="AI120">
        <f t="shared" si="45"/>
        <v>239146.75292740724</v>
      </c>
    </row>
    <row r="121" spans="2:35" x14ac:dyDescent="0.3">
      <c r="B121">
        <v>78</v>
      </c>
      <c r="C121">
        <v>77186.876799999998</v>
      </c>
      <c r="D121">
        <v>76022.450800000006</v>
      </c>
      <c r="E121">
        <v>76035.555999999997</v>
      </c>
      <c r="F121">
        <v>75733.703899999993</v>
      </c>
      <c r="G121">
        <v>75877.574299999993</v>
      </c>
      <c r="H121">
        <v>75795.162500000006</v>
      </c>
      <c r="I121">
        <v>7.8608964525432086</v>
      </c>
      <c r="J121">
        <v>7.8384558980269805</v>
      </c>
      <c r="K121">
        <v>7.82171349424409</v>
      </c>
      <c r="L121">
        <v>7.8097890695295318</v>
      </c>
      <c r="M121">
        <v>7.8028185442668505</v>
      </c>
      <c r="N121">
        <v>7.7790732411347081</v>
      </c>
      <c r="P121">
        <f t="shared" si="27"/>
        <v>158640.01677629625</v>
      </c>
      <c r="Q121">
        <f t="shared" si="28"/>
        <v>159131.22614080942</v>
      </c>
      <c r="R121">
        <f t="shared" si="29"/>
        <v>158615.84882732271</v>
      </c>
      <c r="S121">
        <f t="shared" si="30"/>
        <v>158559.96818588595</v>
      </c>
      <c r="T121">
        <f t="shared" si="31"/>
        <v>158206.98202800553</v>
      </c>
      <c r="U121">
        <f t="shared" si="32"/>
        <v>157577.03473404123</v>
      </c>
      <c r="V121">
        <f t="shared" si="39"/>
        <v>0</v>
      </c>
      <c r="W121">
        <f t="shared" si="40"/>
        <v>1</v>
      </c>
      <c r="X121">
        <f t="shared" si="41"/>
        <v>0</v>
      </c>
      <c r="Y121">
        <f t="shared" si="42"/>
        <v>0</v>
      </c>
      <c r="Z121">
        <f t="shared" si="43"/>
        <v>0</v>
      </c>
      <c r="AA121">
        <f t="shared" si="44"/>
        <v>0</v>
      </c>
      <c r="AC121">
        <f t="shared" si="33"/>
        <v>158640.01677629625</v>
      </c>
      <c r="AD121">
        <f t="shared" si="34"/>
        <v>159131.22614080942</v>
      </c>
      <c r="AE121">
        <f t="shared" si="35"/>
        <v>158615.84882732271</v>
      </c>
      <c r="AF121">
        <f t="shared" si="36"/>
        <v>158559.96818588595</v>
      </c>
      <c r="AG121">
        <f t="shared" si="37"/>
        <v>158206.98202800553</v>
      </c>
      <c r="AH121">
        <f t="shared" si="38"/>
        <v>157577.03473404123</v>
      </c>
      <c r="AI121">
        <f t="shared" si="45"/>
        <v>159131.22614080942</v>
      </c>
    </row>
    <row r="122" spans="2:35" x14ac:dyDescent="0.3">
      <c r="B122">
        <v>79</v>
      </c>
      <c r="C122">
        <v>81539.005900000004</v>
      </c>
      <c r="D122">
        <v>80904.572199999995</v>
      </c>
      <c r="E122">
        <v>81135.81</v>
      </c>
      <c r="F122">
        <v>81227.303499999995</v>
      </c>
      <c r="G122">
        <v>81426.09</v>
      </c>
      <c r="H122">
        <v>81941.489000000001</v>
      </c>
      <c r="I122">
        <v>10.979002537271077</v>
      </c>
      <c r="J122">
        <v>10.966043025050576</v>
      </c>
      <c r="K122">
        <v>10.956470885413083</v>
      </c>
      <c r="L122">
        <v>10.953127536658812</v>
      </c>
      <c r="M122">
        <v>10.945624747713676</v>
      </c>
      <c r="N122">
        <v>10.935531896336542</v>
      </c>
      <c r="P122">
        <f t="shared" si="27"/>
        <v>247831.07021813234</v>
      </c>
      <c r="Q122">
        <f t="shared" si="28"/>
        <v>248076.71855151729</v>
      </c>
      <c r="R122">
        <f t="shared" si="29"/>
        <v>247558.31656239246</v>
      </c>
      <c r="S122">
        <f t="shared" si="30"/>
        <v>247366.5225997644</v>
      </c>
      <c r="T122">
        <f t="shared" si="31"/>
        <v>246942.6524314103</v>
      </c>
      <c r="U122">
        <f t="shared" si="32"/>
        <v>246124.46789009625</v>
      </c>
      <c r="V122">
        <f t="shared" si="39"/>
        <v>0</v>
      </c>
      <c r="W122">
        <f t="shared" si="40"/>
        <v>1</v>
      </c>
      <c r="X122">
        <f t="shared" si="41"/>
        <v>0</v>
      </c>
      <c r="Y122">
        <f t="shared" si="42"/>
        <v>0</v>
      </c>
      <c r="Z122">
        <f t="shared" si="43"/>
        <v>0</v>
      </c>
      <c r="AA122">
        <f t="shared" si="44"/>
        <v>0</v>
      </c>
      <c r="AC122">
        <f t="shared" si="33"/>
        <v>247831.07021813234</v>
      </c>
      <c r="AD122">
        <f t="shared" si="34"/>
        <v>248076.71855151729</v>
      </c>
      <c r="AE122">
        <f t="shared" si="35"/>
        <v>247558.31656239246</v>
      </c>
      <c r="AF122">
        <f t="shared" si="36"/>
        <v>247366.5225997644</v>
      </c>
      <c r="AG122">
        <f t="shared" si="37"/>
        <v>246942.6524314103</v>
      </c>
      <c r="AH122">
        <f t="shared" si="38"/>
        <v>246124.46789009625</v>
      </c>
      <c r="AI122">
        <f t="shared" si="45"/>
        <v>248076.71855151729</v>
      </c>
    </row>
    <row r="123" spans="2:35" x14ac:dyDescent="0.3">
      <c r="B123">
        <v>80</v>
      </c>
      <c r="C123">
        <v>76160.444000000003</v>
      </c>
      <c r="D123">
        <v>74631.3217</v>
      </c>
      <c r="E123">
        <v>74305.384900000005</v>
      </c>
      <c r="F123">
        <v>73810.492599999998</v>
      </c>
      <c r="G123">
        <v>73604.996299999999</v>
      </c>
      <c r="H123">
        <v>73481.23</v>
      </c>
      <c r="I123">
        <v>10.891104156454711</v>
      </c>
      <c r="J123">
        <v>10.865755404708384</v>
      </c>
      <c r="K123">
        <v>10.841169170981614</v>
      </c>
      <c r="L123">
        <v>10.822461990962365</v>
      </c>
      <c r="M123">
        <v>10.802614547403099</v>
      </c>
      <c r="N123">
        <v>10.779222058265345</v>
      </c>
      <c r="P123">
        <f t="shared" si="27"/>
        <v>250572.6806936413</v>
      </c>
      <c r="Q123">
        <f t="shared" si="28"/>
        <v>251341.34044125155</v>
      </c>
      <c r="R123">
        <f t="shared" si="29"/>
        <v>250929.69022944843</v>
      </c>
      <c r="S123">
        <f t="shared" si="30"/>
        <v>250863.36712887097</v>
      </c>
      <c r="T123">
        <f t="shared" si="31"/>
        <v>250473.44012209296</v>
      </c>
      <c r="U123">
        <f t="shared" si="32"/>
        <v>249895.43174796039</v>
      </c>
      <c r="V123">
        <f t="shared" si="39"/>
        <v>0</v>
      </c>
      <c r="W123">
        <f t="shared" si="40"/>
        <v>1</v>
      </c>
      <c r="X123">
        <f t="shared" si="41"/>
        <v>0</v>
      </c>
      <c r="Y123">
        <f t="shared" si="42"/>
        <v>0</v>
      </c>
      <c r="Z123">
        <f t="shared" si="43"/>
        <v>0</v>
      </c>
      <c r="AA123">
        <f t="shared" si="44"/>
        <v>0</v>
      </c>
      <c r="AC123">
        <f t="shared" si="33"/>
        <v>250572.6806936413</v>
      </c>
      <c r="AD123">
        <f t="shared" si="34"/>
        <v>251341.34044125155</v>
      </c>
      <c r="AE123">
        <f t="shared" si="35"/>
        <v>250929.69022944843</v>
      </c>
      <c r="AF123">
        <f t="shared" si="36"/>
        <v>250863.36712887097</v>
      </c>
      <c r="AG123">
        <f t="shared" si="37"/>
        <v>250473.44012209296</v>
      </c>
      <c r="AH123">
        <f t="shared" si="38"/>
        <v>249895.43174796039</v>
      </c>
      <c r="AI123">
        <f t="shared" si="45"/>
        <v>251341.34044125155</v>
      </c>
    </row>
    <row r="124" spans="2:35" x14ac:dyDescent="0.3">
      <c r="B124">
        <v>81</v>
      </c>
      <c r="C124">
        <v>74647.054699999993</v>
      </c>
      <c r="D124">
        <v>74389.434899999993</v>
      </c>
      <c r="E124">
        <v>75441.448600000003</v>
      </c>
      <c r="F124">
        <v>75759.487500000003</v>
      </c>
      <c r="G124">
        <v>76569.532800000001</v>
      </c>
      <c r="H124">
        <v>77436.891799999998</v>
      </c>
      <c r="I124">
        <v>9.9640679103629903</v>
      </c>
      <c r="J124">
        <v>9.9227322717855344</v>
      </c>
      <c r="K124">
        <v>9.8808454322742545</v>
      </c>
      <c r="L124">
        <v>9.8681785502218098</v>
      </c>
      <c r="M124">
        <v>9.8351193301648223</v>
      </c>
      <c r="N124">
        <v>9.8042012126955882</v>
      </c>
      <c r="P124">
        <f t="shared" si="27"/>
        <v>224274.98261088971</v>
      </c>
      <c r="Q124">
        <f t="shared" si="28"/>
        <v>223292.53325356601</v>
      </c>
      <c r="R124">
        <f t="shared" si="29"/>
        <v>220983.91436822765</v>
      </c>
      <c r="S124">
        <f t="shared" si="30"/>
        <v>220285.86900665431</v>
      </c>
      <c r="T124">
        <f t="shared" si="31"/>
        <v>218484.04710494471</v>
      </c>
      <c r="U124">
        <f t="shared" si="32"/>
        <v>216689.14458086767</v>
      </c>
      <c r="V124">
        <f t="shared" si="39"/>
        <v>1</v>
      </c>
      <c r="W124">
        <f t="shared" si="40"/>
        <v>0</v>
      </c>
      <c r="X124">
        <f t="shared" si="41"/>
        <v>0</v>
      </c>
      <c r="Y124">
        <f t="shared" si="42"/>
        <v>0</v>
      </c>
      <c r="Z124">
        <f t="shared" si="43"/>
        <v>0</v>
      </c>
      <c r="AA124">
        <f t="shared" si="44"/>
        <v>0</v>
      </c>
      <c r="AC124">
        <f t="shared" si="33"/>
        <v>224274.98261088971</v>
      </c>
      <c r="AD124">
        <f t="shared" si="34"/>
        <v>223292.53325356601</v>
      </c>
      <c r="AE124">
        <f t="shared" si="35"/>
        <v>220983.91436822765</v>
      </c>
      <c r="AF124">
        <f t="shared" si="36"/>
        <v>220285.86900665431</v>
      </c>
      <c r="AG124">
        <f t="shared" si="37"/>
        <v>218484.04710494471</v>
      </c>
      <c r="AH124">
        <f t="shared" si="38"/>
        <v>216689.14458086767</v>
      </c>
      <c r="AI124">
        <f t="shared" si="45"/>
        <v>224274.98261088971</v>
      </c>
    </row>
    <row r="125" spans="2:35" x14ac:dyDescent="0.3">
      <c r="B125">
        <v>82</v>
      </c>
      <c r="C125">
        <v>90508.635800000004</v>
      </c>
      <c r="D125">
        <v>89901.311799999996</v>
      </c>
      <c r="E125">
        <v>90326.520900000003</v>
      </c>
      <c r="F125">
        <v>90442.539799999999</v>
      </c>
      <c r="G125">
        <v>91020.0524</v>
      </c>
      <c r="H125">
        <v>91393.999500000005</v>
      </c>
      <c r="I125">
        <v>10.172600373776433</v>
      </c>
      <c r="J125">
        <v>10.161246432477862</v>
      </c>
      <c r="K125">
        <v>10.150505474362353</v>
      </c>
      <c r="L125">
        <v>10.148932245089226</v>
      </c>
      <c r="M125">
        <v>10.139249252183037</v>
      </c>
      <c r="N125">
        <v>10.129899411067884</v>
      </c>
      <c r="P125">
        <f t="shared" si="27"/>
        <v>214669.37541329302</v>
      </c>
      <c r="Q125">
        <f t="shared" si="28"/>
        <v>214936.08117433588</v>
      </c>
      <c r="R125">
        <f t="shared" si="29"/>
        <v>214188.6433308706</v>
      </c>
      <c r="S125">
        <f t="shared" si="30"/>
        <v>214025.42755267679</v>
      </c>
      <c r="T125">
        <f t="shared" si="31"/>
        <v>213157.42516549112</v>
      </c>
      <c r="U125">
        <f t="shared" si="32"/>
        <v>212502.98283203653</v>
      </c>
      <c r="V125">
        <f t="shared" si="39"/>
        <v>0</v>
      </c>
      <c r="W125">
        <f t="shared" si="40"/>
        <v>1</v>
      </c>
      <c r="X125">
        <f t="shared" si="41"/>
        <v>0</v>
      </c>
      <c r="Y125">
        <f t="shared" si="42"/>
        <v>0</v>
      </c>
      <c r="Z125">
        <f t="shared" si="43"/>
        <v>0</v>
      </c>
      <c r="AA125">
        <f t="shared" si="44"/>
        <v>0</v>
      </c>
      <c r="AC125">
        <f t="shared" si="33"/>
        <v>214669.37541329302</v>
      </c>
      <c r="AD125">
        <f t="shared" si="34"/>
        <v>214936.08117433588</v>
      </c>
      <c r="AE125">
        <f t="shared" si="35"/>
        <v>214188.6433308706</v>
      </c>
      <c r="AF125">
        <f t="shared" si="36"/>
        <v>214025.42755267679</v>
      </c>
      <c r="AG125">
        <f t="shared" si="37"/>
        <v>213157.42516549112</v>
      </c>
      <c r="AH125">
        <f t="shared" si="38"/>
        <v>212502.98283203653</v>
      </c>
      <c r="AI125">
        <f t="shared" si="45"/>
        <v>214936.08117433588</v>
      </c>
    </row>
    <row r="126" spans="2:35" x14ac:dyDescent="0.3">
      <c r="B126">
        <v>83</v>
      </c>
      <c r="C126">
        <v>76681.781000000003</v>
      </c>
      <c r="D126">
        <v>75301.981799999994</v>
      </c>
      <c r="E126">
        <v>75314.763200000001</v>
      </c>
      <c r="F126">
        <v>75032.812900000004</v>
      </c>
      <c r="G126">
        <v>74800.225699999995</v>
      </c>
      <c r="H126">
        <v>74857.329100000003</v>
      </c>
      <c r="I126">
        <v>9.9858286324280474</v>
      </c>
      <c r="J126">
        <v>9.955537717866175</v>
      </c>
      <c r="K126">
        <v>9.9415888215529975</v>
      </c>
      <c r="L126">
        <v>9.9418034022396018</v>
      </c>
      <c r="M126">
        <v>9.909227077658425</v>
      </c>
      <c r="N126">
        <v>9.8919387549226307</v>
      </c>
      <c r="P126">
        <f t="shared" si="27"/>
        <v>222893.07797284139</v>
      </c>
      <c r="Q126">
        <f t="shared" si="28"/>
        <v>223364.14973598527</v>
      </c>
      <c r="R126">
        <f t="shared" si="29"/>
        <v>222932.90144658997</v>
      </c>
      <c r="S126">
        <f t="shared" si="30"/>
        <v>223221.28916718805</v>
      </c>
      <c r="T126">
        <f t="shared" si="31"/>
        <v>222476.58662975277</v>
      </c>
      <c r="U126">
        <f t="shared" si="32"/>
        <v>221900.83354767892</v>
      </c>
      <c r="V126">
        <f t="shared" si="39"/>
        <v>0</v>
      </c>
      <c r="W126">
        <f t="shared" si="40"/>
        <v>1</v>
      </c>
      <c r="X126">
        <f t="shared" si="41"/>
        <v>0</v>
      </c>
      <c r="Y126">
        <f t="shared" si="42"/>
        <v>0</v>
      </c>
      <c r="Z126">
        <f t="shared" si="43"/>
        <v>0</v>
      </c>
      <c r="AA126">
        <f t="shared" si="44"/>
        <v>0</v>
      </c>
      <c r="AC126">
        <f t="shared" si="33"/>
        <v>222893.07797284139</v>
      </c>
      <c r="AD126">
        <f t="shared" si="34"/>
        <v>223364.14973598527</v>
      </c>
      <c r="AE126">
        <f t="shared" si="35"/>
        <v>222932.90144658997</v>
      </c>
      <c r="AF126">
        <f t="shared" si="36"/>
        <v>223221.28916718805</v>
      </c>
      <c r="AG126">
        <f t="shared" si="37"/>
        <v>222476.58662975277</v>
      </c>
      <c r="AH126">
        <f t="shared" si="38"/>
        <v>221900.83354767892</v>
      </c>
      <c r="AI126">
        <f t="shared" si="45"/>
        <v>223364.14973598527</v>
      </c>
    </row>
    <row r="127" spans="2:35" x14ac:dyDescent="0.3">
      <c r="B127">
        <v>84</v>
      </c>
      <c r="C127">
        <v>68133.877200000003</v>
      </c>
      <c r="D127">
        <v>67469.8128</v>
      </c>
      <c r="E127">
        <v>67953.1391</v>
      </c>
      <c r="F127">
        <v>68104.091400000005</v>
      </c>
      <c r="G127">
        <v>68542.400299999994</v>
      </c>
      <c r="H127">
        <v>69070.619300000006</v>
      </c>
      <c r="I127">
        <v>9.7863641330499949</v>
      </c>
      <c r="J127">
        <v>9.7591915253097241</v>
      </c>
      <c r="K127">
        <v>9.7358073278055155</v>
      </c>
      <c r="L127">
        <v>9.7246244894318732</v>
      </c>
      <c r="M127">
        <v>9.7010979554733332</v>
      </c>
      <c r="N127">
        <v>9.6797840185487551</v>
      </c>
      <c r="P127">
        <f t="shared" si="27"/>
        <v>225457.04679149983</v>
      </c>
      <c r="Q127">
        <f t="shared" si="28"/>
        <v>225305.93295929173</v>
      </c>
      <c r="R127">
        <f t="shared" si="29"/>
        <v>224121.08073416547</v>
      </c>
      <c r="S127">
        <f t="shared" si="30"/>
        <v>223634.64328295618</v>
      </c>
      <c r="T127">
        <f t="shared" si="31"/>
        <v>222490.53836420004</v>
      </c>
      <c r="U127">
        <f t="shared" si="32"/>
        <v>221322.90125646262</v>
      </c>
      <c r="V127">
        <f t="shared" si="39"/>
        <v>1</v>
      </c>
      <c r="W127">
        <f t="shared" si="40"/>
        <v>0</v>
      </c>
      <c r="X127">
        <f t="shared" si="41"/>
        <v>0</v>
      </c>
      <c r="Y127">
        <f t="shared" si="42"/>
        <v>0</v>
      </c>
      <c r="Z127">
        <f t="shared" si="43"/>
        <v>0</v>
      </c>
      <c r="AA127">
        <f t="shared" si="44"/>
        <v>0</v>
      </c>
      <c r="AC127">
        <f t="shared" si="33"/>
        <v>225457.04679149983</v>
      </c>
      <c r="AD127">
        <f t="shared" si="34"/>
        <v>225305.93295929173</v>
      </c>
      <c r="AE127">
        <f t="shared" si="35"/>
        <v>224121.08073416547</v>
      </c>
      <c r="AF127">
        <f t="shared" si="36"/>
        <v>223634.64328295618</v>
      </c>
      <c r="AG127">
        <f t="shared" si="37"/>
        <v>222490.53836420004</v>
      </c>
      <c r="AH127">
        <f t="shared" si="38"/>
        <v>221322.90125646262</v>
      </c>
      <c r="AI127">
        <f t="shared" si="45"/>
        <v>225457.04679149983</v>
      </c>
    </row>
    <row r="128" spans="2:35" x14ac:dyDescent="0.3">
      <c r="B128">
        <v>85</v>
      </c>
      <c r="C128">
        <v>78324.157800000001</v>
      </c>
      <c r="D128">
        <v>76621.709000000003</v>
      </c>
      <c r="E128">
        <v>76450.929399999994</v>
      </c>
      <c r="F128">
        <v>76146.590500000006</v>
      </c>
      <c r="G128">
        <v>75486.784299999999</v>
      </c>
      <c r="H128">
        <v>75406.929099999994</v>
      </c>
      <c r="I128">
        <v>9.5571680054871226</v>
      </c>
      <c r="J128">
        <v>9.5433020026755422</v>
      </c>
      <c r="K128">
        <v>9.5351318961057707</v>
      </c>
      <c r="L128">
        <v>9.5340676104199868</v>
      </c>
      <c r="M128">
        <v>9.5167792909084135</v>
      </c>
      <c r="N128">
        <v>9.5076514871070614</v>
      </c>
      <c r="P128">
        <f t="shared" si="27"/>
        <v>208390.8823646137</v>
      </c>
      <c r="Q128">
        <f t="shared" si="28"/>
        <v>209677.35108026626</v>
      </c>
      <c r="R128">
        <f t="shared" si="29"/>
        <v>209603.02748317315</v>
      </c>
      <c r="S128">
        <f t="shared" si="30"/>
        <v>209875.43781259959</v>
      </c>
      <c r="T128">
        <f t="shared" si="31"/>
        <v>210016.59442725242</v>
      </c>
      <c r="U128">
        <f t="shared" si="32"/>
        <v>209822.61551321181</v>
      </c>
      <c r="V128">
        <f t="shared" si="39"/>
        <v>0</v>
      </c>
      <c r="W128">
        <f t="shared" si="40"/>
        <v>0</v>
      </c>
      <c r="X128">
        <f t="shared" si="41"/>
        <v>0</v>
      </c>
      <c r="Y128">
        <f t="shared" si="42"/>
        <v>0</v>
      </c>
      <c r="Z128">
        <f t="shared" si="43"/>
        <v>1</v>
      </c>
      <c r="AA128">
        <f t="shared" si="44"/>
        <v>0</v>
      </c>
      <c r="AC128">
        <f t="shared" si="33"/>
        <v>208390.8823646137</v>
      </c>
      <c r="AD128">
        <f t="shared" si="34"/>
        <v>209677.35108026626</v>
      </c>
      <c r="AE128">
        <f t="shared" si="35"/>
        <v>209603.02748317315</v>
      </c>
      <c r="AF128">
        <f t="shared" si="36"/>
        <v>209875.43781259959</v>
      </c>
      <c r="AG128">
        <f t="shared" si="37"/>
        <v>210016.59442725242</v>
      </c>
      <c r="AH128">
        <f t="shared" si="38"/>
        <v>209822.61551321181</v>
      </c>
      <c r="AI128">
        <f t="shared" si="45"/>
        <v>210016.59442725242</v>
      </c>
    </row>
    <row r="129" spans="2:35" x14ac:dyDescent="0.3">
      <c r="B129">
        <v>86</v>
      </c>
      <c r="C129">
        <v>81565.575800000006</v>
      </c>
      <c r="D129">
        <v>80727.296300000002</v>
      </c>
      <c r="E129">
        <v>81021.471300000005</v>
      </c>
      <c r="F129">
        <v>80982.996599999999</v>
      </c>
      <c r="G129">
        <v>81245.220600000001</v>
      </c>
      <c r="H129">
        <v>81551.565300000002</v>
      </c>
      <c r="I129">
        <v>8.3107157402126184</v>
      </c>
      <c r="J129">
        <v>8.2904720668520806</v>
      </c>
      <c r="K129">
        <v>8.2683018621715476</v>
      </c>
      <c r="L129">
        <v>8.2618325432535134</v>
      </c>
      <c r="M129">
        <v>8.2482814708458623</v>
      </c>
      <c r="N129">
        <v>8.2255200104800945</v>
      </c>
      <c r="P129">
        <f t="shared" si="27"/>
        <v>167755.89640637854</v>
      </c>
      <c r="Q129">
        <f t="shared" si="28"/>
        <v>167986.86570556241</v>
      </c>
      <c r="R129">
        <f t="shared" si="29"/>
        <v>167027.58456514642</v>
      </c>
      <c r="S129">
        <f t="shared" si="30"/>
        <v>166871.97969760542</v>
      </c>
      <c r="T129">
        <f t="shared" si="31"/>
        <v>166203.22352537586</v>
      </c>
      <c r="U129">
        <f t="shared" si="32"/>
        <v>165214.03501440282</v>
      </c>
      <c r="V129">
        <f t="shared" si="39"/>
        <v>0</v>
      </c>
      <c r="W129">
        <f t="shared" si="40"/>
        <v>1</v>
      </c>
      <c r="X129">
        <f t="shared" si="41"/>
        <v>0</v>
      </c>
      <c r="Y129">
        <f t="shared" si="42"/>
        <v>0</v>
      </c>
      <c r="Z129">
        <f t="shared" si="43"/>
        <v>0</v>
      </c>
      <c r="AA129">
        <f t="shared" si="44"/>
        <v>0</v>
      </c>
      <c r="AC129">
        <f t="shared" si="33"/>
        <v>167755.89640637854</v>
      </c>
      <c r="AD129">
        <f t="shared" si="34"/>
        <v>167986.86570556241</v>
      </c>
      <c r="AE129">
        <f t="shared" si="35"/>
        <v>167027.58456514642</v>
      </c>
      <c r="AF129">
        <f t="shared" si="36"/>
        <v>166871.97969760542</v>
      </c>
      <c r="AG129">
        <f t="shared" si="37"/>
        <v>166203.22352537586</v>
      </c>
      <c r="AH129">
        <f t="shared" si="38"/>
        <v>165214.03501440282</v>
      </c>
      <c r="AI129">
        <f t="shared" si="45"/>
        <v>167986.86570556241</v>
      </c>
    </row>
    <row r="130" spans="2:35" x14ac:dyDescent="0.3">
      <c r="B130">
        <v>87</v>
      </c>
      <c r="C130">
        <v>73939.994200000001</v>
      </c>
      <c r="D130">
        <v>74721.330799999996</v>
      </c>
      <c r="E130">
        <v>76216.034100000004</v>
      </c>
      <c r="F130">
        <v>76457.793099999995</v>
      </c>
      <c r="G130">
        <v>77841.447700000004</v>
      </c>
      <c r="H130">
        <v>79593.050499999998</v>
      </c>
      <c r="I130">
        <v>10.123381776604411</v>
      </c>
      <c r="J130">
        <v>10.098053865350446</v>
      </c>
      <c r="K130">
        <v>10.079960516359813</v>
      </c>
      <c r="L130">
        <v>10.072907372407114</v>
      </c>
      <c r="M130">
        <v>10.05301484135417</v>
      </c>
      <c r="N130">
        <v>10.029790197973266</v>
      </c>
      <c r="P130">
        <f t="shared" si="27"/>
        <v>229761.45909813233</v>
      </c>
      <c r="Q130">
        <f t="shared" si="28"/>
        <v>228220.28516051336</v>
      </c>
      <c r="R130">
        <f t="shared" si="29"/>
        <v>226182.78139079444</v>
      </c>
      <c r="S130">
        <f t="shared" si="30"/>
        <v>225729.42807221343</v>
      </c>
      <c r="T130">
        <f t="shared" si="31"/>
        <v>223748.99754062505</v>
      </c>
      <c r="U130">
        <f t="shared" si="32"/>
        <v>221300.65543919796</v>
      </c>
      <c r="V130">
        <f t="shared" si="39"/>
        <v>1</v>
      </c>
      <c r="W130">
        <f t="shared" si="40"/>
        <v>0</v>
      </c>
      <c r="X130">
        <f t="shared" si="41"/>
        <v>0</v>
      </c>
      <c r="Y130">
        <f t="shared" si="42"/>
        <v>0</v>
      </c>
      <c r="Z130">
        <f t="shared" si="43"/>
        <v>0</v>
      </c>
      <c r="AA130">
        <f t="shared" si="44"/>
        <v>0</v>
      </c>
      <c r="AC130">
        <f t="shared" si="33"/>
        <v>229761.45909813233</v>
      </c>
      <c r="AD130">
        <f t="shared" si="34"/>
        <v>228220.28516051336</v>
      </c>
      <c r="AE130">
        <f t="shared" si="35"/>
        <v>226182.78139079444</v>
      </c>
      <c r="AF130">
        <f t="shared" si="36"/>
        <v>225729.42807221343</v>
      </c>
      <c r="AG130">
        <f t="shared" si="37"/>
        <v>223748.99754062505</v>
      </c>
      <c r="AH130">
        <f t="shared" si="38"/>
        <v>221300.65543919796</v>
      </c>
      <c r="AI130">
        <f t="shared" si="45"/>
        <v>229761.45909813233</v>
      </c>
    </row>
    <row r="131" spans="2:35" x14ac:dyDescent="0.3">
      <c r="B131">
        <v>88</v>
      </c>
      <c r="C131">
        <v>70473.106799999994</v>
      </c>
      <c r="D131">
        <v>70562.585500000001</v>
      </c>
      <c r="E131">
        <v>71455.39</v>
      </c>
      <c r="F131">
        <v>71488.7255</v>
      </c>
      <c r="G131">
        <v>72533.992899999997</v>
      </c>
      <c r="H131">
        <v>73490.876199999999</v>
      </c>
      <c r="I131">
        <v>9.0094014929844271</v>
      </c>
      <c r="J131">
        <v>8.9785641768159277</v>
      </c>
      <c r="K131">
        <v>8.9608085357264287</v>
      </c>
      <c r="L131">
        <v>8.9562078554294491</v>
      </c>
      <c r="M131">
        <v>8.9320434994362916</v>
      </c>
      <c r="N131">
        <v>8.9034577560721733</v>
      </c>
      <c r="P131">
        <f t="shared" si="27"/>
        <v>199808.93798953283</v>
      </c>
      <c r="Q131">
        <f t="shared" si="28"/>
        <v>198794.33980447782</v>
      </c>
      <c r="R131">
        <f t="shared" si="29"/>
        <v>197368.86607179284</v>
      </c>
      <c r="S131">
        <f t="shared" si="30"/>
        <v>197197.5101628835</v>
      </c>
      <c r="T131">
        <f t="shared" si="31"/>
        <v>195427.31208308873</v>
      </c>
      <c r="U131">
        <f t="shared" si="32"/>
        <v>193612.85648216523</v>
      </c>
      <c r="V131">
        <f t="shared" si="39"/>
        <v>1</v>
      </c>
      <c r="W131">
        <f t="shared" si="40"/>
        <v>0</v>
      </c>
      <c r="X131">
        <f t="shared" si="41"/>
        <v>0</v>
      </c>
      <c r="Y131">
        <f t="shared" si="42"/>
        <v>0</v>
      </c>
      <c r="Z131">
        <f t="shared" si="43"/>
        <v>0</v>
      </c>
      <c r="AA131">
        <f t="shared" si="44"/>
        <v>0</v>
      </c>
      <c r="AC131">
        <f t="shared" si="33"/>
        <v>199808.93798953283</v>
      </c>
      <c r="AD131">
        <f t="shared" si="34"/>
        <v>198794.33980447782</v>
      </c>
      <c r="AE131">
        <f t="shared" si="35"/>
        <v>197368.86607179284</v>
      </c>
      <c r="AF131">
        <f t="shared" si="36"/>
        <v>197197.5101628835</v>
      </c>
      <c r="AG131">
        <f t="shared" si="37"/>
        <v>195427.31208308873</v>
      </c>
      <c r="AH131">
        <f t="shared" si="38"/>
        <v>193612.85648216523</v>
      </c>
      <c r="AI131">
        <f t="shared" si="45"/>
        <v>199808.93798953283</v>
      </c>
    </row>
    <row r="132" spans="2:35" x14ac:dyDescent="0.3">
      <c r="B132">
        <v>89</v>
      </c>
      <c r="C132">
        <v>90612.611300000004</v>
      </c>
      <c r="D132">
        <v>90034.838399999993</v>
      </c>
      <c r="E132">
        <v>90609.934299999994</v>
      </c>
      <c r="F132">
        <v>90817.751000000004</v>
      </c>
      <c r="G132">
        <v>91003.874200000006</v>
      </c>
      <c r="H132">
        <v>91673.464099999997</v>
      </c>
      <c r="I132">
        <v>10.103578770828275</v>
      </c>
      <c r="J132">
        <v>10.048040467321968</v>
      </c>
      <c r="K132">
        <v>10.029888050404143</v>
      </c>
      <c r="L132">
        <v>9.9959413679636935</v>
      </c>
      <c r="M132">
        <v>9.9640274423670689</v>
      </c>
      <c r="N132">
        <v>9.922227491649144</v>
      </c>
      <c r="P132">
        <f t="shared" si="27"/>
        <v>212494.75182484824</v>
      </c>
      <c r="Q132">
        <f t="shared" si="28"/>
        <v>211406.37561965903</v>
      </c>
      <c r="R132">
        <f t="shared" si="29"/>
        <v>210286.70721212428</v>
      </c>
      <c r="S132">
        <f t="shared" si="30"/>
        <v>209060.49003891082</v>
      </c>
      <c r="T132">
        <f t="shared" si="31"/>
        <v>207916.94907101203</v>
      </c>
      <c r="U132">
        <f t="shared" si="32"/>
        <v>205993.36064947431</v>
      </c>
      <c r="V132">
        <f t="shared" si="39"/>
        <v>1</v>
      </c>
      <c r="W132">
        <f t="shared" si="40"/>
        <v>0</v>
      </c>
      <c r="X132">
        <f t="shared" si="41"/>
        <v>0</v>
      </c>
      <c r="Y132">
        <f t="shared" si="42"/>
        <v>0</v>
      </c>
      <c r="Z132">
        <f t="shared" si="43"/>
        <v>0</v>
      </c>
      <c r="AA132">
        <f t="shared" si="44"/>
        <v>0</v>
      </c>
      <c r="AC132">
        <f t="shared" si="33"/>
        <v>212494.75182484824</v>
      </c>
      <c r="AD132">
        <f t="shared" si="34"/>
        <v>211406.37561965903</v>
      </c>
      <c r="AE132">
        <f t="shared" si="35"/>
        <v>210286.70721212428</v>
      </c>
      <c r="AF132">
        <f t="shared" si="36"/>
        <v>209060.49003891082</v>
      </c>
      <c r="AG132">
        <f t="shared" si="37"/>
        <v>207916.94907101203</v>
      </c>
      <c r="AH132">
        <f t="shared" si="38"/>
        <v>205993.36064947431</v>
      </c>
      <c r="AI132">
        <f t="shared" si="45"/>
        <v>212494.75182484824</v>
      </c>
    </row>
    <row r="133" spans="2:35" x14ac:dyDescent="0.3">
      <c r="B133">
        <v>90</v>
      </c>
      <c r="C133">
        <v>70395.934500000003</v>
      </c>
      <c r="D133">
        <v>69131.227299999999</v>
      </c>
      <c r="E133">
        <v>68861.046700000006</v>
      </c>
      <c r="F133">
        <v>68740.735700000005</v>
      </c>
      <c r="G133">
        <v>68706.2889</v>
      </c>
      <c r="H133">
        <v>68634.071299999996</v>
      </c>
      <c r="I133">
        <v>8.7861526297073418</v>
      </c>
      <c r="J133">
        <v>8.7474174746708648</v>
      </c>
      <c r="K133">
        <v>8.7108050485449233</v>
      </c>
      <c r="L133">
        <v>8.6957206148516359</v>
      </c>
      <c r="M133">
        <v>8.6717704090372436</v>
      </c>
      <c r="N133">
        <v>8.6329843729439553</v>
      </c>
      <c r="P133">
        <f t="shared" si="27"/>
        <v>193188.64439122027</v>
      </c>
      <c r="Q133">
        <f t="shared" si="28"/>
        <v>193291.29694012596</v>
      </c>
      <c r="R133">
        <f t="shared" si="29"/>
        <v>192463.10475634769</v>
      </c>
      <c r="S133">
        <f t="shared" si="30"/>
        <v>192130.88274554908</v>
      </c>
      <c r="T133">
        <f t="shared" si="31"/>
        <v>191446.82337111729</v>
      </c>
      <c r="U133">
        <f t="shared" si="32"/>
        <v>190355.45988831867</v>
      </c>
      <c r="V133">
        <f t="shared" si="39"/>
        <v>0</v>
      </c>
      <c r="W133">
        <f t="shared" si="40"/>
        <v>1</v>
      </c>
      <c r="X133">
        <f t="shared" si="41"/>
        <v>0</v>
      </c>
      <c r="Y133">
        <f t="shared" si="42"/>
        <v>0</v>
      </c>
      <c r="Z133">
        <f t="shared" si="43"/>
        <v>0</v>
      </c>
      <c r="AA133">
        <f t="shared" si="44"/>
        <v>0</v>
      </c>
      <c r="AC133">
        <f t="shared" si="33"/>
        <v>193188.64439122027</v>
      </c>
      <c r="AD133">
        <f t="shared" si="34"/>
        <v>193291.29694012596</v>
      </c>
      <c r="AE133">
        <f t="shared" si="35"/>
        <v>192463.10475634769</v>
      </c>
      <c r="AF133">
        <f t="shared" si="36"/>
        <v>192130.88274554908</v>
      </c>
      <c r="AG133">
        <f t="shared" si="37"/>
        <v>191446.82337111729</v>
      </c>
      <c r="AH133">
        <f t="shared" si="38"/>
        <v>190355.45988831867</v>
      </c>
      <c r="AI133">
        <f t="shared" si="45"/>
        <v>193291.29694012596</v>
      </c>
    </row>
    <row r="134" spans="2:35" x14ac:dyDescent="0.3">
      <c r="B134">
        <v>91</v>
      </c>
      <c r="C134">
        <v>76228.031400000007</v>
      </c>
      <c r="D134">
        <v>75817.908800000005</v>
      </c>
      <c r="E134">
        <v>76557.038</v>
      </c>
      <c r="F134">
        <v>76643.586800000005</v>
      </c>
      <c r="G134">
        <v>77491.407200000001</v>
      </c>
      <c r="H134">
        <v>78003.0046</v>
      </c>
      <c r="I134">
        <v>9.9031074291184442</v>
      </c>
      <c r="J134">
        <v>9.8697634965754979</v>
      </c>
      <c r="K134">
        <v>9.8464923120119394</v>
      </c>
      <c r="L134">
        <v>9.8333443224410928</v>
      </c>
      <c r="M134">
        <v>9.8030967144074062</v>
      </c>
      <c r="N134">
        <v>9.7822442477255152</v>
      </c>
      <c r="P134">
        <f t="shared" si="27"/>
        <v>220865.19147355334</v>
      </c>
      <c r="Q134">
        <f t="shared" si="28"/>
        <v>220274.99609726496</v>
      </c>
      <c r="R134">
        <f t="shared" si="29"/>
        <v>218837.73136035819</v>
      </c>
      <c r="S134">
        <f t="shared" si="30"/>
        <v>218356.74287323281</v>
      </c>
      <c r="T134">
        <f t="shared" si="31"/>
        <v>216601.49423222215</v>
      </c>
      <c r="U134">
        <f t="shared" si="32"/>
        <v>215464.32283176546</v>
      </c>
      <c r="V134">
        <f t="shared" si="39"/>
        <v>1</v>
      </c>
      <c r="W134">
        <f t="shared" si="40"/>
        <v>0</v>
      </c>
      <c r="X134">
        <f t="shared" si="41"/>
        <v>0</v>
      </c>
      <c r="Y134">
        <f t="shared" si="42"/>
        <v>0</v>
      </c>
      <c r="Z134">
        <f t="shared" si="43"/>
        <v>0</v>
      </c>
      <c r="AA134">
        <f t="shared" si="44"/>
        <v>0</v>
      </c>
      <c r="AC134">
        <f t="shared" si="33"/>
        <v>220865.19147355334</v>
      </c>
      <c r="AD134">
        <f t="shared" si="34"/>
        <v>220274.99609726496</v>
      </c>
      <c r="AE134">
        <f t="shared" si="35"/>
        <v>218837.73136035819</v>
      </c>
      <c r="AF134">
        <f t="shared" si="36"/>
        <v>218356.74287323281</v>
      </c>
      <c r="AG134">
        <f t="shared" si="37"/>
        <v>216601.49423222215</v>
      </c>
      <c r="AH134">
        <f t="shared" si="38"/>
        <v>215464.32283176546</v>
      </c>
      <c r="AI134">
        <f t="shared" si="45"/>
        <v>220865.19147355334</v>
      </c>
    </row>
    <row r="135" spans="2:35" x14ac:dyDescent="0.3">
      <c r="B135">
        <v>92</v>
      </c>
      <c r="C135">
        <v>79503.100999999995</v>
      </c>
      <c r="D135">
        <v>78989.975000000006</v>
      </c>
      <c r="E135">
        <v>79390.059699999998</v>
      </c>
      <c r="F135">
        <v>79451.313299999994</v>
      </c>
      <c r="G135">
        <v>80071.293000000005</v>
      </c>
      <c r="H135">
        <v>80475.580700000006</v>
      </c>
      <c r="I135">
        <v>9.1706604844271133</v>
      </c>
      <c r="J135">
        <v>9.1312041463619487</v>
      </c>
      <c r="K135">
        <v>9.1021291518586853</v>
      </c>
      <c r="L135">
        <v>9.0963473779734123</v>
      </c>
      <c r="M135">
        <v>9.0708062014662154</v>
      </c>
      <c r="N135">
        <v>9.034785462200146</v>
      </c>
      <c r="P135">
        <f t="shared" si="27"/>
        <v>195616.71353281339</v>
      </c>
      <c r="Q135">
        <f t="shared" si="28"/>
        <v>194946.14939085845</v>
      </c>
      <c r="R135">
        <f t="shared" si="29"/>
        <v>193673.8148557606</v>
      </c>
      <c r="S135">
        <f t="shared" si="30"/>
        <v>193439.1080392024</v>
      </c>
      <c r="T135">
        <f t="shared" si="31"/>
        <v>192052.89304398646</v>
      </c>
      <c r="U135">
        <f t="shared" si="32"/>
        <v>190567.98316600441</v>
      </c>
      <c r="V135">
        <f t="shared" si="39"/>
        <v>1</v>
      </c>
      <c r="W135">
        <f t="shared" si="40"/>
        <v>0</v>
      </c>
      <c r="X135">
        <f t="shared" si="41"/>
        <v>0</v>
      </c>
      <c r="Y135">
        <f t="shared" si="42"/>
        <v>0</v>
      </c>
      <c r="Z135">
        <f t="shared" si="43"/>
        <v>0</v>
      </c>
      <c r="AA135">
        <f t="shared" si="44"/>
        <v>0</v>
      </c>
      <c r="AC135">
        <f t="shared" si="33"/>
        <v>195616.71353281339</v>
      </c>
      <c r="AD135">
        <f t="shared" si="34"/>
        <v>194946.14939085845</v>
      </c>
      <c r="AE135">
        <f t="shared" si="35"/>
        <v>193673.8148557606</v>
      </c>
      <c r="AF135">
        <f t="shared" si="36"/>
        <v>193439.1080392024</v>
      </c>
      <c r="AG135">
        <f t="shared" si="37"/>
        <v>192052.89304398646</v>
      </c>
      <c r="AH135">
        <f t="shared" si="38"/>
        <v>190567.98316600441</v>
      </c>
      <c r="AI135">
        <f t="shared" si="45"/>
        <v>195616.71353281339</v>
      </c>
    </row>
    <row r="136" spans="2:35" x14ac:dyDescent="0.3">
      <c r="B136">
        <v>93</v>
      </c>
      <c r="C136">
        <v>82818.560200000007</v>
      </c>
      <c r="D136">
        <v>82615.474100000007</v>
      </c>
      <c r="E136">
        <v>83321.364100000006</v>
      </c>
      <c r="F136">
        <v>82787.9136</v>
      </c>
      <c r="G136">
        <v>83821.261499999993</v>
      </c>
      <c r="H136">
        <v>84500.728300000002</v>
      </c>
      <c r="I136">
        <v>9.9961206877757434</v>
      </c>
      <c r="J136">
        <v>9.9507138530211137</v>
      </c>
      <c r="K136">
        <v>9.9243355018563264</v>
      </c>
      <c r="L136">
        <v>9.9199463412565532</v>
      </c>
      <c r="M136">
        <v>9.8864198420565561</v>
      </c>
      <c r="N136">
        <v>9.8461261765209684</v>
      </c>
      <c r="P136">
        <f t="shared" si="27"/>
        <v>217065.06043327227</v>
      </c>
      <c r="Q136">
        <f t="shared" si="28"/>
        <v>215905.94149063341</v>
      </c>
      <c r="R136">
        <f t="shared" si="29"/>
        <v>214408.70095568977</v>
      </c>
      <c r="S136">
        <f t="shared" si="30"/>
        <v>214810.47663769659</v>
      </c>
      <c r="T136">
        <f t="shared" si="31"/>
        <v>212771.33376169667</v>
      </c>
      <c r="U136">
        <f t="shared" si="32"/>
        <v>210883.05699562904</v>
      </c>
      <c r="V136">
        <f t="shared" si="39"/>
        <v>1</v>
      </c>
      <c r="W136">
        <f t="shared" si="40"/>
        <v>0</v>
      </c>
      <c r="X136">
        <f t="shared" si="41"/>
        <v>0</v>
      </c>
      <c r="Y136">
        <f t="shared" si="42"/>
        <v>0</v>
      </c>
      <c r="Z136">
        <f t="shared" si="43"/>
        <v>0</v>
      </c>
      <c r="AA136">
        <f t="shared" si="44"/>
        <v>0</v>
      </c>
      <c r="AC136">
        <f t="shared" si="33"/>
        <v>217065.06043327227</v>
      </c>
      <c r="AD136">
        <f t="shared" si="34"/>
        <v>215905.94149063341</v>
      </c>
      <c r="AE136">
        <f t="shared" si="35"/>
        <v>214408.70095568977</v>
      </c>
      <c r="AF136">
        <f t="shared" si="36"/>
        <v>214810.47663769659</v>
      </c>
      <c r="AG136">
        <f t="shared" si="37"/>
        <v>212771.33376169667</v>
      </c>
      <c r="AH136">
        <f t="shared" si="38"/>
        <v>210883.05699562904</v>
      </c>
      <c r="AI136">
        <f t="shared" si="45"/>
        <v>217065.06043327227</v>
      </c>
    </row>
    <row r="137" spans="2:35" x14ac:dyDescent="0.3">
      <c r="B137">
        <v>94</v>
      </c>
      <c r="C137">
        <v>81229.1973</v>
      </c>
      <c r="D137">
        <v>81151.184299999994</v>
      </c>
      <c r="E137">
        <v>81811.162500000006</v>
      </c>
      <c r="F137">
        <v>82236.584499999997</v>
      </c>
      <c r="G137">
        <v>83117.936600000001</v>
      </c>
      <c r="H137">
        <v>84049.867199999993</v>
      </c>
      <c r="I137">
        <v>10.678319916483067</v>
      </c>
      <c r="J137">
        <v>10.633632732787969</v>
      </c>
      <c r="K137">
        <v>10.609840239930616</v>
      </c>
      <c r="L137">
        <v>10.58722415684025</v>
      </c>
      <c r="M137">
        <v>10.549184105827692</v>
      </c>
      <c r="N137">
        <v>10.52115495061248</v>
      </c>
      <c r="P137">
        <f t="shared" si="27"/>
        <v>239120.40019449202</v>
      </c>
      <c r="Q137">
        <f t="shared" si="28"/>
        <v>237857.79768363907</v>
      </c>
      <c r="R137">
        <f t="shared" si="29"/>
        <v>236484.04469791849</v>
      </c>
      <c r="S137">
        <f t="shared" si="30"/>
        <v>235380.14020520751</v>
      </c>
      <c r="T137">
        <f t="shared" si="31"/>
        <v>233357.58657483076</v>
      </c>
      <c r="U137">
        <f t="shared" si="32"/>
        <v>231584.78131837444</v>
      </c>
      <c r="V137">
        <f t="shared" si="39"/>
        <v>1</v>
      </c>
      <c r="W137">
        <f t="shared" si="40"/>
        <v>0</v>
      </c>
      <c r="X137">
        <f t="shared" si="41"/>
        <v>0</v>
      </c>
      <c r="Y137">
        <f t="shared" si="42"/>
        <v>0</v>
      </c>
      <c r="Z137">
        <f t="shared" si="43"/>
        <v>0</v>
      </c>
      <c r="AA137">
        <f t="shared" si="44"/>
        <v>0</v>
      </c>
      <c r="AC137">
        <f t="shared" si="33"/>
        <v>239120.40019449202</v>
      </c>
      <c r="AD137">
        <f t="shared" si="34"/>
        <v>237857.79768363907</v>
      </c>
      <c r="AE137">
        <f t="shared" si="35"/>
        <v>236484.04469791849</v>
      </c>
      <c r="AF137">
        <f t="shared" si="36"/>
        <v>235380.14020520751</v>
      </c>
      <c r="AG137">
        <f t="shared" si="37"/>
        <v>233357.58657483076</v>
      </c>
      <c r="AH137">
        <f t="shared" si="38"/>
        <v>231584.78131837444</v>
      </c>
      <c r="AI137">
        <f t="shared" si="45"/>
        <v>239120.40019449202</v>
      </c>
    </row>
    <row r="138" spans="2:35" x14ac:dyDescent="0.3">
      <c r="B138">
        <v>95</v>
      </c>
      <c r="C138">
        <v>70003.132800000007</v>
      </c>
      <c r="D138">
        <v>68639.694900000002</v>
      </c>
      <c r="E138">
        <v>68479.635999999999</v>
      </c>
      <c r="F138">
        <v>68215.390299999999</v>
      </c>
      <c r="G138">
        <v>67968.525299999994</v>
      </c>
      <c r="H138">
        <v>68042.948999999993</v>
      </c>
      <c r="I138">
        <v>8.8287631647855385</v>
      </c>
      <c r="J138">
        <v>8.8149601899337231</v>
      </c>
      <c r="K138">
        <v>8.8070521422369108</v>
      </c>
      <c r="L138">
        <v>8.8038346042841713</v>
      </c>
      <c r="M138">
        <v>8.7922282995207226</v>
      </c>
      <c r="N138">
        <v>8.7846343712571446</v>
      </c>
      <c r="P138">
        <f t="shared" si="27"/>
        <v>194859.76214356616</v>
      </c>
      <c r="Q138">
        <f t="shared" si="28"/>
        <v>195809.11079801171</v>
      </c>
      <c r="R138">
        <f t="shared" si="29"/>
        <v>195731.92826710735</v>
      </c>
      <c r="S138">
        <f t="shared" si="30"/>
        <v>195899.64782852514</v>
      </c>
      <c r="T138">
        <f t="shared" si="31"/>
        <v>195798.32368562173</v>
      </c>
      <c r="U138">
        <f t="shared" si="32"/>
        <v>195496.08213771434</v>
      </c>
      <c r="V138">
        <f t="shared" si="39"/>
        <v>0</v>
      </c>
      <c r="W138">
        <f t="shared" si="40"/>
        <v>0</v>
      </c>
      <c r="X138">
        <f t="shared" si="41"/>
        <v>0</v>
      </c>
      <c r="Y138">
        <f t="shared" si="42"/>
        <v>1</v>
      </c>
      <c r="Z138">
        <f t="shared" si="43"/>
        <v>0</v>
      </c>
      <c r="AA138">
        <f t="shared" si="44"/>
        <v>0</v>
      </c>
      <c r="AC138">
        <f t="shared" si="33"/>
        <v>194859.76214356616</v>
      </c>
      <c r="AD138">
        <f t="shared" si="34"/>
        <v>195809.11079801171</v>
      </c>
      <c r="AE138">
        <f t="shared" si="35"/>
        <v>195731.92826710735</v>
      </c>
      <c r="AF138">
        <f t="shared" si="36"/>
        <v>195899.64782852514</v>
      </c>
      <c r="AG138">
        <f t="shared" si="37"/>
        <v>195798.32368562173</v>
      </c>
      <c r="AH138">
        <f t="shared" si="38"/>
        <v>195496.08213771434</v>
      </c>
      <c r="AI138">
        <f t="shared" si="45"/>
        <v>195899.64782852514</v>
      </c>
    </row>
    <row r="139" spans="2:35" x14ac:dyDescent="0.3">
      <c r="B139">
        <v>96</v>
      </c>
      <c r="C139">
        <v>69727.728400000007</v>
      </c>
      <c r="D139">
        <v>68587.651599999997</v>
      </c>
      <c r="E139">
        <v>68942.204500000007</v>
      </c>
      <c r="F139">
        <v>68638.925900000002</v>
      </c>
      <c r="G139">
        <v>68826.9571</v>
      </c>
      <c r="H139">
        <v>69117.064100000003</v>
      </c>
      <c r="I139">
        <v>10.346429897269116</v>
      </c>
      <c r="J139">
        <v>10.317045365739625</v>
      </c>
      <c r="K139">
        <v>10.288950408800266</v>
      </c>
      <c r="L139">
        <v>10.280295798470565</v>
      </c>
      <c r="M139">
        <v>10.266647842004669</v>
      </c>
      <c r="N139">
        <v>10.244191440097282</v>
      </c>
      <c r="P139">
        <f t="shared" si="27"/>
        <v>240665.16851807345</v>
      </c>
      <c r="Q139">
        <f t="shared" si="28"/>
        <v>240923.70937218878</v>
      </c>
      <c r="R139">
        <f t="shared" si="29"/>
        <v>239726.307764008</v>
      </c>
      <c r="S139">
        <f t="shared" si="30"/>
        <v>239769.94805411695</v>
      </c>
      <c r="T139">
        <f t="shared" si="31"/>
        <v>239172.4781601401</v>
      </c>
      <c r="U139">
        <f t="shared" si="32"/>
        <v>238208.67910291842</v>
      </c>
      <c r="V139">
        <f t="shared" si="39"/>
        <v>0</v>
      </c>
      <c r="W139">
        <f t="shared" si="40"/>
        <v>1</v>
      </c>
      <c r="X139">
        <f t="shared" si="41"/>
        <v>0</v>
      </c>
      <c r="Y139">
        <f t="shared" si="42"/>
        <v>0</v>
      </c>
      <c r="Z139">
        <f t="shared" si="43"/>
        <v>0</v>
      </c>
      <c r="AA139">
        <f t="shared" si="44"/>
        <v>0</v>
      </c>
      <c r="AC139">
        <f t="shared" si="33"/>
        <v>240665.16851807345</v>
      </c>
      <c r="AD139">
        <f t="shared" si="34"/>
        <v>240923.70937218878</v>
      </c>
      <c r="AE139">
        <f t="shared" si="35"/>
        <v>239726.307764008</v>
      </c>
      <c r="AF139">
        <f t="shared" si="36"/>
        <v>239769.94805411695</v>
      </c>
      <c r="AG139">
        <f t="shared" si="37"/>
        <v>239172.4781601401</v>
      </c>
      <c r="AH139">
        <f t="shared" si="38"/>
        <v>238208.67910291842</v>
      </c>
      <c r="AI139">
        <f t="shared" si="45"/>
        <v>240923.70937218878</v>
      </c>
    </row>
    <row r="140" spans="2:35" x14ac:dyDescent="0.3">
      <c r="B140">
        <v>97</v>
      </c>
      <c r="C140">
        <v>93203.721699999995</v>
      </c>
      <c r="D140">
        <v>92034.991699999999</v>
      </c>
      <c r="E140">
        <v>92065.732399999994</v>
      </c>
      <c r="F140">
        <v>91871.3511</v>
      </c>
      <c r="G140">
        <v>92069.583199999994</v>
      </c>
      <c r="H140">
        <v>92139.454400000002</v>
      </c>
      <c r="I140">
        <v>8.8090839011435236</v>
      </c>
      <c r="J140">
        <v>8.7884481453595669</v>
      </c>
      <c r="K140">
        <v>8.7758604878097017</v>
      </c>
      <c r="L140">
        <v>8.7627235056035762</v>
      </c>
      <c r="M140">
        <v>8.7537750666972176</v>
      </c>
      <c r="N140">
        <v>8.7386573757361941</v>
      </c>
      <c r="P140">
        <f t="shared" si="27"/>
        <v>171068.79533430573</v>
      </c>
      <c r="Q140">
        <f t="shared" si="28"/>
        <v>171618.45266078698</v>
      </c>
      <c r="R140">
        <f t="shared" si="29"/>
        <v>171210.08223429107</v>
      </c>
      <c r="S140">
        <f t="shared" si="30"/>
        <v>171010.35406810729</v>
      </c>
      <c r="T140">
        <f t="shared" si="31"/>
        <v>170543.66880091652</v>
      </c>
      <c r="U140">
        <f t="shared" si="32"/>
        <v>170020.26687208581</v>
      </c>
      <c r="V140">
        <f t="shared" si="39"/>
        <v>0</v>
      </c>
      <c r="W140">
        <f t="shared" si="40"/>
        <v>1</v>
      </c>
      <c r="X140">
        <f t="shared" si="41"/>
        <v>0</v>
      </c>
      <c r="Y140">
        <f t="shared" si="42"/>
        <v>0</v>
      </c>
      <c r="Z140">
        <f t="shared" si="43"/>
        <v>0</v>
      </c>
      <c r="AA140">
        <f t="shared" si="44"/>
        <v>0</v>
      </c>
      <c r="AC140">
        <f t="shared" si="33"/>
        <v>171068.79533430573</v>
      </c>
      <c r="AD140">
        <f t="shared" si="34"/>
        <v>171618.45266078698</v>
      </c>
      <c r="AE140">
        <f t="shared" si="35"/>
        <v>171210.08223429107</v>
      </c>
      <c r="AF140">
        <f t="shared" si="36"/>
        <v>171010.35406810729</v>
      </c>
      <c r="AG140">
        <f t="shared" si="37"/>
        <v>170543.66880091652</v>
      </c>
      <c r="AH140">
        <f t="shared" si="38"/>
        <v>170020.26687208581</v>
      </c>
      <c r="AI140">
        <f t="shared" si="45"/>
        <v>171618.45266078698</v>
      </c>
    </row>
    <row r="141" spans="2:35" x14ac:dyDescent="0.3">
      <c r="B141">
        <v>98</v>
      </c>
      <c r="C141">
        <v>80674.417700000005</v>
      </c>
      <c r="D141">
        <v>79117.710600000006</v>
      </c>
      <c r="E141">
        <v>79059.602499999994</v>
      </c>
      <c r="F141">
        <v>78872.440199999997</v>
      </c>
      <c r="G141">
        <v>78769.319000000003</v>
      </c>
      <c r="H141">
        <v>78622.210699999996</v>
      </c>
      <c r="I141">
        <v>8.7054699709899879</v>
      </c>
      <c r="J141">
        <v>8.6722669248466051</v>
      </c>
      <c r="K141">
        <v>8.6463802448351306</v>
      </c>
      <c r="L141">
        <v>8.6363022157029654</v>
      </c>
      <c r="M141">
        <v>8.614404703669468</v>
      </c>
      <c r="N141">
        <v>8.5920677556612102</v>
      </c>
      <c r="P141">
        <f t="shared" si="27"/>
        <v>180489.68142969965</v>
      </c>
      <c r="Q141">
        <f t="shared" si="28"/>
        <v>181050.29714539816</v>
      </c>
      <c r="R141">
        <f t="shared" si="29"/>
        <v>180331.80484505394</v>
      </c>
      <c r="S141">
        <f t="shared" si="30"/>
        <v>180216.62627108896</v>
      </c>
      <c r="T141">
        <f t="shared" si="31"/>
        <v>179662.82211008406</v>
      </c>
      <c r="U141">
        <f t="shared" si="32"/>
        <v>179139.82196983631</v>
      </c>
      <c r="V141">
        <f t="shared" si="39"/>
        <v>0</v>
      </c>
      <c r="W141">
        <f t="shared" si="40"/>
        <v>1</v>
      </c>
      <c r="X141">
        <f t="shared" si="41"/>
        <v>0</v>
      </c>
      <c r="Y141">
        <f t="shared" si="42"/>
        <v>0</v>
      </c>
      <c r="Z141">
        <f t="shared" si="43"/>
        <v>0</v>
      </c>
      <c r="AA141">
        <f t="shared" si="44"/>
        <v>0</v>
      </c>
      <c r="AC141">
        <f t="shared" si="33"/>
        <v>180489.68142969965</v>
      </c>
      <c r="AD141">
        <f t="shared" si="34"/>
        <v>181050.29714539816</v>
      </c>
      <c r="AE141">
        <f t="shared" si="35"/>
        <v>180331.80484505394</v>
      </c>
      <c r="AF141">
        <f t="shared" si="36"/>
        <v>180216.62627108896</v>
      </c>
      <c r="AG141">
        <f t="shared" si="37"/>
        <v>179662.82211008406</v>
      </c>
      <c r="AH141">
        <f t="shared" si="38"/>
        <v>179139.82196983631</v>
      </c>
      <c r="AI141">
        <f t="shared" si="45"/>
        <v>181050.29714539816</v>
      </c>
    </row>
    <row r="142" spans="2:35" x14ac:dyDescent="0.3">
      <c r="B142">
        <v>99</v>
      </c>
      <c r="C142">
        <v>73306.698600000003</v>
      </c>
      <c r="D142">
        <v>72572.323099999994</v>
      </c>
      <c r="E142">
        <v>72873.571500000005</v>
      </c>
      <c r="F142">
        <v>72758.960000000006</v>
      </c>
      <c r="G142">
        <v>72984.190300000002</v>
      </c>
      <c r="H142">
        <v>73511.516499999998</v>
      </c>
      <c r="I142">
        <v>10.305005075887218</v>
      </c>
      <c r="J142">
        <v>10.248719382891521</v>
      </c>
      <c r="K142">
        <v>10.197416220608284</v>
      </c>
      <c r="L142">
        <v>10.18946353627193</v>
      </c>
      <c r="M142">
        <v>10.139666918910546</v>
      </c>
      <c r="N142">
        <v>10.092929920819026</v>
      </c>
      <c r="P142">
        <f t="shared" si="27"/>
        <v>235843.45367661654</v>
      </c>
      <c r="Q142">
        <f t="shared" si="28"/>
        <v>234889.25838674564</v>
      </c>
      <c r="R142">
        <f t="shared" si="29"/>
        <v>233048.91511824849</v>
      </c>
      <c r="S142">
        <f t="shared" si="30"/>
        <v>232924.94608815789</v>
      </c>
      <c r="T142">
        <f t="shared" si="31"/>
        <v>231205.81726731634</v>
      </c>
      <c r="U142">
        <f t="shared" si="32"/>
        <v>229276.38112457076</v>
      </c>
      <c r="V142">
        <f t="shared" si="39"/>
        <v>1</v>
      </c>
      <c r="W142">
        <f t="shared" si="40"/>
        <v>0</v>
      </c>
      <c r="X142">
        <f t="shared" si="41"/>
        <v>0</v>
      </c>
      <c r="Y142">
        <f t="shared" si="42"/>
        <v>0</v>
      </c>
      <c r="Z142">
        <f t="shared" si="43"/>
        <v>0</v>
      </c>
      <c r="AA142">
        <f t="shared" si="44"/>
        <v>0</v>
      </c>
      <c r="AC142">
        <f t="shared" si="33"/>
        <v>235843.45367661654</v>
      </c>
      <c r="AD142">
        <f t="shared" si="34"/>
        <v>234889.25838674564</v>
      </c>
      <c r="AE142">
        <f t="shared" si="35"/>
        <v>233048.91511824849</v>
      </c>
      <c r="AF142">
        <f t="shared" si="36"/>
        <v>232924.94608815789</v>
      </c>
      <c r="AG142">
        <f t="shared" si="37"/>
        <v>231205.81726731634</v>
      </c>
      <c r="AH142">
        <f t="shared" si="38"/>
        <v>229276.38112457076</v>
      </c>
      <c r="AI142">
        <f t="shared" si="45"/>
        <v>235843.45367661654</v>
      </c>
    </row>
    <row r="143" spans="2:35" x14ac:dyDescent="0.3">
      <c r="B143">
        <v>100</v>
      </c>
      <c r="C143">
        <v>71088.790900000007</v>
      </c>
      <c r="D143">
        <v>69646.847899999993</v>
      </c>
      <c r="E143">
        <v>69629.624400000001</v>
      </c>
      <c r="F143">
        <v>69371.5815</v>
      </c>
      <c r="G143">
        <v>69020.376699999993</v>
      </c>
      <c r="H143">
        <v>69067.163799999995</v>
      </c>
      <c r="I143">
        <v>11.147712507345545</v>
      </c>
      <c r="J143">
        <v>11.113541257015163</v>
      </c>
      <c r="K143">
        <v>11.099702706528817</v>
      </c>
      <c r="L143">
        <v>11.090861243823115</v>
      </c>
      <c r="M143">
        <v>11.063241090237948</v>
      </c>
      <c r="N143">
        <v>11.043544994842105</v>
      </c>
      <c r="P143">
        <f t="shared" si="27"/>
        <v>263342.58432036632</v>
      </c>
      <c r="Q143">
        <f t="shared" si="28"/>
        <v>263759.38981045486</v>
      </c>
      <c r="R143">
        <f t="shared" si="29"/>
        <v>263361.45679586451</v>
      </c>
      <c r="S143">
        <f t="shared" si="30"/>
        <v>263354.2558146934</v>
      </c>
      <c r="T143">
        <f t="shared" si="31"/>
        <v>262876.8560071385</v>
      </c>
      <c r="U143">
        <f t="shared" si="32"/>
        <v>262239.18604526314</v>
      </c>
      <c r="V143">
        <f t="shared" si="39"/>
        <v>0</v>
      </c>
      <c r="W143">
        <f t="shared" si="40"/>
        <v>1</v>
      </c>
      <c r="X143">
        <f t="shared" si="41"/>
        <v>0</v>
      </c>
      <c r="Y143">
        <f t="shared" si="42"/>
        <v>0</v>
      </c>
      <c r="Z143">
        <f t="shared" si="43"/>
        <v>0</v>
      </c>
      <c r="AA143">
        <f t="shared" si="44"/>
        <v>0</v>
      </c>
      <c r="AC143">
        <f t="shared" si="33"/>
        <v>263342.58432036632</v>
      </c>
      <c r="AD143">
        <f t="shared" si="34"/>
        <v>263759.38981045486</v>
      </c>
      <c r="AE143">
        <f t="shared" si="35"/>
        <v>263361.45679586451</v>
      </c>
      <c r="AF143">
        <f t="shared" si="36"/>
        <v>263354.2558146934</v>
      </c>
      <c r="AG143">
        <f t="shared" si="37"/>
        <v>262876.8560071385</v>
      </c>
      <c r="AH143">
        <f t="shared" si="38"/>
        <v>262239.18604526314</v>
      </c>
      <c r="AI143">
        <f t="shared" si="45"/>
        <v>263759.38981045486</v>
      </c>
    </row>
    <row r="144" spans="2:35" x14ac:dyDescent="0.3">
      <c r="B144">
        <v>101</v>
      </c>
      <c r="C144">
        <v>74206.547600000005</v>
      </c>
      <c r="D144">
        <v>73259.514599999995</v>
      </c>
      <c r="E144">
        <v>73597.960200000001</v>
      </c>
      <c r="F144">
        <v>73512.315199999997</v>
      </c>
      <c r="G144">
        <v>73957.232799999998</v>
      </c>
      <c r="H144">
        <v>74172.119000000006</v>
      </c>
      <c r="I144">
        <v>9.5479557472782925</v>
      </c>
      <c r="J144">
        <v>9.4960018921940339</v>
      </c>
      <c r="K144">
        <v>9.4670578437491208</v>
      </c>
      <c r="L144">
        <v>9.4476369304072563</v>
      </c>
      <c r="M144">
        <v>9.3978295760121302</v>
      </c>
      <c r="N144">
        <v>9.3631928572459966</v>
      </c>
      <c r="P144">
        <f t="shared" si="27"/>
        <v>212232.12481834879</v>
      </c>
      <c r="Q144">
        <f t="shared" si="28"/>
        <v>211620.54216582101</v>
      </c>
      <c r="R144">
        <f t="shared" si="29"/>
        <v>210413.77511247361</v>
      </c>
      <c r="S144">
        <f t="shared" si="30"/>
        <v>209916.79271221766</v>
      </c>
      <c r="T144">
        <f t="shared" si="31"/>
        <v>207977.65448036388</v>
      </c>
      <c r="U144">
        <f t="shared" si="32"/>
        <v>206723.66671737988</v>
      </c>
      <c r="V144">
        <f t="shared" si="39"/>
        <v>1</v>
      </c>
      <c r="W144">
        <f t="shared" si="40"/>
        <v>0</v>
      </c>
      <c r="X144">
        <f t="shared" si="41"/>
        <v>0</v>
      </c>
      <c r="Y144">
        <f t="shared" si="42"/>
        <v>0</v>
      </c>
      <c r="Z144">
        <f t="shared" si="43"/>
        <v>0</v>
      </c>
      <c r="AA144">
        <f t="shared" si="44"/>
        <v>0</v>
      </c>
      <c r="AC144">
        <f t="shared" si="33"/>
        <v>212232.12481834879</v>
      </c>
      <c r="AD144">
        <f t="shared" si="34"/>
        <v>211620.54216582101</v>
      </c>
      <c r="AE144">
        <f t="shared" si="35"/>
        <v>210413.77511247361</v>
      </c>
      <c r="AF144">
        <f t="shared" si="36"/>
        <v>209916.79271221766</v>
      </c>
      <c r="AG144">
        <f t="shared" si="37"/>
        <v>207977.65448036388</v>
      </c>
      <c r="AH144">
        <f t="shared" si="38"/>
        <v>206723.66671737988</v>
      </c>
      <c r="AI144">
        <f t="shared" si="45"/>
        <v>212232.12481834879</v>
      </c>
    </row>
    <row r="145" spans="2:35" x14ac:dyDescent="0.3">
      <c r="B145">
        <v>102</v>
      </c>
      <c r="C145">
        <v>65109.211000000003</v>
      </c>
      <c r="D145">
        <v>64094.828699999998</v>
      </c>
      <c r="E145">
        <v>64239.802799999998</v>
      </c>
      <c r="F145">
        <v>63972.105300000003</v>
      </c>
      <c r="G145">
        <v>64236.776899999997</v>
      </c>
      <c r="H145">
        <v>64376.171999999999</v>
      </c>
      <c r="I145">
        <v>9.7670516998272241</v>
      </c>
      <c r="J145">
        <v>9.7388479156182939</v>
      </c>
      <c r="K145">
        <v>9.7237094365218475</v>
      </c>
      <c r="L145">
        <v>9.7187150915822968</v>
      </c>
      <c r="M145">
        <v>9.6996760470914012</v>
      </c>
      <c r="N145">
        <v>9.6800852103164896</v>
      </c>
      <c r="P145">
        <f t="shared" si="27"/>
        <v>227902.33999481669</v>
      </c>
      <c r="Q145">
        <f t="shared" si="28"/>
        <v>228070.60876854882</v>
      </c>
      <c r="R145">
        <f t="shared" si="29"/>
        <v>227471.48029565543</v>
      </c>
      <c r="S145">
        <f t="shared" si="30"/>
        <v>227589.3474474689</v>
      </c>
      <c r="T145">
        <f t="shared" si="31"/>
        <v>226753.50451274205</v>
      </c>
      <c r="U145">
        <f t="shared" si="32"/>
        <v>226026.38430949472</v>
      </c>
      <c r="V145">
        <f t="shared" si="39"/>
        <v>0</v>
      </c>
      <c r="W145">
        <f t="shared" si="40"/>
        <v>1</v>
      </c>
      <c r="X145">
        <f t="shared" si="41"/>
        <v>0</v>
      </c>
      <c r="Y145">
        <f t="shared" si="42"/>
        <v>0</v>
      </c>
      <c r="Z145">
        <f t="shared" si="43"/>
        <v>0</v>
      </c>
      <c r="AA145">
        <f t="shared" si="44"/>
        <v>0</v>
      </c>
      <c r="AC145">
        <f t="shared" si="33"/>
        <v>227902.33999481669</v>
      </c>
      <c r="AD145">
        <f t="shared" si="34"/>
        <v>228070.60876854882</v>
      </c>
      <c r="AE145">
        <f t="shared" si="35"/>
        <v>227471.48029565543</v>
      </c>
      <c r="AF145">
        <f t="shared" si="36"/>
        <v>227589.3474474689</v>
      </c>
      <c r="AG145">
        <f t="shared" si="37"/>
        <v>226753.50451274205</v>
      </c>
      <c r="AH145">
        <f t="shared" si="38"/>
        <v>226026.38430949472</v>
      </c>
      <c r="AI145">
        <f t="shared" si="45"/>
        <v>228070.60876854882</v>
      </c>
    </row>
    <row r="146" spans="2:35" x14ac:dyDescent="0.3">
      <c r="B146">
        <v>103</v>
      </c>
      <c r="C146">
        <v>80223.141099999993</v>
      </c>
      <c r="D146">
        <v>79893.806500000006</v>
      </c>
      <c r="E146">
        <v>80654.155899999998</v>
      </c>
      <c r="F146">
        <v>80920.111300000004</v>
      </c>
      <c r="G146">
        <v>81736.444300000003</v>
      </c>
      <c r="H146">
        <v>82461.6924</v>
      </c>
      <c r="I146">
        <v>10.038599802938515</v>
      </c>
      <c r="J146">
        <v>10.017092648744606</v>
      </c>
      <c r="K146">
        <v>10.0052271385557</v>
      </c>
      <c r="L146">
        <v>9.9953664711242798</v>
      </c>
      <c r="M146">
        <v>9.9793830407510704</v>
      </c>
      <c r="N146">
        <v>9.9658631152838115</v>
      </c>
      <c r="P146">
        <f t="shared" si="27"/>
        <v>220934.85298815544</v>
      </c>
      <c r="Q146">
        <f t="shared" si="28"/>
        <v>220618.97296233819</v>
      </c>
      <c r="R146">
        <f t="shared" si="29"/>
        <v>219502.65825667098</v>
      </c>
      <c r="S146">
        <f t="shared" si="30"/>
        <v>218940.88283372839</v>
      </c>
      <c r="T146">
        <f t="shared" si="31"/>
        <v>217645.04692253211</v>
      </c>
      <c r="U146">
        <f t="shared" si="32"/>
        <v>216514.20105851436</v>
      </c>
      <c r="V146">
        <f t="shared" si="39"/>
        <v>1</v>
      </c>
      <c r="W146">
        <f t="shared" si="40"/>
        <v>0</v>
      </c>
      <c r="X146">
        <f t="shared" si="41"/>
        <v>0</v>
      </c>
      <c r="Y146">
        <f t="shared" si="42"/>
        <v>0</v>
      </c>
      <c r="Z146">
        <f t="shared" si="43"/>
        <v>0</v>
      </c>
      <c r="AA146">
        <f t="shared" si="44"/>
        <v>0</v>
      </c>
      <c r="AC146">
        <f t="shared" si="33"/>
        <v>220934.85298815544</v>
      </c>
      <c r="AD146">
        <f t="shared" si="34"/>
        <v>220618.97296233819</v>
      </c>
      <c r="AE146">
        <f t="shared" si="35"/>
        <v>219502.65825667098</v>
      </c>
      <c r="AF146">
        <f t="shared" si="36"/>
        <v>218940.88283372839</v>
      </c>
      <c r="AG146">
        <f t="shared" si="37"/>
        <v>217645.04692253211</v>
      </c>
      <c r="AH146">
        <f t="shared" si="38"/>
        <v>216514.20105851436</v>
      </c>
      <c r="AI146">
        <f t="shared" si="45"/>
        <v>220934.85298815544</v>
      </c>
    </row>
    <row r="147" spans="2:35" x14ac:dyDescent="0.3">
      <c r="B147">
        <v>104</v>
      </c>
      <c r="C147">
        <v>70513.1302</v>
      </c>
      <c r="D147">
        <v>69655.125</v>
      </c>
      <c r="E147">
        <v>69735.436100000006</v>
      </c>
      <c r="F147">
        <v>69772.157399999996</v>
      </c>
      <c r="G147">
        <v>69814.611999999994</v>
      </c>
      <c r="H147">
        <v>70170.328999999998</v>
      </c>
      <c r="I147">
        <v>9.9514914633400835</v>
      </c>
      <c r="J147">
        <v>9.92835259263396</v>
      </c>
      <c r="K147">
        <v>9.9153785950706226</v>
      </c>
      <c r="L147">
        <v>9.9003491746574532</v>
      </c>
      <c r="M147">
        <v>9.8850563955993369</v>
      </c>
      <c r="N147">
        <v>9.8658773438770115</v>
      </c>
      <c r="P147">
        <f t="shared" si="27"/>
        <v>228031.61370020249</v>
      </c>
      <c r="Q147">
        <f t="shared" si="28"/>
        <v>228195.45277901879</v>
      </c>
      <c r="R147">
        <f t="shared" si="29"/>
        <v>227725.92175211868</v>
      </c>
      <c r="S147">
        <f t="shared" si="30"/>
        <v>227238.31783972358</v>
      </c>
      <c r="T147">
        <f t="shared" si="31"/>
        <v>226737.07986798012</v>
      </c>
      <c r="U147">
        <f t="shared" si="32"/>
        <v>225805.99131631033</v>
      </c>
      <c r="V147">
        <f t="shared" si="39"/>
        <v>0</v>
      </c>
      <c r="W147">
        <f t="shared" si="40"/>
        <v>1</v>
      </c>
      <c r="X147">
        <f t="shared" si="41"/>
        <v>0</v>
      </c>
      <c r="Y147">
        <f t="shared" si="42"/>
        <v>0</v>
      </c>
      <c r="Z147">
        <f t="shared" si="43"/>
        <v>0</v>
      </c>
      <c r="AA147">
        <f t="shared" si="44"/>
        <v>0</v>
      </c>
      <c r="AC147">
        <f t="shared" si="33"/>
        <v>228031.61370020249</v>
      </c>
      <c r="AD147">
        <f t="shared" si="34"/>
        <v>228195.45277901879</v>
      </c>
      <c r="AE147">
        <f t="shared" si="35"/>
        <v>227725.92175211868</v>
      </c>
      <c r="AF147">
        <f t="shared" si="36"/>
        <v>227238.31783972358</v>
      </c>
      <c r="AG147">
        <f t="shared" si="37"/>
        <v>226737.07986798012</v>
      </c>
      <c r="AH147">
        <f t="shared" si="38"/>
        <v>225805.99131631033</v>
      </c>
      <c r="AI147">
        <f t="shared" si="45"/>
        <v>228195.45277901879</v>
      </c>
    </row>
    <row r="148" spans="2:35" x14ac:dyDescent="0.3">
      <c r="B148">
        <v>105</v>
      </c>
      <c r="C148">
        <v>80205.555999999997</v>
      </c>
      <c r="D148">
        <v>79912.008300000001</v>
      </c>
      <c r="E148">
        <v>80934.163799999995</v>
      </c>
      <c r="F148">
        <v>81093.174400000004</v>
      </c>
      <c r="G148">
        <v>81877.545899999997</v>
      </c>
      <c r="H148">
        <v>82702.702300000004</v>
      </c>
      <c r="I148">
        <v>11.11923514216171</v>
      </c>
      <c r="J148">
        <v>11.091347330010139</v>
      </c>
      <c r="K148">
        <v>11.067095843111105</v>
      </c>
      <c r="L148">
        <v>11.052770458375299</v>
      </c>
      <c r="M148">
        <v>11.034023184019725</v>
      </c>
      <c r="N148">
        <v>11.006231411755413</v>
      </c>
      <c r="P148">
        <f t="shared" si="27"/>
        <v>253371.49826485128</v>
      </c>
      <c r="Q148">
        <f t="shared" si="28"/>
        <v>252828.41160030419</v>
      </c>
      <c r="R148">
        <f t="shared" si="29"/>
        <v>251078.71149333316</v>
      </c>
      <c r="S148">
        <f t="shared" si="30"/>
        <v>250489.93935125897</v>
      </c>
      <c r="T148">
        <f t="shared" si="31"/>
        <v>249143.14962059175</v>
      </c>
      <c r="U148">
        <f t="shared" si="32"/>
        <v>247484.24005266238</v>
      </c>
      <c r="V148">
        <f t="shared" si="39"/>
        <v>1</v>
      </c>
      <c r="W148">
        <f t="shared" si="40"/>
        <v>0</v>
      </c>
      <c r="X148">
        <f t="shared" si="41"/>
        <v>0</v>
      </c>
      <c r="Y148">
        <f t="shared" si="42"/>
        <v>0</v>
      </c>
      <c r="Z148">
        <f t="shared" si="43"/>
        <v>0</v>
      </c>
      <c r="AA148">
        <f t="shared" si="44"/>
        <v>0</v>
      </c>
      <c r="AC148">
        <f t="shared" si="33"/>
        <v>253371.49826485128</v>
      </c>
      <c r="AD148">
        <f t="shared" si="34"/>
        <v>252828.41160030419</v>
      </c>
      <c r="AE148">
        <f t="shared" si="35"/>
        <v>251078.71149333316</v>
      </c>
      <c r="AF148">
        <f t="shared" si="36"/>
        <v>250489.93935125897</v>
      </c>
      <c r="AG148">
        <f t="shared" si="37"/>
        <v>249143.14962059175</v>
      </c>
      <c r="AH148">
        <f t="shared" si="38"/>
        <v>247484.24005266238</v>
      </c>
      <c r="AI148">
        <f t="shared" si="45"/>
        <v>253371.49826485128</v>
      </c>
    </row>
    <row r="149" spans="2:35" x14ac:dyDescent="0.3">
      <c r="B149">
        <v>106</v>
      </c>
      <c r="C149">
        <v>76354.464600000007</v>
      </c>
      <c r="D149">
        <v>76491.969100000002</v>
      </c>
      <c r="E149">
        <v>77957.902600000001</v>
      </c>
      <c r="F149">
        <v>77412.187399999995</v>
      </c>
      <c r="G149">
        <v>79150.4908</v>
      </c>
      <c r="H149">
        <v>80461.826199999996</v>
      </c>
      <c r="I149">
        <v>11.624108993138492</v>
      </c>
      <c r="J149">
        <v>11.591495262111017</v>
      </c>
      <c r="K149">
        <v>11.554163286383268</v>
      </c>
      <c r="L149">
        <v>11.557662263026337</v>
      </c>
      <c r="M149">
        <v>11.522100120572786</v>
      </c>
      <c r="N149">
        <v>11.487935862298384</v>
      </c>
      <c r="P149">
        <f t="shared" si="27"/>
        <v>272368.80519415473</v>
      </c>
      <c r="Q149">
        <f t="shared" si="28"/>
        <v>271252.88876333053</v>
      </c>
      <c r="R149">
        <f t="shared" si="29"/>
        <v>268666.995991498</v>
      </c>
      <c r="S149">
        <f t="shared" si="30"/>
        <v>269317.68049079011</v>
      </c>
      <c r="T149">
        <f t="shared" si="31"/>
        <v>266512.51281718351</v>
      </c>
      <c r="U149">
        <f t="shared" si="32"/>
        <v>264176.2496689515</v>
      </c>
      <c r="V149">
        <f t="shared" si="39"/>
        <v>1</v>
      </c>
      <c r="W149">
        <f t="shared" si="40"/>
        <v>0</v>
      </c>
      <c r="X149">
        <f t="shared" si="41"/>
        <v>0</v>
      </c>
      <c r="Y149">
        <f t="shared" si="42"/>
        <v>0</v>
      </c>
      <c r="Z149">
        <f t="shared" si="43"/>
        <v>0</v>
      </c>
      <c r="AA149">
        <f t="shared" si="44"/>
        <v>0</v>
      </c>
      <c r="AC149">
        <f t="shared" si="33"/>
        <v>272368.80519415473</v>
      </c>
      <c r="AD149">
        <f t="shared" si="34"/>
        <v>271252.88876333053</v>
      </c>
      <c r="AE149">
        <f t="shared" si="35"/>
        <v>268666.995991498</v>
      </c>
      <c r="AF149">
        <f t="shared" si="36"/>
        <v>269317.68049079011</v>
      </c>
      <c r="AG149">
        <f t="shared" si="37"/>
        <v>266512.51281718351</v>
      </c>
      <c r="AH149">
        <f t="shared" si="38"/>
        <v>264176.2496689515</v>
      </c>
      <c r="AI149">
        <f t="shared" si="45"/>
        <v>272368.80519415473</v>
      </c>
    </row>
    <row r="150" spans="2:35" x14ac:dyDescent="0.3">
      <c r="B150">
        <v>107</v>
      </c>
      <c r="C150">
        <v>67961.639599999995</v>
      </c>
      <c r="D150">
        <v>67719.610199999996</v>
      </c>
      <c r="E150">
        <v>68159.217699999994</v>
      </c>
      <c r="F150">
        <v>68214.543699999995</v>
      </c>
      <c r="G150">
        <v>68656.997099999993</v>
      </c>
      <c r="H150">
        <v>69385.932199999996</v>
      </c>
      <c r="I150">
        <v>10.995269878117796</v>
      </c>
      <c r="J150">
        <v>10.966777304886193</v>
      </c>
      <c r="K150">
        <v>10.953973949649063</v>
      </c>
      <c r="L150">
        <v>10.943205822412148</v>
      </c>
      <c r="M150">
        <v>10.927180428460055</v>
      </c>
      <c r="N150">
        <v>10.90538068607496</v>
      </c>
      <c r="P150">
        <f t="shared" si="27"/>
        <v>261896.4567435339</v>
      </c>
      <c r="Q150">
        <f t="shared" si="28"/>
        <v>261283.70894658577</v>
      </c>
      <c r="R150">
        <f t="shared" si="29"/>
        <v>260460.0007894719</v>
      </c>
      <c r="S150">
        <f t="shared" si="30"/>
        <v>260081.63097236445</v>
      </c>
      <c r="T150">
        <f t="shared" si="31"/>
        <v>259158.41575380164</v>
      </c>
      <c r="U150">
        <f t="shared" si="32"/>
        <v>257775.48838224879</v>
      </c>
      <c r="V150">
        <f t="shared" si="39"/>
        <v>1</v>
      </c>
      <c r="W150">
        <f t="shared" si="40"/>
        <v>0</v>
      </c>
      <c r="X150">
        <f t="shared" si="41"/>
        <v>0</v>
      </c>
      <c r="Y150">
        <f t="shared" si="42"/>
        <v>0</v>
      </c>
      <c r="Z150">
        <f t="shared" si="43"/>
        <v>0</v>
      </c>
      <c r="AA150">
        <f t="shared" si="44"/>
        <v>0</v>
      </c>
      <c r="AC150">
        <f t="shared" si="33"/>
        <v>261896.4567435339</v>
      </c>
      <c r="AD150">
        <f t="shared" si="34"/>
        <v>261283.70894658577</v>
      </c>
      <c r="AE150">
        <f t="shared" si="35"/>
        <v>260460.0007894719</v>
      </c>
      <c r="AF150">
        <f t="shared" si="36"/>
        <v>260081.63097236445</v>
      </c>
      <c r="AG150">
        <f t="shared" si="37"/>
        <v>259158.41575380164</v>
      </c>
      <c r="AH150">
        <f t="shared" si="38"/>
        <v>257775.48838224879</v>
      </c>
      <c r="AI150">
        <f t="shared" si="45"/>
        <v>261896.4567435339</v>
      </c>
    </row>
    <row r="151" spans="2:35" x14ac:dyDescent="0.3">
      <c r="B151">
        <v>108</v>
      </c>
      <c r="C151">
        <v>73875.312900000004</v>
      </c>
      <c r="D151">
        <v>73015.6054</v>
      </c>
      <c r="E151">
        <v>73454.095499999996</v>
      </c>
      <c r="F151">
        <v>73382.766399999993</v>
      </c>
      <c r="G151">
        <v>73736.876300000004</v>
      </c>
      <c r="H151">
        <v>74175.159599999999</v>
      </c>
      <c r="I151">
        <v>11.522141531216473</v>
      </c>
      <c r="J151">
        <v>11.486842611435971</v>
      </c>
      <c r="K151">
        <v>11.466045024147256</v>
      </c>
      <c r="L151">
        <v>11.457164451039697</v>
      </c>
      <c r="M151">
        <v>11.437761431383509</v>
      </c>
      <c r="N151">
        <v>11.406391906323863</v>
      </c>
      <c r="P151">
        <f t="shared" si="27"/>
        <v>271788.93303649419</v>
      </c>
      <c r="Q151">
        <f t="shared" si="28"/>
        <v>271589.67294307915</v>
      </c>
      <c r="R151">
        <f t="shared" si="29"/>
        <v>270527.25522441766</v>
      </c>
      <c r="S151">
        <f t="shared" si="30"/>
        <v>270332.16713119089</v>
      </c>
      <c r="T151">
        <f t="shared" si="31"/>
        <v>269395.96664150525</v>
      </c>
      <c r="U151">
        <f t="shared" si="32"/>
        <v>268016.59758971591</v>
      </c>
      <c r="V151">
        <f t="shared" si="39"/>
        <v>1</v>
      </c>
      <c r="W151">
        <f t="shared" si="40"/>
        <v>0</v>
      </c>
      <c r="X151">
        <f t="shared" si="41"/>
        <v>0</v>
      </c>
      <c r="Y151">
        <f t="shared" si="42"/>
        <v>0</v>
      </c>
      <c r="Z151">
        <f t="shared" si="43"/>
        <v>0</v>
      </c>
      <c r="AA151">
        <f t="shared" si="44"/>
        <v>0</v>
      </c>
      <c r="AC151">
        <f t="shared" si="33"/>
        <v>271788.93303649419</v>
      </c>
      <c r="AD151">
        <f t="shared" si="34"/>
        <v>271589.67294307915</v>
      </c>
      <c r="AE151">
        <f t="shared" si="35"/>
        <v>270527.25522441766</v>
      </c>
      <c r="AF151">
        <f t="shared" si="36"/>
        <v>270332.16713119089</v>
      </c>
      <c r="AG151">
        <f t="shared" si="37"/>
        <v>269395.96664150525</v>
      </c>
      <c r="AH151">
        <f t="shared" si="38"/>
        <v>268016.59758971591</v>
      </c>
      <c r="AI151">
        <f t="shared" si="45"/>
        <v>271788.93303649419</v>
      </c>
    </row>
    <row r="152" spans="2:35" x14ac:dyDescent="0.3">
      <c r="B152">
        <v>109</v>
      </c>
      <c r="C152">
        <v>76261.443700000003</v>
      </c>
      <c r="D152">
        <v>75887.467999999993</v>
      </c>
      <c r="E152">
        <v>76453.123099999997</v>
      </c>
      <c r="F152">
        <v>76579.309299999994</v>
      </c>
      <c r="G152">
        <v>77311.09</v>
      </c>
      <c r="H152">
        <v>77911.646299999993</v>
      </c>
      <c r="I152">
        <v>9.133000304106444</v>
      </c>
      <c r="J152">
        <v>9.0914974242003002</v>
      </c>
      <c r="K152">
        <v>9.0684341901657852</v>
      </c>
      <c r="L152">
        <v>9.0398734617102292</v>
      </c>
      <c r="M152">
        <v>9.0121601137259315</v>
      </c>
      <c r="N152">
        <v>8.9782248104702731</v>
      </c>
      <c r="P152">
        <f t="shared" si="27"/>
        <v>197728.56542319333</v>
      </c>
      <c r="Q152">
        <f t="shared" si="28"/>
        <v>196857.45472600899</v>
      </c>
      <c r="R152">
        <f t="shared" si="29"/>
        <v>195599.90260497355</v>
      </c>
      <c r="S152">
        <f t="shared" si="30"/>
        <v>194616.89455130688</v>
      </c>
      <c r="T152">
        <f t="shared" si="31"/>
        <v>193053.71341177795</v>
      </c>
      <c r="U152">
        <f t="shared" si="32"/>
        <v>191435.09801410823</v>
      </c>
      <c r="V152">
        <f t="shared" si="39"/>
        <v>1</v>
      </c>
      <c r="W152">
        <f t="shared" si="40"/>
        <v>0</v>
      </c>
      <c r="X152">
        <f t="shared" si="41"/>
        <v>0</v>
      </c>
      <c r="Y152">
        <f t="shared" si="42"/>
        <v>0</v>
      </c>
      <c r="Z152">
        <f t="shared" si="43"/>
        <v>0</v>
      </c>
      <c r="AA152">
        <f t="shared" si="44"/>
        <v>0</v>
      </c>
      <c r="AC152">
        <f t="shared" si="33"/>
        <v>197728.56542319333</v>
      </c>
      <c r="AD152">
        <f t="shared" si="34"/>
        <v>196857.45472600899</v>
      </c>
      <c r="AE152">
        <f t="shared" si="35"/>
        <v>195599.90260497355</v>
      </c>
      <c r="AF152">
        <f t="shared" si="36"/>
        <v>194616.89455130688</v>
      </c>
      <c r="AG152">
        <f t="shared" si="37"/>
        <v>193053.71341177795</v>
      </c>
      <c r="AH152">
        <f t="shared" si="38"/>
        <v>191435.09801410823</v>
      </c>
      <c r="AI152">
        <f t="shared" si="45"/>
        <v>197728.56542319333</v>
      </c>
    </row>
    <row r="153" spans="2:35" x14ac:dyDescent="0.3">
      <c r="B153">
        <v>110</v>
      </c>
      <c r="C153">
        <v>79977.733800000002</v>
      </c>
      <c r="D153">
        <v>78525.353300000002</v>
      </c>
      <c r="E153">
        <v>78458.414199999999</v>
      </c>
      <c r="F153">
        <v>78300.394400000005</v>
      </c>
      <c r="G153">
        <v>78090.005600000004</v>
      </c>
      <c r="H153">
        <v>77985.851500000004</v>
      </c>
      <c r="I153">
        <v>10.296768122510448</v>
      </c>
      <c r="J153">
        <v>10.27410394309662</v>
      </c>
      <c r="K153">
        <v>10.258172435452838</v>
      </c>
      <c r="L153">
        <v>10.250095757377455</v>
      </c>
      <c r="M153">
        <v>10.231426025302888</v>
      </c>
      <c r="N153">
        <v>10.210729995874477</v>
      </c>
      <c r="P153">
        <f t="shared" si="27"/>
        <v>228925.30987531348</v>
      </c>
      <c r="Q153">
        <f t="shared" si="28"/>
        <v>229697.76499289856</v>
      </c>
      <c r="R153">
        <f t="shared" si="29"/>
        <v>229286.75886358513</v>
      </c>
      <c r="S153">
        <f t="shared" si="30"/>
        <v>229202.47832132364</v>
      </c>
      <c r="T153">
        <f t="shared" si="31"/>
        <v>228852.77515908665</v>
      </c>
      <c r="U153">
        <f t="shared" si="32"/>
        <v>228336.04837623431</v>
      </c>
      <c r="V153">
        <f t="shared" si="39"/>
        <v>0</v>
      </c>
      <c r="W153">
        <f t="shared" si="40"/>
        <v>1</v>
      </c>
      <c r="X153">
        <f t="shared" si="41"/>
        <v>0</v>
      </c>
      <c r="Y153">
        <f t="shared" si="42"/>
        <v>0</v>
      </c>
      <c r="Z153">
        <f t="shared" si="43"/>
        <v>0</v>
      </c>
      <c r="AA153">
        <f t="shared" si="44"/>
        <v>0</v>
      </c>
      <c r="AC153">
        <f t="shared" si="33"/>
        <v>228925.30987531348</v>
      </c>
      <c r="AD153">
        <f t="shared" si="34"/>
        <v>229697.76499289856</v>
      </c>
      <c r="AE153">
        <f t="shared" si="35"/>
        <v>229286.75886358513</v>
      </c>
      <c r="AF153">
        <f t="shared" si="36"/>
        <v>229202.47832132364</v>
      </c>
      <c r="AG153">
        <f t="shared" si="37"/>
        <v>228852.77515908665</v>
      </c>
      <c r="AH153">
        <f t="shared" si="38"/>
        <v>228336.04837623431</v>
      </c>
      <c r="AI153">
        <f t="shared" si="45"/>
        <v>229697.76499289856</v>
      </c>
    </row>
    <row r="154" spans="2:35" x14ac:dyDescent="0.3">
      <c r="B154">
        <v>111</v>
      </c>
      <c r="C154">
        <v>66975.181100000002</v>
      </c>
      <c r="D154">
        <v>67311.626600000003</v>
      </c>
      <c r="E154">
        <v>68425.911900000006</v>
      </c>
      <c r="F154">
        <v>68562.992499999993</v>
      </c>
      <c r="G154">
        <v>69451.345199999996</v>
      </c>
      <c r="H154">
        <v>70841.357300000003</v>
      </c>
      <c r="I154">
        <v>11.300549007489359</v>
      </c>
      <c r="J154">
        <v>11.26567992400134</v>
      </c>
      <c r="K154">
        <v>11.240576156136942</v>
      </c>
      <c r="L154">
        <v>11.228853723092636</v>
      </c>
      <c r="M154">
        <v>11.205865019730334</v>
      </c>
      <c r="N154">
        <v>11.179224156879874</v>
      </c>
      <c r="P154">
        <f t="shared" si="27"/>
        <v>272041.2891246808</v>
      </c>
      <c r="Q154">
        <f t="shared" si="28"/>
        <v>270658.77112004015</v>
      </c>
      <c r="R154">
        <f t="shared" si="29"/>
        <v>268791.37278410827</v>
      </c>
      <c r="S154">
        <f t="shared" si="30"/>
        <v>268302.61919277906</v>
      </c>
      <c r="T154">
        <f t="shared" si="31"/>
        <v>266724.60539191007</v>
      </c>
      <c r="U154">
        <f t="shared" si="32"/>
        <v>264535.3674063962</v>
      </c>
      <c r="V154">
        <f t="shared" si="39"/>
        <v>1</v>
      </c>
      <c r="W154">
        <f t="shared" si="40"/>
        <v>0</v>
      </c>
      <c r="X154">
        <f t="shared" si="41"/>
        <v>0</v>
      </c>
      <c r="Y154">
        <f t="shared" si="42"/>
        <v>0</v>
      </c>
      <c r="Z154">
        <f t="shared" si="43"/>
        <v>0</v>
      </c>
      <c r="AA154">
        <f t="shared" si="44"/>
        <v>0</v>
      </c>
      <c r="AC154">
        <f t="shared" si="33"/>
        <v>272041.2891246808</v>
      </c>
      <c r="AD154">
        <f t="shared" si="34"/>
        <v>270658.77112004015</v>
      </c>
      <c r="AE154">
        <f t="shared" si="35"/>
        <v>268791.37278410827</v>
      </c>
      <c r="AF154">
        <f t="shared" si="36"/>
        <v>268302.61919277906</v>
      </c>
      <c r="AG154">
        <f t="shared" si="37"/>
        <v>266724.60539191007</v>
      </c>
      <c r="AH154">
        <f t="shared" si="38"/>
        <v>264535.3674063962</v>
      </c>
      <c r="AI154">
        <f t="shared" si="45"/>
        <v>272041.2891246808</v>
      </c>
    </row>
    <row r="155" spans="2:35" x14ac:dyDescent="0.3">
      <c r="B155">
        <v>112</v>
      </c>
      <c r="C155">
        <v>79471.406799999997</v>
      </c>
      <c r="D155">
        <v>77946.803100000005</v>
      </c>
      <c r="E155">
        <v>77881.164199999999</v>
      </c>
      <c r="F155">
        <v>77509.045199999993</v>
      </c>
      <c r="G155">
        <v>77316.252099999998</v>
      </c>
      <c r="H155">
        <v>77124.33</v>
      </c>
      <c r="I155">
        <v>9.3434538864328704</v>
      </c>
      <c r="J155">
        <v>9.2903836555876822</v>
      </c>
      <c r="K155">
        <v>9.2596596248217953</v>
      </c>
      <c r="L155">
        <v>9.2404495435863261</v>
      </c>
      <c r="M155">
        <v>9.1985980876607965</v>
      </c>
      <c r="N155">
        <v>9.1510955278785566</v>
      </c>
      <c r="P155">
        <f t="shared" si="27"/>
        <v>200832.2097929861</v>
      </c>
      <c r="Q155">
        <f t="shared" si="28"/>
        <v>200764.70656763046</v>
      </c>
      <c r="R155">
        <f t="shared" si="29"/>
        <v>199908.62454465387</v>
      </c>
      <c r="S155">
        <f t="shared" si="30"/>
        <v>199704.44110758981</v>
      </c>
      <c r="T155">
        <f t="shared" si="31"/>
        <v>198641.69052982389</v>
      </c>
      <c r="U155">
        <f t="shared" si="32"/>
        <v>197408.53583635669</v>
      </c>
      <c r="V155">
        <f t="shared" si="39"/>
        <v>1</v>
      </c>
      <c r="W155">
        <f t="shared" si="40"/>
        <v>0</v>
      </c>
      <c r="X155">
        <f t="shared" si="41"/>
        <v>0</v>
      </c>
      <c r="Y155">
        <f t="shared" si="42"/>
        <v>0</v>
      </c>
      <c r="Z155">
        <f t="shared" si="43"/>
        <v>0</v>
      </c>
      <c r="AA155">
        <f t="shared" si="44"/>
        <v>0</v>
      </c>
      <c r="AC155">
        <f t="shared" si="33"/>
        <v>200832.2097929861</v>
      </c>
      <c r="AD155">
        <f t="shared" si="34"/>
        <v>200764.70656763046</v>
      </c>
      <c r="AE155">
        <f t="shared" si="35"/>
        <v>199908.62454465387</v>
      </c>
      <c r="AF155">
        <f t="shared" si="36"/>
        <v>199704.44110758981</v>
      </c>
      <c r="AG155">
        <f t="shared" si="37"/>
        <v>198641.69052982389</v>
      </c>
      <c r="AH155">
        <f t="shared" si="38"/>
        <v>197408.53583635669</v>
      </c>
      <c r="AI155">
        <f t="shared" si="45"/>
        <v>200832.2097929861</v>
      </c>
    </row>
    <row r="156" spans="2:35" x14ac:dyDescent="0.3">
      <c r="B156">
        <v>113</v>
      </c>
      <c r="C156">
        <v>71521.296199999997</v>
      </c>
      <c r="D156">
        <v>70564.620699999999</v>
      </c>
      <c r="E156">
        <v>70652.511599999998</v>
      </c>
      <c r="F156">
        <v>70502.246100000004</v>
      </c>
      <c r="G156">
        <v>70921.181899999996</v>
      </c>
      <c r="H156">
        <v>71145.378800000006</v>
      </c>
      <c r="I156">
        <v>10.311657483899426</v>
      </c>
      <c r="J156">
        <v>10.258788314221508</v>
      </c>
      <c r="K156">
        <v>10.216295547052871</v>
      </c>
      <c r="L156">
        <v>10.208354525698446</v>
      </c>
      <c r="M156">
        <v>10.172323910674132</v>
      </c>
      <c r="N156">
        <v>10.129080279195117</v>
      </c>
      <c r="P156">
        <f t="shared" si="27"/>
        <v>237828.42831698281</v>
      </c>
      <c r="Q156">
        <f t="shared" si="28"/>
        <v>237199.02872664525</v>
      </c>
      <c r="R156">
        <f t="shared" si="29"/>
        <v>235836.35481158612</v>
      </c>
      <c r="S156">
        <f t="shared" si="30"/>
        <v>235748.38967095339</v>
      </c>
      <c r="T156">
        <f t="shared" si="31"/>
        <v>234248.53542022398</v>
      </c>
      <c r="U156">
        <f t="shared" si="32"/>
        <v>232727.02957585349</v>
      </c>
      <c r="V156">
        <f t="shared" si="39"/>
        <v>1</v>
      </c>
      <c r="W156">
        <f t="shared" si="40"/>
        <v>0</v>
      </c>
      <c r="X156">
        <f t="shared" si="41"/>
        <v>0</v>
      </c>
      <c r="Y156">
        <f t="shared" si="42"/>
        <v>0</v>
      </c>
      <c r="Z156">
        <f t="shared" si="43"/>
        <v>0</v>
      </c>
      <c r="AA156">
        <f t="shared" si="44"/>
        <v>0</v>
      </c>
      <c r="AC156">
        <f t="shared" si="33"/>
        <v>237828.42831698281</v>
      </c>
      <c r="AD156">
        <f t="shared" si="34"/>
        <v>237199.02872664525</v>
      </c>
      <c r="AE156">
        <f t="shared" si="35"/>
        <v>235836.35481158612</v>
      </c>
      <c r="AF156">
        <f t="shared" si="36"/>
        <v>235748.38967095339</v>
      </c>
      <c r="AG156">
        <f t="shared" si="37"/>
        <v>234248.53542022398</v>
      </c>
      <c r="AH156">
        <f t="shared" si="38"/>
        <v>232727.02957585349</v>
      </c>
      <c r="AI156">
        <f t="shared" si="45"/>
        <v>237828.42831698281</v>
      </c>
    </row>
    <row r="157" spans="2:35" x14ac:dyDescent="0.3">
      <c r="B157">
        <v>114</v>
      </c>
      <c r="C157">
        <v>79304.711800000005</v>
      </c>
      <c r="D157">
        <v>78495.695500000002</v>
      </c>
      <c r="E157">
        <v>78710.599900000001</v>
      </c>
      <c r="F157">
        <v>78524.181800000006</v>
      </c>
      <c r="G157">
        <v>78924.996499999994</v>
      </c>
      <c r="H157">
        <v>79127.867700000003</v>
      </c>
      <c r="I157">
        <v>11.966870898336863</v>
      </c>
      <c r="J157">
        <v>11.939889594416668</v>
      </c>
      <c r="K157">
        <v>11.927970229231899</v>
      </c>
      <c r="L157">
        <v>11.921123392376696</v>
      </c>
      <c r="M157">
        <v>11.898631332467405</v>
      </c>
      <c r="N157">
        <v>11.881641411393039</v>
      </c>
      <c r="P157">
        <f t="shared" si="27"/>
        <v>279701.4151501059</v>
      </c>
      <c r="Q157">
        <f t="shared" si="28"/>
        <v>279700.99233250006</v>
      </c>
      <c r="R157">
        <f t="shared" si="29"/>
        <v>279128.50697695697</v>
      </c>
      <c r="S157">
        <f t="shared" si="30"/>
        <v>279109.51997130085</v>
      </c>
      <c r="T157">
        <f t="shared" si="31"/>
        <v>278033.94347402215</v>
      </c>
      <c r="U157">
        <f t="shared" si="32"/>
        <v>277321.37464179116</v>
      </c>
      <c r="V157">
        <f t="shared" si="39"/>
        <v>1</v>
      </c>
      <c r="W157">
        <f t="shared" si="40"/>
        <v>0</v>
      </c>
      <c r="X157">
        <f t="shared" si="41"/>
        <v>0</v>
      </c>
      <c r="Y157">
        <f t="shared" si="42"/>
        <v>0</v>
      </c>
      <c r="Z157">
        <f t="shared" si="43"/>
        <v>0</v>
      </c>
      <c r="AA157">
        <f t="shared" si="44"/>
        <v>0</v>
      </c>
      <c r="AC157">
        <f t="shared" si="33"/>
        <v>279701.4151501059</v>
      </c>
      <c r="AD157">
        <f t="shared" si="34"/>
        <v>279700.99233250006</v>
      </c>
      <c r="AE157">
        <f t="shared" si="35"/>
        <v>279128.50697695697</v>
      </c>
      <c r="AF157">
        <f t="shared" si="36"/>
        <v>279109.51997130085</v>
      </c>
      <c r="AG157">
        <f t="shared" si="37"/>
        <v>278033.94347402215</v>
      </c>
      <c r="AH157">
        <f t="shared" si="38"/>
        <v>277321.37464179116</v>
      </c>
      <c r="AI157">
        <f t="shared" si="45"/>
        <v>279701.4151501059</v>
      </c>
    </row>
    <row r="158" spans="2:35" x14ac:dyDescent="0.3">
      <c r="B158">
        <v>115</v>
      </c>
      <c r="C158">
        <v>75153.653099999996</v>
      </c>
      <c r="D158">
        <v>74063.425000000003</v>
      </c>
      <c r="E158">
        <v>74137.884900000005</v>
      </c>
      <c r="F158">
        <v>73838.709199999998</v>
      </c>
      <c r="G158">
        <v>74066.271399999998</v>
      </c>
      <c r="H158">
        <v>74183.422500000001</v>
      </c>
      <c r="I158">
        <v>9.9890763710781432</v>
      </c>
      <c r="J158">
        <v>9.9788385223885125</v>
      </c>
      <c r="K158">
        <v>9.9663187819331291</v>
      </c>
      <c r="L158">
        <v>9.9644022776859043</v>
      </c>
      <c r="M158">
        <v>9.9557087760833483</v>
      </c>
      <c r="N158">
        <v>9.9450109634274764</v>
      </c>
      <c r="P158">
        <f t="shared" si="27"/>
        <v>224518.63803234429</v>
      </c>
      <c r="Q158">
        <f t="shared" si="28"/>
        <v>225301.73067165539</v>
      </c>
      <c r="R158">
        <f t="shared" si="29"/>
        <v>224851.67855799384</v>
      </c>
      <c r="S158">
        <f t="shared" si="30"/>
        <v>225093.35913057713</v>
      </c>
      <c r="T158">
        <f t="shared" si="31"/>
        <v>224604.99188250044</v>
      </c>
      <c r="U158">
        <f t="shared" si="32"/>
        <v>224166.90640282433</v>
      </c>
      <c r="V158">
        <f t="shared" si="39"/>
        <v>0</v>
      </c>
      <c r="W158">
        <f t="shared" si="40"/>
        <v>1</v>
      </c>
      <c r="X158">
        <f t="shared" si="41"/>
        <v>0</v>
      </c>
      <c r="Y158">
        <f t="shared" si="42"/>
        <v>0</v>
      </c>
      <c r="Z158">
        <f t="shared" si="43"/>
        <v>0</v>
      </c>
      <c r="AA158">
        <f t="shared" si="44"/>
        <v>0</v>
      </c>
      <c r="AC158">
        <f t="shared" si="33"/>
        <v>224518.63803234429</v>
      </c>
      <c r="AD158">
        <f t="shared" si="34"/>
        <v>225301.73067165539</v>
      </c>
      <c r="AE158">
        <f t="shared" si="35"/>
        <v>224851.67855799384</v>
      </c>
      <c r="AF158">
        <f t="shared" si="36"/>
        <v>225093.35913057713</v>
      </c>
      <c r="AG158">
        <f t="shared" si="37"/>
        <v>224604.99188250044</v>
      </c>
      <c r="AH158">
        <f t="shared" si="38"/>
        <v>224166.90640282433</v>
      </c>
      <c r="AI158">
        <f t="shared" si="45"/>
        <v>225301.73067165539</v>
      </c>
    </row>
    <row r="159" spans="2:35" x14ac:dyDescent="0.3">
      <c r="B159">
        <v>116</v>
      </c>
      <c r="C159">
        <v>80119.927100000001</v>
      </c>
      <c r="D159">
        <v>78523.443599999999</v>
      </c>
      <c r="E159">
        <v>78082.804600000003</v>
      </c>
      <c r="F159">
        <v>77791.317800000004</v>
      </c>
      <c r="G159">
        <v>77498.2837</v>
      </c>
      <c r="H159">
        <v>77219.094500000007</v>
      </c>
      <c r="I159">
        <v>9.9031891343583833</v>
      </c>
      <c r="J159">
        <v>9.8759872987058941</v>
      </c>
      <c r="K159">
        <v>9.8489266924687566</v>
      </c>
      <c r="L159">
        <v>9.8422952535349584</v>
      </c>
      <c r="M159">
        <v>9.8231132589722012</v>
      </c>
      <c r="N159">
        <v>9.7924664339871441</v>
      </c>
      <c r="P159">
        <f t="shared" si="27"/>
        <v>216975.74693075151</v>
      </c>
      <c r="Q159">
        <f t="shared" si="28"/>
        <v>217756.17536117684</v>
      </c>
      <c r="R159">
        <f t="shared" si="29"/>
        <v>217384.99617406269</v>
      </c>
      <c r="S159">
        <f t="shared" si="30"/>
        <v>217477.53980604874</v>
      </c>
      <c r="T159">
        <f t="shared" si="31"/>
        <v>217195.11406916604</v>
      </c>
      <c r="U159">
        <f t="shared" si="32"/>
        <v>216554.8985196143</v>
      </c>
      <c r="V159">
        <f t="shared" si="39"/>
        <v>0</v>
      </c>
      <c r="W159">
        <f t="shared" si="40"/>
        <v>1</v>
      </c>
      <c r="X159">
        <f t="shared" si="41"/>
        <v>0</v>
      </c>
      <c r="Y159">
        <f t="shared" si="42"/>
        <v>0</v>
      </c>
      <c r="Z159">
        <f t="shared" si="43"/>
        <v>0</v>
      </c>
      <c r="AA159">
        <f t="shared" si="44"/>
        <v>0</v>
      </c>
      <c r="AC159">
        <f t="shared" si="33"/>
        <v>216975.74693075151</v>
      </c>
      <c r="AD159">
        <f t="shared" si="34"/>
        <v>217756.17536117684</v>
      </c>
      <c r="AE159">
        <f t="shared" si="35"/>
        <v>217384.99617406269</v>
      </c>
      <c r="AF159">
        <f t="shared" si="36"/>
        <v>217477.53980604874</v>
      </c>
      <c r="AG159">
        <f t="shared" si="37"/>
        <v>217195.11406916604</v>
      </c>
      <c r="AH159">
        <f t="shared" si="38"/>
        <v>216554.8985196143</v>
      </c>
      <c r="AI159">
        <f t="shared" si="45"/>
        <v>217756.17536117684</v>
      </c>
    </row>
    <row r="160" spans="2:35" x14ac:dyDescent="0.3">
      <c r="B160">
        <v>117</v>
      </c>
      <c r="C160">
        <v>93291.468299999993</v>
      </c>
      <c r="D160">
        <v>92435.256500000003</v>
      </c>
      <c r="E160">
        <v>92748.990399999995</v>
      </c>
      <c r="F160">
        <v>92492.109500000006</v>
      </c>
      <c r="G160">
        <v>92698.5003</v>
      </c>
      <c r="H160">
        <v>93021.3989</v>
      </c>
      <c r="I160">
        <v>10.794393150126261</v>
      </c>
      <c r="J160">
        <v>10.76819068673816</v>
      </c>
      <c r="K160">
        <v>10.746509948215861</v>
      </c>
      <c r="L160">
        <v>10.736256392454884</v>
      </c>
      <c r="M160">
        <v>10.71306542075329</v>
      </c>
      <c r="N160">
        <v>10.692325324732963</v>
      </c>
      <c r="P160">
        <f t="shared" si="27"/>
        <v>230540.32620378782</v>
      </c>
      <c r="Q160">
        <f t="shared" si="28"/>
        <v>230610.46410214482</v>
      </c>
      <c r="R160">
        <f t="shared" si="29"/>
        <v>229646.30804647581</v>
      </c>
      <c r="S160">
        <f t="shared" si="30"/>
        <v>229595.58227364649</v>
      </c>
      <c r="T160">
        <f t="shared" si="31"/>
        <v>228693.46232259867</v>
      </c>
      <c r="U160">
        <f t="shared" si="32"/>
        <v>227748.36084198891</v>
      </c>
      <c r="V160">
        <f t="shared" si="39"/>
        <v>0</v>
      </c>
      <c r="W160">
        <f t="shared" si="40"/>
        <v>1</v>
      </c>
      <c r="X160">
        <f t="shared" si="41"/>
        <v>0</v>
      </c>
      <c r="Y160">
        <f t="shared" si="42"/>
        <v>0</v>
      </c>
      <c r="Z160">
        <f t="shared" si="43"/>
        <v>0</v>
      </c>
      <c r="AA160">
        <f t="shared" si="44"/>
        <v>0</v>
      </c>
      <c r="AC160">
        <f t="shared" si="33"/>
        <v>230540.32620378782</v>
      </c>
      <c r="AD160">
        <f t="shared" si="34"/>
        <v>230610.46410214482</v>
      </c>
      <c r="AE160">
        <f t="shared" si="35"/>
        <v>229646.30804647581</v>
      </c>
      <c r="AF160">
        <f t="shared" si="36"/>
        <v>229595.58227364649</v>
      </c>
      <c r="AG160">
        <f t="shared" si="37"/>
        <v>228693.46232259867</v>
      </c>
      <c r="AH160">
        <f t="shared" si="38"/>
        <v>227748.36084198891</v>
      </c>
      <c r="AI160">
        <f t="shared" si="45"/>
        <v>230610.46410214482</v>
      </c>
    </row>
    <row r="161" spans="2:35" x14ac:dyDescent="0.3">
      <c r="B161">
        <v>118</v>
      </c>
      <c r="C161">
        <v>72075.448300000004</v>
      </c>
      <c r="D161">
        <v>71372.033500000005</v>
      </c>
      <c r="E161">
        <v>71920.422399999996</v>
      </c>
      <c r="F161">
        <v>71803.465400000001</v>
      </c>
      <c r="G161">
        <v>72030.9522</v>
      </c>
      <c r="H161">
        <v>72637.086800000005</v>
      </c>
      <c r="I161">
        <v>10.77319950272641</v>
      </c>
      <c r="J161">
        <v>10.727660389736972</v>
      </c>
      <c r="K161">
        <v>10.695501817392696</v>
      </c>
      <c r="L161">
        <v>10.683800201713769</v>
      </c>
      <c r="M161">
        <v>10.660155179139458</v>
      </c>
      <c r="N161">
        <v>10.623967684913833</v>
      </c>
      <c r="P161">
        <f t="shared" si="27"/>
        <v>251120.5367817923</v>
      </c>
      <c r="Q161">
        <f t="shared" si="28"/>
        <v>250457.77819210914</v>
      </c>
      <c r="R161">
        <f t="shared" si="29"/>
        <v>248944.63212178089</v>
      </c>
      <c r="S161">
        <f t="shared" si="30"/>
        <v>248710.54065141309</v>
      </c>
      <c r="T161">
        <f t="shared" si="31"/>
        <v>247773.70317418373</v>
      </c>
      <c r="U161">
        <f t="shared" si="32"/>
        <v>246081.94374741497</v>
      </c>
      <c r="V161">
        <f t="shared" si="39"/>
        <v>1</v>
      </c>
      <c r="W161">
        <f t="shared" si="40"/>
        <v>0</v>
      </c>
      <c r="X161">
        <f t="shared" si="41"/>
        <v>0</v>
      </c>
      <c r="Y161">
        <f t="shared" si="42"/>
        <v>0</v>
      </c>
      <c r="Z161">
        <f t="shared" si="43"/>
        <v>0</v>
      </c>
      <c r="AA161">
        <f t="shared" si="44"/>
        <v>0</v>
      </c>
      <c r="AC161">
        <f t="shared" si="33"/>
        <v>251120.5367817923</v>
      </c>
      <c r="AD161">
        <f t="shared" si="34"/>
        <v>250457.77819210914</v>
      </c>
      <c r="AE161">
        <f t="shared" si="35"/>
        <v>248944.63212178089</v>
      </c>
      <c r="AF161">
        <f t="shared" si="36"/>
        <v>248710.54065141309</v>
      </c>
      <c r="AG161">
        <f t="shared" si="37"/>
        <v>247773.70317418373</v>
      </c>
      <c r="AH161">
        <f t="shared" si="38"/>
        <v>246081.94374741497</v>
      </c>
      <c r="AI161">
        <f t="shared" si="45"/>
        <v>251120.5367817923</v>
      </c>
    </row>
    <row r="162" spans="2:35" x14ac:dyDescent="0.3">
      <c r="B162">
        <v>119</v>
      </c>
      <c r="C162">
        <v>77373.544699999999</v>
      </c>
      <c r="D162">
        <v>75654.013699999996</v>
      </c>
      <c r="E162">
        <v>75345.1345</v>
      </c>
      <c r="F162">
        <v>74874.8995</v>
      </c>
      <c r="G162">
        <v>74585.849900000001</v>
      </c>
      <c r="H162">
        <v>74207.4807</v>
      </c>
      <c r="I162">
        <v>9.4262878781733974</v>
      </c>
      <c r="J162">
        <v>9.4096467179123024</v>
      </c>
      <c r="K162">
        <v>9.4001116958139797</v>
      </c>
      <c r="L162">
        <v>9.3897302719404241</v>
      </c>
      <c r="M162">
        <v>9.3816379926050413</v>
      </c>
      <c r="N162">
        <v>9.3683196917603482</v>
      </c>
      <c r="P162">
        <f t="shared" si="27"/>
        <v>205415.09164520193</v>
      </c>
      <c r="Q162">
        <f t="shared" si="28"/>
        <v>206635.38783736905</v>
      </c>
      <c r="R162">
        <f t="shared" si="29"/>
        <v>206658.2163744194</v>
      </c>
      <c r="S162">
        <f t="shared" si="30"/>
        <v>206817.00865821273</v>
      </c>
      <c r="T162">
        <f t="shared" si="31"/>
        <v>206863.28987815123</v>
      </c>
      <c r="U162">
        <f t="shared" si="32"/>
        <v>206842.11005281046</v>
      </c>
      <c r="V162">
        <f t="shared" si="39"/>
        <v>0</v>
      </c>
      <c r="W162">
        <f t="shared" si="40"/>
        <v>0</v>
      </c>
      <c r="X162">
        <f t="shared" si="41"/>
        <v>0</v>
      </c>
      <c r="Y162">
        <f t="shared" si="42"/>
        <v>0</v>
      </c>
      <c r="Z162">
        <f t="shared" si="43"/>
        <v>1</v>
      </c>
      <c r="AA162">
        <f t="shared" si="44"/>
        <v>0</v>
      </c>
      <c r="AC162">
        <f t="shared" si="33"/>
        <v>205415.09164520193</v>
      </c>
      <c r="AD162">
        <f t="shared" si="34"/>
        <v>206635.38783736905</v>
      </c>
      <c r="AE162">
        <f t="shared" si="35"/>
        <v>206658.2163744194</v>
      </c>
      <c r="AF162">
        <f t="shared" si="36"/>
        <v>206817.00865821273</v>
      </c>
      <c r="AG162">
        <f t="shared" si="37"/>
        <v>206863.28987815123</v>
      </c>
      <c r="AH162">
        <f t="shared" si="38"/>
        <v>206842.11005281046</v>
      </c>
      <c r="AI162">
        <f t="shared" si="45"/>
        <v>206863.28987815123</v>
      </c>
    </row>
    <row r="163" spans="2:35" x14ac:dyDescent="0.3">
      <c r="B163">
        <v>120</v>
      </c>
      <c r="C163">
        <v>76274.579199999993</v>
      </c>
      <c r="D163">
        <v>75508.786999999997</v>
      </c>
      <c r="E163">
        <v>76102.076799999995</v>
      </c>
      <c r="F163">
        <v>76029.570500000002</v>
      </c>
      <c r="G163">
        <v>76418.258799999996</v>
      </c>
      <c r="H163">
        <v>76821.340599999996</v>
      </c>
      <c r="I163">
        <v>8.9765000138416973</v>
      </c>
      <c r="J163">
        <v>8.9545361450979666</v>
      </c>
      <c r="K163">
        <v>8.9392974401717957</v>
      </c>
      <c r="L163">
        <v>8.9310566517177499</v>
      </c>
      <c r="M163">
        <v>8.9167884446042098</v>
      </c>
      <c r="N163">
        <v>8.900327824776733</v>
      </c>
      <c r="P163">
        <f t="shared" si="27"/>
        <v>193020.42121525091</v>
      </c>
      <c r="Q163">
        <f t="shared" si="28"/>
        <v>193127.29735293897</v>
      </c>
      <c r="R163">
        <f t="shared" si="29"/>
        <v>192076.84640515392</v>
      </c>
      <c r="S163">
        <f t="shared" si="30"/>
        <v>191902.12905153251</v>
      </c>
      <c r="T163">
        <f t="shared" si="31"/>
        <v>191085.3945381263</v>
      </c>
      <c r="U163">
        <f t="shared" si="32"/>
        <v>190188.49414330197</v>
      </c>
      <c r="V163">
        <f t="shared" si="39"/>
        <v>0</v>
      </c>
      <c r="W163">
        <f t="shared" si="40"/>
        <v>1</v>
      </c>
      <c r="X163">
        <f t="shared" si="41"/>
        <v>0</v>
      </c>
      <c r="Y163">
        <f t="shared" si="42"/>
        <v>0</v>
      </c>
      <c r="Z163">
        <f t="shared" si="43"/>
        <v>0</v>
      </c>
      <c r="AA163">
        <f t="shared" si="44"/>
        <v>0</v>
      </c>
      <c r="AC163">
        <f t="shared" si="33"/>
        <v>193020.42121525091</v>
      </c>
      <c r="AD163">
        <f t="shared" si="34"/>
        <v>193127.29735293897</v>
      </c>
      <c r="AE163">
        <f t="shared" si="35"/>
        <v>192076.84640515392</v>
      </c>
      <c r="AF163">
        <f t="shared" si="36"/>
        <v>191902.12905153251</v>
      </c>
      <c r="AG163">
        <f t="shared" si="37"/>
        <v>191085.3945381263</v>
      </c>
      <c r="AH163">
        <f t="shared" si="38"/>
        <v>190188.49414330197</v>
      </c>
      <c r="AI163">
        <f t="shared" si="45"/>
        <v>193127.29735293897</v>
      </c>
    </row>
    <row r="164" spans="2:35" x14ac:dyDescent="0.3">
      <c r="B164">
        <v>121</v>
      </c>
      <c r="C164">
        <v>81875.2454</v>
      </c>
      <c r="D164">
        <v>80978.755399999995</v>
      </c>
      <c r="E164">
        <v>81289.813500000004</v>
      </c>
      <c r="F164">
        <v>81177.840400000001</v>
      </c>
      <c r="G164">
        <v>81499.795100000003</v>
      </c>
      <c r="H164">
        <v>81816.885200000004</v>
      </c>
      <c r="I164">
        <v>10.177695213166698</v>
      </c>
      <c r="J164">
        <v>10.127407803342653</v>
      </c>
      <c r="K164">
        <v>10.095482969352025</v>
      </c>
      <c r="L164">
        <v>10.076476045221124</v>
      </c>
      <c r="M164">
        <v>10.030771118627309</v>
      </c>
      <c r="N164">
        <v>9.9977397743213245</v>
      </c>
      <c r="P164">
        <f t="shared" si="27"/>
        <v>223455.61099500093</v>
      </c>
      <c r="Q164">
        <f t="shared" si="28"/>
        <v>222843.47870027958</v>
      </c>
      <c r="R164">
        <f t="shared" si="29"/>
        <v>221574.67558056075</v>
      </c>
      <c r="S164">
        <f t="shared" si="30"/>
        <v>221116.44095663371</v>
      </c>
      <c r="T164">
        <f t="shared" si="31"/>
        <v>219423.33845881926</v>
      </c>
      <c r="U164">
        <f t="shared" si="32"/>
        <v>218115.30802963971</v>
      </c>
      <c r="V164">
        <f t="shared" si="39"/>
        <v>1</v>
      </c>
      <c r="W164">
        <f t="shared" si="40"/>
        <v>0</v>
      </c>
      <c r="X164">
        <f t="shared" si="41"/>
        <v>0</v>
      </c>
      <c r="Y164">
        <f t="shared" si="42"/>
        <v>0</v>
      </c>
      <c r="Z164">
        <f t="shared" si="43"/>
        <v>0</v>
      </c>
      <c r="AA164">
        <f t="shared" si="44"/>
        <v>0</v>
      </c>
      <c r="AC164">
        <f t="shared" si="33"/>
        <v>223455.61099500093</v>
      </c>
      <c r="AD164">
        <f t="shared" si="34"/>
        <v>222843.47870027958</v>
      </c>
      <c r="AE164">
        <f t="shared" si="35"/>
        <v>221574.67558056075</v>
      </c>
      <c r="AF164">
        <f t="shared" si="36"/>
        <v>221116.44095663371</v>
      </c>
      <c r="AG164">
        <f t="shared" si="37"/>
        <v>219423.33845881926</v>
      </c>
      <c r="AH164">
        <f t="shared" si="38"/>
        <v>218115.30802963971</v>
      </c>
      <c r="AI164">
        <f t="shared" si="45"/>
        <v>223455.61099500093</v>
      </c>
    </row>
    <row r="165" spans="2:35" x14ac:dyDescent="0.3">
      <c r="B165">
        <v>122</v>
      </c>
      <c r="C165">
        <v>80667.176200000002</v>
      </c>
      <c r="D165">
        <v>79484.065499999997</v>
      </c>
      <c r="E165">
        <v>79499.473499999993</v>
      </c>
      <c r="F165">
        <v>79401.368300000002</v>
      </c>
      <c r="G165">
        <v>79539.476899999994</v>
      </c>
      <c r="H165">
        <v>79496.085800000001</v>
      </c>
      <c r="I165">
        <v>9.6045522848556786</v>
      </c>
      <c r="J165">
        <v>9.5522333375603861</v>
      </c>
      <c r="K165">
        <v>9.5109691047632179</v>
      </c>
      <c r="L165">
        <v>9.4918348309093243</v>
      </c>
      <c r="M165">
        <v>9.4625711331955724</v>
      </c>
      <c r="N165">
        <v>9.4216429861761757</v>
      </c>
      <c r="P165">
        <f t="shared" si="27"/>
        <v>207469.39234567038</v>
      </c>
      <c r="Q165">
        <f t="shared" si="28"/>
        <v>207082.93462681156</v>
      </c>
      <c r="R165">
        <f t="shared" si="29"/>
        <v>205829.59964289653</v>
      </c>
      <c r="S165">
        <f t="shared" si="30"/>
        <v>205353.67662727975</v>
      </c>
      <c r="T165">
        <f t="shared" si="31"/>
        <v>204337.65709586715</v>
      </c>
      <c r="U165">
        <f t="shared" si="32"/>
        <v>203153.2037852853</v>
      </c>
      <c r="V165">
        <f t="shared" si="39"/>
        <v>1</v>
      </c>
      <c r="W165">
        <f t="shared" si="40"/>
        <v>0</v>
      </c>
      <c r="X165">
        <f t="shared" si="41"/>
        <v>0</v>
      </c>
      <c r="Y165">
        <f t="shared" si="42"/>
        <v>0</v>
      </c>
      <c r="Z165">
        <f t="shared" si="43"/>
        <v>0</v>
      </c>
      <c r="AA165">
        <f t="shared" si="44"/>
        <v>0</v>
      </c>
      <c r="AC165">
        <f t="shared" si="33"/>
        <v>207469.39234567038</v>
      </c>
      <c r="AD165">
        <f t="shared" si="34"/>
        <v>207082.93462681156</v>
      </c>
      <c r="AE165">
        <f t="shared" si="35"/>
        <v>205829.59964289653</v>
      </c>
      <c r="AF165">
        <f t="shared" si="36"/>
        <v>205353.67662727975</v>
      </c>
      <c r="AG165">
        <f t="shared" si="37"/>
        <v>204337.65709586715</v>
      </c>
      <c r="AH165">
        <f t="shared" si="38"/>
        <v>203153.2037852853</v>
      </c>
      <c r="AI165">
        <f t="shared" si="45"/>
        <v>207469.39234567038</v>
      </c>
    </row>
    <row r="166" spans="2:35" x14ac:dyDescent="0.3">
      <c r="B166">
        <v>123</v>
      </c>
      <c r="C166">
        <v>69015.881599999993</v>
      </c>
      <c r="D166">
        <v>68332.749100000001</v>
      </c>
      <c r="E166">
        <v>68623.827000000005</v>
      </c>
      <c r="F166">
        <v>68540.569399999993</v>
      </c>
      <c r="G166">
        <v>68970.118300000002</v>
      </c>
      <c r="H166">
        <v>69529.673999999999</v>
      </c>
      <c r="I166">
        <v>9.8068828832412791</v>
      </c>
      <c r="J166">
        <v>9.7601603301445881</v>
      </c>
      <c r="K166">
        <v>9.7339052493851224</v>
      </c>
      <c r="L166">
        <v>9.7199454673580927</v>
      </c>
      <c r="M166">
        <v>9.6769390509891728</v>
      </c>
      <c r="N166">
        <v>9.6483282338750982</v>
      </c>
      <c r="P166">
        <f t="shared" si="27"/>
        <v>225190.6048972384</v>
      </c>
      <c r="Q166">
        <f t="shared" si="28"/>
        <v>224472.06080433761</v>
      </c>
      <c r="R166">
        <f t="shared" si="29"/>
        <v>223393.33048155368</v>
      </c>
      <c r="S166">
        <f t="shared" si="30"/>
        <v>223057.79462074279</v>
      </c>
      <c r="T166">
        <f t="shared" si="31"/>
        <v>221338.05322967519</v>
      </c>
      <c r="U166">
        <f t="shared" si="32"/>
        <v>219920.17301625293</v>
      </c>
      <c r="V166">
        <f t="shared" si="39"/>
        <v>1</v>
      </c>
      <c r="W166">
        <f t="shared" si="40"/>
        <v>0</v>
      </c>
      <c r="X166">
        <f t="shared" si="41"/>
        <v>0</v>
      </c>
      <c r="Y166">
        <f t="shared" si="42"/>
        <v>0</v>
      </c>
      <c r="Z166">
        <f t="shared" si="43"/>
        <v>0</v>
      </c>
      <c r="AA166">
        <f t="shared" si="44"/>
        <v>0</v>
      </c>
      <c r="AC166">
        <f t="shared" si="33"/>
        <v>225190.6048972384</v>
      </c>
      <c r="AD166">
        <f t="shared" si="34"/>
        <v>224472.06080433761</v>
      </c>
      <c r="AE166">
        <f t="shared" si="35"/>
        <v>223393.33048155368</v>
      </c>
      <c r="AF166">
        <f t="shared" si="36"/>
        <v>223057.79462074279</v>
      </c>
      <c r="AG166">
        <f t="shared" si="37"/>
        <v>221338.05322967519</v>
      </c>
      <c r="AH166">
        <f t="shared" si="38"/>
        <v>219920.17301625293</v>
      </c>
      <c r="AI166">
        <f t="shared" si="45"/>
        <v>225190.6048972384</v>
      </c>
    </row>
    <row r="167" spans="2:35" x14ac:dyDescent="0.3">
      <c r="B167">
        <v>124</v>
      </c>
      <c r="C167">
        <v>80413.754400000005</v>
      </c>
      <c r="D167">
        <v>80547.887199999997</v>
      </c>
      <c r="E167">
        <v>81477.4375</v>
      </c>
      <c r="F167">
        <v>82180.118499999997</v>
      </c>
      <c r="G167">
        <v>83028.368799999997</v>
      </c>
      <c r="H167">
        <v>84036.497399999993</v>
      </c>
      <c r="I167">
        <v>9.7093246457115256</v>
      </c>
      <c r="J167">
        <v>9.6785145156808738</v>
      </c>
      <c r="K167">
        <v>9.65835925170928</v>
      </c>
      <c r="L167">
        <v>9.6385499354762292</v>
      </c>
      <c r="M167">
        <v>9.6184517550817912</v>
      </c>
      <c r="N167">
        <v>9.5976059827254563</v>
      </c>
      <c r="P167">
        <f t="shared" si="27"/>
        <v>210865.98497134578</v>
      </c>
      <c r="Q167">
        <f t="shared" si="28"/>
        <v>209807.54827042622</v>
      </c>
      <c r="R167">
        <f t="shared" si="29"/>
        <v>208273.34005127841</v>
      </c>
      <c r="S167">
        <f t="shared" si="30"/>
        <v>206976.37956428691</v>
      </c>
      <c r="T167">
        <f t="shared" si="31"/>
        <v>205525.18385245372</v>
      </c>
      <c r="U167">
        <f t="shared" si="32"/>
        <v>203891.68208176369</v>
      </c>
      <c r="V167">
        <f t="shared" si="39"/>
        <v>1</v>
      </c>
      <c r="W167">
        <f t="shared" si="40"/>
        <v>0</v>
      </c>
      <c r="X167">
        <f t="shared" si="41"/>
        <v>0</v>
      </c>
      <c r="Y167">
        <f t="shared" si="42"/>
        <v>0</v>
      </c>
      <c r="Z167">
        <f t="shared" si="43"/>
        <v>0</v>
      </c>
      <c r="AA167">
        <f t="shared" si="44"/>
        <v>0</v>
      </c>
      <c r="AC167">
        <f t="shared" si="33"/>
        <v>210865.98497134578</v>
      </c>
      <c r="AD167">
        <f t="shared" si="34"/>
        <v>209807.54827042622</v>
      </c>
      <c r="AE167">
        <f t="shared" si="35"/>
        <v>208273.34005127841</v>
      </c>
      <c r="AF167">
        <f t="shared" si="36"/>
        <v>206976.37956428691</v>
      </c>
      <c r="AG167">
        <f t="shared" si="37"/>
        <v>205525.18385245372</v>
      </c>
      <c r="AH167">
        <f t="shared" si="38"/>
        <v>203891.68208176369</v>
      </c>
      <c r="AI167">
        <f t="shared" si="45"/>
        <v>210865.98497134578</v>
      </c>
    </row>
    <row r="168" spans="2:35" x14ac:dyDescent="0.3">
      <c r="B168">
        <v>125</v>
      </c>
      <c r="C168">
        <v>73690.810299999997</v>
      </c>
      <c r="D168">
        <v>72286.600399999996</v>
      </c>
      <c r="E168">
        <v>72070.952900000004</v>
      </c>
      <c r="F168">
        <v>71832.243900000001</v>
      </c>
      <c r="G168">
        <v>71684.943499999994</v>
      </c>
      <c r="H168">
        <v>71573.02</v>
      </c>
      <c r="I168">
        <v>8.7204106628139169</v>
      </c>
      <c r="J168">
        <v>8.6999863598088485</v>
      </c>
      <c r="K168">
        <v>8.6797634896293552</v>
      </c>
      <c r="L168">
        <v>8.6707497771432482</v>
      </c>
      <c r="M168">
        <v>8.6583317926282231</v>
      </c>
      <c r="N168">
        <v>8.6346050588931504</v>
      </c>
      <c r="P168">
        <f t="shared" si="27"/>
        <v>187921.50958441751</v>
      </c>
      <c r="Q168">
        <f t="shared" si="28"/>
        <v>188712.99039426545</v>
      </c>
      <c r="R168">
        <f t="shared" si="29"/>
        <v>188321.95178888066</v>
      </c>
      <c r="S168">
        <f t="shared" si="30"/>
        <v>188290.24941429743</v>
      </c>
      <c r="T168">
        <f t="shared" si="31"/>
        <v>188065.01027884669</v>
      </c>
      <c r="U168">
        <f t="shared" si="32"/>
        <v>187465.13176679448</v>
      </c>
      <c r="V168">
        <f t="shared" si="39"/>
        <v>0</v>
      </c>
      <c r="W168">
        <f t="shared" si="40"/>
        <v>1</v>
      </c>
      <c r="X168">
        <f t="shared" si="41"/>
        <v>0</v>
      </c>
      <c r="Y168">
        <f t="shared" si="42"/>
        <v>0</v>
      </c>
      <c r="Z168">
        <f t="shared" si="43"/>
        <v>0</v>
      </c>
      <c r="AA168">
        <f t="shared" si="44"/>
        <v>0</v>
      </c>
      <c r="AC168">
        <f t="shared" si="33"/>
        <v>187921.50958441751</v>
      </c>
      <c r="AD168">
        <f t="shared" si="34"/>
        <v>188712.99039426545</v>
      </c>
      <c r="AE168">
        <f t="shared" si="35"/>
        <v>188321.95178888066</v>
      </c>
      <c r="AF168">
        <f t="shared" si="36"/>
        <v>188290.24941429743</v>
      </c>
      <c r="AG168">
        <f t="shared" si="37"/>
        <v>188065.01027884669</v>
      </c>
      <c r="AH168">
        <f t="shared" si="38"/>
        <v>187465.13176679448</v>
      </c>
      <c r="AI168">
        <f t="shared" si="45"/>
        <v>188712.99039426545</v>
      </c>
    </row>
    <row r="169" spans="2:35" x14ac:dyDescent="0.3">
      <c r="B169">
        <v>126</v>
      </c>
      <c r="C169">
        <v>77102.285600000003</v>
      </c>
      <c r="D169">
        <v>77031.144</v>
      </c>
      <c r="E169">
        <v>78047.299400000004</v>
      </c>
      <c r="F169">
        <v>77992.192299999995</v>
      </c>
      <c r="G169">
        <v>78940.661800000002</v>
      </c>
      <c r="H169">
        <v>80026.431500000006</v>
      </c>
      <c r="I169">
        <v>10.616429704504187</v>
      </c>
      <c r="J169">
        <v>10.587350362837656</v>
      </c>
      <c r="K169">
        <v>10.567052434694515</v>
      </c>
      <c r="L169">
        <v>10.559942881413077</v>
      </c>
      <c r="M169">
        <v>10.541556587720569</v>
      </c>
      <c r="N169">
        <v>10.515872992344375</v>
      </c>
      <c r="P169">
        <f t="shared" si="27"/>
        <v>241390.60553512559</v>
      </c>
      <c r="Q169">
        <f t="shared" si="28"/>
        <v>240589.36688512968</v>
      </c>
      <c r="R169">
        <f t="shared" si="29"/>
        <v>238964.27364083542</v>
      </c>
      <c r="S169">
        <f t="shared" si="30"/>
        <v>238806.09414239234</v>
      </c>
      <c r="T169">
        <f t="shared" si="31"/>
        <v>237306.03583161708</v>
      </c>
      <c r="U169">
        <f t="shared" si="32"/>
        <v>235449.75827033125</v>
      </c>
      <c r="V169">
        <f t="shared" si="39"/>
        <v>1</v>
      </c>
      <c r="W169">
        <f t="shared" si="40"/>
        <v>0</v>
      </c>
      <c r="X169">
        <f t="shared" si="41"/>
        <v>0</v>
      </c>
      <c r="Y169">
        <f t="shared" si="42"/>
        <v>0</v>
      </c>
      <c r="Z169">
        <f t="shared" si="43"/>
        <v>0</v>
      </c>
      <c r="AA169">
        <f t="shared" si="44"/>
        <v>0</v>
      </c>
      <c r="AC169">
        <f t="shared" si="33"/>
        <v>241390.60553512559</v>
      </c>
      <c r="AD169">
        <f t="shared" si="34"/>
        <v>240589.36688512968</v>
      </c>
      <c r="AE169">
        <f t="shared" si="35"/>
        <v>238964.27364083542</v>
      </c>
      <c r="AF169">
        <f t="shared" si="36"/>
        <v>238806.09414239234</v>
      </c>
      <c r="AG169">
        <f t="shared" si="37"/>
        <v>237306.03583161708</v>
      </c>
      <c r="AH169">
        <f t="shared" si="38"/>
        <v>235449.75827033125</v>
      </c>
      <c r="AI169">
        <f t="shared" si="45"/>
        <v>241390.60553512559</v>
      </c>
    </row>
    <row r="170" spans="2:35" x14ac:dyDescent="0.3">
      <c r="B170">
        <v>127</v>
      </c>
      <c r="C170">
        <v>73330.334199999998</v>
      </c>
      <c r="D170">
        <v>72700.526100000003</v>
      </c>
      <c r="E170">
        <v>73042.531799999997</v>
      </c>
      <c r="F170">
        <v>72668.923699999999</v>
      </c>
      <c r="G170">
        <v>73430.7408</v>
      </c>
      <c r="H170">
        <v>73790.262100000007</v>
      </c>
      <c r="I170">
        <v>9.6576948963993861</v>
      </c>
      <c r="J170">
        <v>9.6259966474572867</v>
      </c>
      <c r="K170">
        <v>9.6054717183425922</v>
      </c>
      <c r="L170">
        <v>9.5938604089675525</v>
      </c>
      <c r="M170">
        <v>9.5682428774083235</v>
      </c>
      <c r="N170">
        <v>9.5393556615529498</v>
      </c>
      <c r="P170">
        <f t="shared" si="27"/>
        <v>216400.51269198162</v>
      </c>
      <c r="Q170">
        <f t="shared" si="28"/>
        <v>216079.37332371861</v>
      </c>
      <c r="R170">
        <f t="shared" si="29"/>
        <v>215121.61975027778</v>
      </c>
      <c r="S170">
        <f t="shared" si="30"/>
        <v>215146.8885690266</v>
      </c>
      <c r="T170">
        <f t="shared" si="31"/>
        <v>213616.54552224968</v>
      </c>
      <c r="U170">
        <f t="shared" si="32"/>
        <v>212390.40774658852</v>
      </c>
      <c r="V170">
        <f t="shared" si="39"/>
        <v>1</v>
      </c>
      <c r="W170">
        <f t="shared" si="40"/>
        <v>0</v>
      </c>
      <c r="X170">
        <f t="shared" si="41"/>
        <v>0</v>
      </c>
      <c r="Y170">
        <f t="shared" si="42"/>
        <v>0</v>
      </c>
      <c r="Z170">
        <f t="shared" si="43"/>
        <v>0</v>
      </c>
      <c r="AA170">
        <f t="shared" si="44"/>
        <v>0</v>
      </c>
      <c r="AC170">
        <f t="shared" si="33"/>
        <v>216400.51269198162</v>
      </c>
      <c r="AD170">
        <f t="shared" si="34"/>
        <v>216079.37332371861</v>
      </c>
      <c r="AE170">
        <f t="shared" si="35"/>
        <v>215121.61975027778</v>
      </c>
      <c r="AF170">
        <f t="shared" si="36"/>
        <v>215146.8885690266</v>
      </c>
      <c r="AG170">
        <f t="shared" si="37"/>
        <v>213616.54552224968</v>
      </c>
      <c r="AH170">
        <f t="shared" si="38"/>
        <v>212390.40774658852</v>
      </c>
      <c r="AI170">
        <f t="shared" si="45"/>
        <v>216400.51269198162</v>
      </c>
    </row>
    <row r="171" spans="2:35" x14ac:dyDescent="0.3">
      <c r="B171">
        <v>128</v>
      </c>
      <c r="C171">
        <v>76723.300700000007</v>
      </c>
      <c r="D171">
        <v>76213.380999999994</v>
      </c>
      <c r="E171">
        <v>76881.085699999996</v>
      </c>
      <c r="F171">
        <v>76960.633600000001</v>
      </c>
      <c r="G171">
        <v>77308.303</v>
      </c>
      <c r="H171">
        <v>78008.286099999998</v>
      </c>
      <c r="I171">
        <v>9.0313481588890721</v>
      </c>
      <c r="J171">
        <v>9.0066415218777589</v>
      </c>
      <c r="K171">
        <v>8.9846008731331803</v>
      </c>
      <c r="L171">
        <v>8.9795667148902147</v>
      </c>
      <c r="M171">
        <v>8.9569685083255202</v>
      </c>
      <c r="N171">
        <v>8.9364105873189406</v>
      </c>
      <c r="P171">
        <f t="shared" si="27"/>
        <v>194217.14406667213</v>
      </c>
      <c r="Q171">
        <f t="shared" si="28"/>
        <v>193985.86465633276</v>
      </c>
      <c r="R171">
        <f t="shared" si="29"/>
        <v>192656.94049399544</v>
      </c>
      <c r="S171">
        <f t="shared" si="30"/>
        <v>192426.36784670642</v>
      </c>
      <c r="T171">
        <f t="shared" si="31"/>
        <v>191400.75224976562</v>
      </c>
      <c r="U171">
        <f t="shared" si="32"/>
        <v>190084.03151956821</v>
      </c>
      <c r="V171">
        <f t="shared" si="39"/>
        <v>1</v>
      </c>
      <c r="W171">
        <f t="shared" si="40"/>
        <v>0</v>
      </c>
      <c r="X171">
        <f t="shared" si="41"/>
        <v>0</v>
      </c>
      <c r="Y171">
        <f t="shared" si="42"/>
        <v>0</v>
      </c>
      <c r="Z171">
        <f t="shared" si="43"/>
        <v>0</v>
      </c>
      <c r="AA171">
        <f t="shared" si="44"/>
        <v>0</v>
      </c>
      <c r="AC171">
        <f t="shared" si="33"/>
        <v>194217.14406667213</v>
      </c>
      <c r="AD171">
        <f t="shared" si="34"/>
        <v>193985.86465633276</v>
      </c>
      <c r="AE171">
        <f t="shared" si="35"/>
        <v>192656.94049399544</v>
      </c>
      <c r="AF171">
        <f t="shared" si="36"/>
        <v>192426.36784670642</v>
      </c>
      <c r="AG171">
        <f t="shared" si="37"/>
        <v>191400.75224976562</v>
      </c>
      <c r="AH171">
        <f t="shared" si="38"/>
        <v>190084.03151956821</v>
      </c>
      <c r="AI171">
        <f t="shared" si="45"/>
        <v>194217.14406667213</v>
      </c>
    </row>
    <row r="172" spans="2:35" x14ac:dyDescent="0.3">
      <c r="B172">
        <v>129</v>
      </c>
      <c r="C172">
        <v>82454.872499999998</v>
      </c>
      <c r="D172">
        <v>81466.642399999997</v>
      </c>
      <c r="E172">
        <v>81666.526800000007</v>
      </c>
      <c r="F172">
        <v>81507.4617</v>
      </c>
      <c r="G172">
        <v>81775.271500000003</v>
      </c>
      <c r="H172">
        <v>82027.693599999999</v>
      </c>
      <c r="I172">
        <v>9.2172184648327296</v>
      </c>
      <c r="J172">
        <v>9.1681574805645578</v>
      </c>
      <c r="K172">
        <v>9.1466692177839413</v>
      </c>
      <c r="L172">
        <v>9.1302287055322253</v>
      </c>
      <c r="M172">
        <v>9.1068487771510505</v>
      </c>
      <c r="N172">
        <v>9.0687658567695557</v>
      </c>
      <c r="P172">
        <f t="shared" ref="P172:P235" si="46">Threshold*I172-C172</f>
        <v>194061.68144498189</v>
      </c>
      <c r="Q172">
        <f t="shared" ref="Q172:Q235" si="47">Threshold*J172-D172</f>
        <v>193578.08201693674</v>
      </c>
      <c r="R172">
        <f t="shared" ref="R172:R235" si="48">Threshold*K172-E172</f>
        <v>192733.54973351827</v>
      </c>
      <c r="S172">
        <f t="shared" ref="S172:S235" si="49">Threshold*L172-F172</f>
        <v>192399.3994659668</v>
      </c>
      <c r="T172">
        <f t="shared" ref="T172:T235" si="50">Threshold*M172-G172</f>
        <v>191430.19181453148</v>
      </c>
      <c r="U172">
        <f t="shared" ref="U172:U235" si="51">Threshold*N172-H172</f>
        <v>190035.28210308665</v>
      </c>
      <c r="V172">
        <f t="shared" si="39"/>
        <v>1</v>
      </c>
      <c r="W172">
        <f t="shared" si="40"/>
        <v>0</v>
      </c>
      <c r="X172">
        <f t="shared" si="41"/>
        <v>0</v>
      </c>
      <c r="Y172">
        <f t="shared" si="42"/>
        <v>0</v>
      </c>
      <c r="Z172">
        <f t="shared" si="43"/>
        <v>0</v>
      </c>
      <c r="AA172">
        <f t="shared" si="44"/>
        <v>0</v>
      </c>
      <c r="AC172">
        <f t="shared" ref="AC172:AC235" si="52">Threshold*I172-C172</f>
        <v>194061.68144498189</v>
      </c>
      <c r="AD172">
        <f t="shared" ref="AD172:AD235" si="53">Threshold*J172-D172</f>
        <v>193578.08201693674</v>
      </c>
      <c r="AE172">
        <f t="shared" ref="AE172:AE235" si="54">Threshold*K172-E172</f>
        <v>192733.54973351827</v>
      </c>
      <c r="AF172">
        <f t="shared" ref="AF172:AF235" si="55">Threshold*L172-F172</f>
        <v>192399.3994659668</v>
      </c>
      <c r="AG172">
        <f t="shared" ref="AG172:AG235" si="56">Threshold*M172-G172</f>
        <v>191430.19181453148</v>
      </c>
      <c r="AH172">
        <f t="shared" ref="AH172:AH235" si="57">Threshold*N172-H172</f>
        <v>190035.28210308665</v>
      </c>
      <c r="AI172">
        <f t="shared" si="45"/>
        <v>194061.68144498189</v>
      </c>
    </row>
    <row r="173" spans="2:35" x14ac:dyDescent="0.3">
      <c r="B173">
        <v>130</v>
      </c>
      <c r="C173">
        <v>73405.368700000006</v>
      </c>
      <c r="D173">
        <v>72709.305300000007</v>
      </c>
      <c r="E173">
        <v>73245.702799999999</v>
      </c>
      <c r="F173">
        <v>73222.547999999995</v>
      </c>
      <c r="G173">
        <v>73489.395300000004</v>
      </c>
      <c r="H173">
        <v>74117.085600000006</v>
      </c>
      <c r="I173">
        <v>11.443288501720588</v>
      </c>
      <c r="J173">
        <v>11.413146691665636</v>
      </c>
      <c r="K173">
        <v>11.385302860001808</v>
      </c>
      <c r="L173">
        <v>11.372430649843704</v>
      </c>
      <c r="M173">
        <v>11.351216445875956</v>
      </c>
      <c r="N173">
        <v>11.3252997321698</v>
      </c>
      <c r="P173">
        <f t="shared" si="46"/>
        <v>269893.28635161766</v>
      </c>
      <c r="Q173">
        <f t="shared" si="47"/>
        <v>269685.09544996906</v>
      </c>
      <c r="R173">
        <f t="shared" si="48"/>
        <v>268313.38300005428</v>
      </c>
      <c r="S173">
        <f t="shared" si="49"/>
        <v>267950.37149531109</v>
      </c>
      <c r="T173">
        <f t="shared" si="50"/>
        <v>267047.09807627869</v>
      </c>
      <c r="U173">
        <f t="shared" si="51"/>
        <v>265641.90636509401</v>
      </c>
      <c r="V173">
        <f t="shared" ref="V173:V236" si="58">IF(MAX(P173:U173)=P173, 1, 0)</f>
        <v>1</v>
      </c>
      <c r="W173">
        <f t="shared" ref="W173:W236" si="59">IF(MAX(P173:U173)=Q173, 1, 0)</f>
        <v>0</v>
      </c>
      <c r="X173">
        <f t="shared" ref="X173:X236" si="60">IF(MAX(P173:U173)=R173, 1, 0)</f>
        <v>0</v>
      </c>
      <c r="Y173">
        <f t="shared" ref="Y173:Y236" si="61">IF(MAX(P173:U173)=S173, 1, 0)</f>
        <v>0</v>
      </c>
      <c r="Z173">
        <f t="shared" ref="Z173:Z236" si="62">IF(MAX(P173:U173)=T173, 1, 0)</f>
        <v>0</v>
      </c>
      <c r="AA173">
        <f t="shared" ref="AA173:AA236" si="63">IF(MAX(P173:U173)=U173, 1, 0)</f>
        <v>0</v>
      </c>
      <c r="AC173">
        <f t="shared" si="52"/>
        <v>269893.28635161766</v>
      </c>
      <c r="AD173">
        <f t="shared" si="53"/>
        <v>269685.09544996906</v>
      </c>
      <c r="AE173">
        <f t="shared" si="54"/>
        <v>268313.38300005428</v>
      </c>
      <c r="AF173">
        <f t="shared" si="55"/>
        <v>267950.37149531109</v>
      </c>
      <c r="AG173">
        <f t="shared" si="56"/>
        <v>267047.09807627869</v>
      </c>
      <c r="AH173">
        <f t="shared" si="57"/>
        <v>265641.90636509401</v>
      </c>
      <c r="AI173">
        <f t="shared" ref="AI173:AI236" si="64">MAX(AC173:AH173)</f>
        <v>269893.28635161766</v>
      </c>
    </row>
    <row r="174" spans="2:35" x14ac:dyDescent="0.3">
      <c r="B174">
        <v>131</v>
      </c>
      <c r="C174">
        <v>77312.687399999995</v>
      </c>
      <c r="D174">
        <v>76374.734899999996</v>
      </c>
      <c r="E174">
        <v>76778.536099999998</v>
      </c>
      <c r="F174">
        <v>76567.538700000005</v>
      </c>
      <c r="G174">
        <v>76854.998399999997</v>
      </c>
      <c r="H174">
        <v>77229.904599999994</v>
      </c>
      <c r="I174">
        <v>10.782382909621262</v>
      </c>
      <c r="J174">
        <v>10.759086218487889</v>
      </c>
      <c r="K174">
        <v>10.74216933260416</v>
      </c>
      <c r="L174">
        <v>10.736711113254206</v>
      </c>
      <c r="M174">
        <v>10.717005161438387</v>
      </c>
      <c r="N174">
        <v>10.70121752054585</v>
      </c>
      <c r="P174">
        <f t="shared" si="46"/>
        <v>246158.79988863785</v>
      </c>
      <c r="Q174">
        <f t="shared" si="47"/>
        <v>246397.85165463667</v>
      </c>
      <c r="R174">
        <f t="shared" si="48"/>
        <v>245486.54387812482</v>
      </c>
      <c r="S174">
        <f t="shared" si="49"/>
        <v>245533.79469762617</v>
      </c>
      <c r="T174">
        <f t="shared" si="50"/>
        <v>244655.15644315159</v>
      </c>
      <c r="U174">
        <f t="shared" si="51"/>
        <v>243806.62101637549</v>
      </c>
      <c r="V174">
        <f t="shared" si="58"/>
        <v>0</v>
      </c>
      <c r="W174">
        <f t="shared" si="59"/>
        <v>1</v>
      </c>
      <c r="X174">
        <f t="shared" si="60"/>
        <v>0</v>
      </c>
      <c r="Y174">
        <f t="shared" si="61"/>
        <v>0</v>
      </c>
      <c r="Z174">
        <f t="shared" si="62"/>
        <v>0</v>
      </c>
      <c r="AA174">
        <f t="shared" si="63"/>
        <v>0</v>
      </c>
      <c r="AC174">
        <f t="shared" si="52"/>
        <v>246158.79988863785</v>
      </c>
      <c r="AD174">
        <f t="shared" si="53"/>
        <v>246397.85165463667</v>
      </c>
      <c r="AE174">
        <f t="shared" si="54"/>
        <v>245486.54387812482</v>
      </c>
      <c r="AF174">
        <f t="shared" si="55"/>
        <v>245533.79469762617</v>
      </c>
      <c r="AG174">
        <f t="shared" si="56"/>
        <v>244655.15644315159</v>
      </c>
      <c r="AH174">
        <f t="shared" si="57"/>
        <v>243806.62101637549</v>
      </c>
      <c r="AI174">
        <f t="shared" si="64"/>
        <v>246397.85165463667</v>
      </c>
    </row>
    <row r="175" spans="2:35" x14ac:dyDescent="0.3">
      <c r="B175">
        <v>132</v>
      </c>
      <c r="C175">
        <v>78356.006299999994</v>
      </c>
      <c r="D175">
        <v>77851.117499999993</v>
      </c>
      <c r="E175">
        <v>78338.168399999995</v>
      </c>
      <c r="F175">
        <v>77950.040299999993</v>
      </c>
      <c r="G175">
        <v>78652.104999999996</v>
      </c>
      <c r="H175">
        <v>79246.796900000001</v>
      </c>
      <c r="I175">
        <v>10.927760125431188</v>
      </c>
      <c r="J175">
        <v>10.870558574806664</v>
      </c>
      <c r="K175">
        <v>10.841495579636129</v>
      </c>
      <c r="L175">
        <v>10.825296804512478</v>
      </c>
      <c r="M175">
        <v>10.768850179708366</v>
      </c>
      <c r="N175">
        <v>10.729053528284911</v>
      </c>
      <c r="P175">
        <f t="shared" si="46"/>
        <v>249476.79746293562</v>
      </c>
      <c r="Q175">
        <f t="shared" si="47"/>
        <v>248265.63974419993</v>
      </c>
      <c r="R175">
        <f t="shared" si="48"/>
        <v>246906.6989890839</v>
      </c>
      <c r="S175">
        <f t="shared" si="49"/>
        <v>246808.86383537436</v>
      </c>
      <c r="T175">
        <f t="shared" si="50"/>
        <v>244413.40039125102</v>
      </c>
      <c r="U175">
        <f t="shared" si="51"/>
        <v>242624.80894854735</v>
      </c>
      <c r="V175">
        <f t="shared" si="58"/>
        <v>1</v>
      </c>
      <c r="W175">
        <f t="shared" si="59"/>
        <v>0</v>
      </c>
      <c r="X175">
        <f t="shared" si="60"/>
        <v>0</v>
      </c>
      <c r="Y175">
        <f t="shared" si="61"/>
        <v>0</v>
      </c>
      <c r="Z175">
        <f t="shared" si="62"/>
        <v>0</v>
      </c>
      <c r="AA175">
        <f t="shared" si="63"/>
        <v>0</v>
      </c>
      <c r="AC175">
        <f t="shared" si="52"/>
        <v>249476.79746293562</v>
      </c>
      <c r="AD175">
        <f t="shared" si="53"/>
        <v>248265.63974419993</v>
      </c>
      <c r="AE175">
        <f t="shared" si="54"/>
        <v>246906.6989890839</v>
      </c>
      <c r="AF175">
        <f t="shared" si="55"/>
        <v>246808.86383537436</v>
      </c>
      <c r="AG175">
        <f t="shared" si="56"/>
        <v>244413.40039125102</v>
      </c>
      <c r="AH175">
        <f t="shared" si="57"/>
        <v>242624.80894854735</v>
      </c>
      <c r="AI175">
        <f t="shared" si="64"/>
        <v>249476.79746293562</v>
      </c>
    </row>
    <row r="176" spans="2:35" x14ac:dyDescent="0.3">
      <c r="B176">
        <v>133</v>
      </c>
      <c r="C176">
        <v>78397.615900000004</v>
      </c>
      <c r="D176">
        <v>78127.240399999995</v>
      </c>
      <c r="E176">
        <v>78694.726999999999</v>
      </c>
      <c r="F176">
        <v>78679.321899999995</v>
      </c>
      <c r="G176">
        <v>79431.058999999994</v>
      </c>
      <c r="H176">
        <v>79932.406900000002</v>
      </c>
      <c r="I176">
        <v>10.766313904421491</v>
      </c>
      <c r="J176">
        <v>10.730484445672918</v>
      </c>
      <c r="K176">
        <v>10.710265045122409</v>
      </c>
      <c r="L176">
        <v>10.702642022277677</v>
      </c>
      <c r="M176">
        <v>10.669212214178184</v>
      </c>
      <c r="N176">
        <v>10.647611542408455</v>
      </c>
      <c r="P176">
        <f t="shared" si="46"/>
        <v>244591.80123264474</v>
      </c>
      <c r="Q176">
        <f t="shared" si="47"/>
        <v>243787.2929701875</v>
      </c>
      <c r="R176">
        <f t="shared" si="48"/>
        <v>242613.22435367224</v>
      </c>
      <c r="S176">
        <f t="shared" si="49"/>
        <v>242399.93876833032</v>
      </c>
      <c r="T176">
        <f t="shared" si="50"/>
        <v>240645.30742534553</v>
      </c>
      <c r="U176">
        <f t="shared" si="51"/>
        <v>239495.93937225366</v>
      </c>
      <c r="V176">
        <f t="shared" si="58"/>
        <v>1</v>
      </c>
      <c r="W176">
        <f t="shared" si="59"/>
        <v>0</v>
      </c>
      <c r="X176">
        <f t="shared" si="60"/>
        <v>0</v>
      </c>
      <c r="Y176">
        <f t="shared" si="61"/>
        <v>0</v>
      </c>
      <c r="Z176">
        <f t="shared" si="62"/>
        <v>0</v>
      </c>
      <c r="AA176">
        <f t="shared" si="63"/>
        <v>0</v>
      </c>
      <c r="AC176">
        <f t="shared" si="52"/>
        <v>244591.80123264474</v>
      </c>
      <c r="AD176">
        <f t="shared" si="53"/>
        <v>243787.2929701875</v>
      </c>
      <c r="AE176">
        <f t="shared" si="54"/>
        <v>242613.22435367224</v>
      </c>
      <c r="AF176">
        <f t="shared" si="55"/>
        <v>242399.93876833032</v>
      </c>
      <c r="AG176">
        <f t="shared" si="56"/>
        <v>240645.30742534553</v>
      </c>
      <c r="AH176">
        <f t="shared" si="57"/>
        <v>239495.93937225366</v>
      </c>
      <c r="AI176">
        <f t="shared" si="64"/>
        <v>244591.80123264474</v>
      </c>
    </row>
    <row r="177" spans="2:35" x14ac:dyDescent="0.3">
      <c r="B177">
        <v>134</v>
      </c>
      <c r="C177">
        <v>70076.833599999998</v>
      </c>
      <c r="D177">
        <v>69554.402300000002</v>
      </c>
      <c r="E177">
        <v>70030.790800000002</v>
      </c>
      <c r="F177">
        <v>69951.484899999996</v>
      </c>
      <c r="G177">
        <v>70361.34</v>
      </c>
      <c r="H177">
        <v>70993.732399999994</v>
      </c>
      <c r="I177">
        <v>10.038248135413919</v>
      </c>
      <c r="J177">
        <v>10.021008781897015</v>
      </c>
      <c r="K177">
        <v>10.009720720356462</v>
      </c>
      <c r="L177">
        <v>10.005134823885886</v>
      </c>
      <c r="M177">
        <v>9.9950057990824952</v>
      </c>
      <c r="N177">
        <v>9.9776730806409457</v>
      </c>
      <c r="P177">
        <f t="shared" si="46"/>
        <v>231070.61046241759</v>
      </c>
      <c r="Q177">
        <f t="shared" si="47"/>
        <v>231075.86115691043</v>
      </c>
      <c r="R177">
        <f t="shared" si="48"/>
        <v>230260.83081069385</v>
      </c>
      <c r="S177">
        <f t="shared" si="49"/>
        <v>230202.5598165766</v>
      </c>
      <c r="T177">
        <f t="shared" si="50"/>
        <v>229488.83397247488</v>
      </c>
      <c r="U177">
        <f t="shared" si="51"/>
        <v>228336.4600192284</v>
      </c>
      <c r="V177">
        <f t="shared" si="58"/>
        <v>0</v>
      </c>
      <c r="W177">
        <f t="shared" si="59"/>
        <v>1</v>
      </c>
      <c r="X177">
        <f t="shared" si="60"/>
        <v>0</v>
      </c>
      <c r="Y177">
        <f t="shared" si="61"/>
        <v>0</v>
      </c>
      <c r="Z177">
        <f t="shared" si="62"/>
        <v>0</v>
      </c>
      <c r="AA177">
        <f t="shared" si="63"/>
        <v>0</v>
      </c>
      <c r="AC177">
        <f t="shared" si="52"/>
        <v>231070.61046241759</v>
      </c>
      <c r="AD177">
        <f t="shared" si="53"/>
        <v>231075.86115691043</v>
      </c>
      <c r="AE177">
        <f t="shared" si="54"/>
        <v>230260.83081069385</v>
      </c>
      <c r="AF177">
        <f t="shared" si="55"/>
        <v>230202.5598165766</v>
      </c>
      <c r="AG177">
        <f t="shared" si="56"/>
        <v>229488.83397247488</v>
      </c>
      <c r="AH177">
        <f t="shared" si="57"/>
        <v>228336.4600192284</v>
      </c>
      <c r="AI177">
        <f t="shared" si="64"/>
        <v>231075.86115691043</v>
      </c>
    </row>
    <row r="178" spans="2:35" x14ac:dyDescent="0.3">
      <c r="B178">
        <v>135</v>
      </c>
      <c r="C178">
        <v>81361.417000000001</v>
      </c>
      <c r="D178">
        <v>81458.640499999994</v>
      </c>
      <c r="E178">
        <v>82580.273000000001</v>
      </c>
      <c r="F178">
        <v>82806.843800000002</v>
      </c>
      <c r="G178">
        <v>83915.423699999999</v>
      </c>
      <c r="H178">
        <v>84761.788400000005</v>
      </c>
      <c r="I178">
        <v>10.41478111041182</v>
      </c>
      <c r="J178">
        <v>10.356575063292766</v>
      </c>
      <c r="K178">
        <v>10.311140168058477</v>
      </c>
      <c r="L178">
        <v>10.294884283393095</v>
      </c>
      <c r="M178">
        <v>10.249022803041631</v>
      </c>
      <c r="N178">
        <v>10.215124081928888</v>
      </c>
      <c r="P178">
        <f t="shared" si="46"/>
        <v>231082.01631235459</v>
      </c>
      <c r="Q178">
        <f t="shared" si="47"/>
        <v>229238.61139878299</v>
      </c>
      <c r="R178">
        <f t="shared" si="48"/>
        <v>226753.93204175431</v>
      </c>
      <c r="S178">
        <f t="shared" si="49"/>
        <v>226039.68470179287</v>
      </c>
      <c r="T178">
        <f t="shared" si="50"/>
        <v>223555.26039124897</v>
      </c>
      <c r="U178">
        <f t="shared" si="51"/>
        <v>221691.93405786663</v>
      </c>
      <c r="V178">
        <f t="shared" si="58"/>
        <v>1</v>
      </c>
      <c r="W178">
        <f t="shared" si="59"/>
        <v>0</v>
      </c>
      <c r="X178">
        <f t="shared" si="60"/>
        <v>0</v>
      </c>
      <c r="Y178">
        <f t="shared" si="61"/>
        <v>0</v>
      </c>
      <c r="Z178">
        <f t="shared" si="62"/>
        <v>0</v>
      </c>
      <c r="AA178">
        <f t="shared" si="63"/>
        <v>0</v>
      </c>
      <c r="AC178">
        <f t="shared" si="52"/>
        <v>231082.01631235459</v>
      </c>
      <c r="AD178">
        <f t="shared" si="53"/>
        <v>229238.61139878299</v>
      </c>
      <c r="AE178">
        <f t="shared" si="54"/>
        <v>226753.93204175431</v>
      </c>
      <c r="AF178">
        <f t="shared" si="55"/>
        <v>226039.68470179287</v>
      </c>
      <c r="AG178">
        <f t="shared" si="56"/>
        <v>223555.26039124897</v>
      </c>
      <c r="AH178">
        <f t="shared" si="57"/>
        <v>221691.93405786663</v>
      </c>
      <c r="AI178">
        <f t="shared" si="64"/>
        <v>231082.01631235459</v>
      </c>
    </row>
    <row r="179" spans="2:35" x14ac:dyDescent="0.3">
      <c r="B179">
        <v>136</v>
      </c>
      <c r="C179">
        <v>75422.153999999995</v>
      </c>
      <c r="D179">
        <v>74923.045800000007</v>
      </c>
      <c r="E179">
        <v>75628.063200000004</v>
      </c>
      <c r="F179">
        <v>75566.133400000006</v>
      </c>
      <c r="G179">
        <v>76200.316800000001</v>
      </c>
      <c r="H179">
        <v>76873.917199999996</v>
      </c>
      <c r="I179">
        <v>9.8497035580078443</v>
      </c>
      <c r="J179">
        <v>9.8203660782253195</v>
      </c>
      <c r="K179">
        <v>9.7954775855137441</v>
      </c>
      <c r="L179">
        <v>9.7827859613998029</v>
      </c>
      <c r="M179">
        <v>9.7571193580304367</v>
      </c>
      <c r="N179">
        <v>9.7383497037505826</v>
      </c>
      <c r="P179">
        <f t="shared" si="46"/>
        <v>220068.95274023537</v>
      </c>
      <c r="Q179">
        <f t="shared" si="47"/>
        <v>219687.93654675956</v>
      </c>
      <c r="R179">
        <f t="shared" si="48"/>
        <v>218236.26436541232</v>
      </c>
      <c r="S179">
        <f t="shared" si="49"/>
        <v>217917.44544199412</v>
      </c>
      <c r="T179">
        <f t="shared" si="50"/>
        <v>216513.26394091311</v>
      </c>
      <c r="U179">
        <f t="shared" si="51"/>
        <v>215276.57391251749</v>
      </c>
      <c r="V179">
        <f t="shared" si="58"/>
        <v>1</v>
      </c>
      <c r="W179">
        <f t="shared" si="59"/>
        <v>0</v>
      </c>
      <c r="X179">
        <f t="shared" si="60"/>
        <v>0</v>
      </c>
      <c r="Y179">
        <f t="shared" si="61"/>
        <v>0</v>
      </c>
      <c r="Z179">
        <f t="shared" si="62"/>
        <v>0</v>
      </c>
      <c r="AA179">
        <f t="shared" si="63"/>
        <v>0</v>
      </c>
      <c r="AC179">
        <f t="shared" si="52"/>
        <v>220068.95274023537</v>
      </c>
      <c r="AD179">
        <f t="shared" si="53"/>
        <v>219687.93654675956</v>
      </c>
      <c r="AE179">
        <f t="shared" si="54"/>
        <v>218236.26436541232</v>
      </c>
      <c r="AF179">
        <f t="shared" si="55"/>
        <v>217917.44544199412</v>
      </c>
      <c r="AG179">
        <f t="shared" si="56"/>
        <v>216513.26394091311</v>
      </c>
      <c r="AH179">
        <f t="shared" si="57"/>
        <v>215276.57391251749</v>
      </c>
      <c r="AI179">
        <f t="shared" si="64"/>
        <v>220068.95274023537</v>
      </c>
    </row>
    <row r="180" spans="2:35" x14ac:dyDescent="0.3">
      <c r="B180">
        <v>137</v>
      </c>
      <c r="C180">
        <v>71145.230299999996</v>
      </c>
      <c r="D180">
        <v>70714.462299999999</v>
      </c>
      <c r="E180">
        <v>71360.909400000004</v>
      </c>
      <c r="F180">
        <v>71465.527799999996</v>
      </c>
      <c r="G180">
        <v>71804.849300000002</v>
      </c>
      <c r="H180">
        <v>72628.401199999993</v>
      </c>
      <c r="I180">
        <v>10.198316859004811</v>
      </c>
      <c r="J180">
        <v>10.176572621180766</v>
      </c>
      <c r="K180">
        <v>10.167148321392258</v>
      </c>
      <c r="L180">
        <v>10.159576976137688</v>
      </c>
      <c r="M180">
        <v>10.143894417685043</v>
      </c>
      <c r="N180">
        <v>10.132016223982317</v>
      </c>
      <c r="P180">
        <f t="shared" si="46"/>
        <v>234804.27547014435</v>
      </c>
      <c r="Q180">
        <f t="shared" si="47"/>
        <v>234582.71633542294</v>
      </c>
      <c r="R180">
        <f t="shared" si="48"/>
        <v>233653.54024176771</v>
      </c>
      <c r="S180">
        <f t="shared" si="49"/>
        <v>233321.78148413065</v>
      </c>
      <c r="T180">
        <f t="shared" si="50"/>
        <v>232511.9832305513</v>
      </c>
      <c r="U180">
        <f t="shared" si="51"/>
        <v>231332.08551946955</v>
      </c>
      <c r="V180">
        <f t="shared" si="58"/>
        <v>1</v>
      </c>
      <c r="W180">
        <f t="shared" si="59"/>
        <v>0</v>
      </c>
      <c r="X180">
        <f t="shared" si="60"/>
        <v>0</v>
      </c>
      <c r="Y180">
        <f t="shared" si="61"/>
        <v>0</v>
      </c>
      <c r="Z180">
        <f t="shared" si="62"/>
        <v>0</v>
      </c>
      <c r="AA180">
        <f t="shared" si="63"/>
        <v>0</v>
      </c>
      <c r="AC180">
        <f t="shared" si="52"/>
        <v>234804.27547014435</v>
      </c>
      <c r="AD180">
        <f t="shared" si="53"/>
        <v>234582.71633542294</v>
      </c>
      <c r="AE180">
        <f t="shared" si="54"/>
        <v>233653.54024176771</v>
      </c>
      <c r="AF180">
        <f t="shared" si="55"/>
        <v>233321.78148413065</v>
      </c>
      <c r="AG180">
        <f t="shared" si="56"/>
        <v>232511.9832305513</v>
      </c>
      <c r="AH180">
        <f t="shared" si="57"/>
        <v>231332.08551946955</v>
      </c>
      <c r="AI180">
        <f t="shared" si="64"/>
        <v>234804.27547014435</v>
      </c>
    </row>
    <row r="181" spans="2:35" x14ac:dyDescent="0.3">
      <c r="B181">
        <v>138</v>
      </c>
      <c r="C181">
        <v>75044.907699999996</v>
      </c>
      <c r="D181">
        <v>73755.817800000004</v>
      </c>
      <c r="E181">
        <v>73859.822199999995</v>
      </c>
      <c r="F181">
        <v>73582.313699999999</v>
      </c>
      <c r="G181">
        <v>73660.934200000003</v>
      </c>
      <c r="H181">
        <v>73718.227199999994</v>
      </c>
      <c r="I181">
        <v>11.431302179170386</v>
      </c>
      <c r="J181">
        <v>11.400997028974881</v>
      </c>
      <c r="K181">
        <v>11.382452052513457</v>
      </c>
      <c r="L181">
        <v>11.374209204077298</v>
      </c>
      <c r="M181">
        <v>11.343234116286521</v>
      </c>
      <c r="N181">
        <v>11.325653431523531</v>
      </c>
      <c r="P181">
        <f t="shared" si="46"/>
        <v>267894.15767511161</v>
      </c>
      <c r="Q181">
        <f t="shared" si="47"/>
        <v>268274.09306924645</v>
      </c>
      <c r="R181">
        <f t="shared" si="48"/>
        <v>267613.73937540373</v>
      </c>
      <c r="S181">
        <f t="shared" si="49"/>
        <v>267643.96242231893</v>
      </c>
      <c r="T181">
        <f t="shared" si="50"/>
        <v>266636.0892885956</v>
      </c>
      <c r="U181">
        <f t="shared" si="51"/>
        <v>266051.37574570591</v>
      </c>
      <c r="V181">
        <f t="shared" si="58"/>
        <v>0</v>
      </c>
      <c r="W181">
        <f t="shared" si="59"/>
        <v>1</v>
      </c>
      <c r="X181">
        <f t="shared" si="60"/>
        <v>0</v>
      </c>
      <c r="Y181">
        <f t="shared" si="61"/>
        <v>0</v>
      </c>
      <c r="Z181">
        <f t="shared" si="62"/>
        <v>0</v>
      </c>
      <c r="AA181">
        <f t="shared" si="63"/>
        <v>0</v>
      </c>
      <c r="AC181">
        <f t="shared" si="52"/>
        <v>267894.15767511161</v>
      </c>
      <c r="AD181">
        <f t="shared" si="53"/>
        <v>268274.09306924645</v>
      </c>
      <c r="AE181">
        <f t="shared" si="54"/>
        <v>267613.73937540373</v>
      </c>
      <c r="AF181">
        <f t="shared" si="55"/>
        <v>267643.96242231893</v>
      </c>
      <c r="AG181">
        <f t="shared" si="56"/>
        <v>266636.0892885956</v>
      </c>
      <c r="AH181">
        <f t="shared" si="57"/>
        <v>266051.37574570591</v>
      </c>
      <c r="AI181">
        <f t="shared" si="64"/>
        <v>268274.09306924645</v>
      </c>
    </row>
    <row r="182" spans="2:35" x14ac:dyDescent="0.3">
      <c r="B182">
        <v>139</v>
      </c>
      <c r="C182">
        <v>75726.968900000007</v>
      </c>
      <c r="D182">
        <v>75394.660900000003</v>
      </c>
      <c r="E182">
        <v>75970.371700000003</v>
      </c>
      <c r="F182">
        <v>75888.342499999999</v>
      </c>
      <c r="G182">
        <v>76569.801800000001</v>
      </c>
      <c r="H182">
        <v>77208.642399999997</v>
      </c>
      <c r="I182">
        <v>10.390762669497677</v>
      </c>
      <c r="J182">
        <v>10.366054641467287</v>
      </c>
      <c r="K182">
        <v>10.353505793789056</v>
      </c>
      <c r="L182">
        <v>10.347762251695476</v>
      </c>
      <c r="M182">
        <v>10.331555096199221</v>
      </c>
      <c r="N182">
        <v>10.314219146062158</v>
      </c>
      <c r="P182">
        <f t="shared" si="46"/>
        <v>235995.91118493033</v>
      </c>
      <c r="Q182">
        <f t="shared" si="47"/>
        <v>235586.97834401857</v>
      </c>
      <c r="R182">
        <f t="shared" si="48"/>
        <v>234634.80211367167</v>
      </c>
      <c r="S182">
        <f t="shared" si="49"/>
        <v>234544.52505086429</v>
      </c>
      <c r="T182">
        <f t="shared" si="50"/>
        <v>233376.85108597658</v>
      </c>
      <c r="U182">
        <f t="shared" si="51"/>
        <v>232217.93198186473</v>
      </c>
      <c r="V182">
        <f t="shared" si="58"/>
        <v>1</v>
      </c>
      <c r="W182">
        <f t="shared" si="59"/>
        <v>0</v>
      </c>
      <c r="X182">
        <f t="shared" si="60"/>
        <v>0</v>
      </c>
      <c r="Y182">
        <f t="shared" si="61"/>
        <v>0</v>
      </c>
      <c r="Z182">
        <f t="shared" si="62"/>
        <v>0</v>
      </c>
      <c r="AA182">
        <f t="shared" si="63"/>
        <v>0</v>
      </c>
      <c r="AC182">
        <f t="shared" si="52"/>
        <v>235995.91118493033</v>
      </c>
      <c r="AD182">
        <f t="shared" si="53"/>
        <v>235586.97834401857</v>
      </c>
      <c r="AE182">
        <f t="shared" si="54"/>
        <v>234634.80211367167</v>
      </c>
      <c r="AF182">
        <f t="shared" si="55"/>
        <v>234544.52505086429</v>
      </c>
      <c r="AG182">
        <f t="shared" si="56"/>
        <v>233376.85108597658</v>
      </c>
      <c r="AH182">
        <f t="shared" si="57"/>
        <v>232217.93198186473</v>
      </c>
      <c r="AI182">
        <f t="shared" si="64"/>
        <v>235995.91118493033</v>
      </c>
    </row>
    <row r="183" spans="2:35" x14ac:dyDescent="0.3">
      <c r="B183">
        <v>140</v>
      </c>
      <c r="C183">
        <v>80346.740999999995</v>
      </c>
      <c r="D183">
        <v>80235.752900000007</v>
      </c>
      <c r="E183">
        <v>81230.498500000002</v>
      </c>
      <c r="F183">
        <v>81415.183699999994</v>
      </c>
      <c r="G183">
        <v>82571.515499999994</v>
      </c>
      <c r="H183">
        <v>83303.753899999996</v>
      </c>
      <c r="I183">
        <v>10.729613019904908</v>
      </c>
      <c r="J183">
        <v>10.7022819398927</v>
      </c>
      <c r="K183">
        <v>10.681608692096502</v>
      </c>
      <c r="L183">
        <v>10.664507436106376</v>
      </c>
      <c r="M183">
        <v>10.634474363747279</v>
      </c>
      <c r="N183">
        <v>10.609666789538201</v>
      </c>
      <c r="P183">
        <f t="shared" si="46"/>
        <v>241541.64959714725</v>
      </c>
      <c r="Q183">
        <f t="shared" si="47"/>
        <v>240832.70529678097</v>
      </c>
      <c r="R183">
        <f t="shared" si="48"/>
        <v>239217.76226289506</v>
      </c>
      <c r="S183">
        <f t="shared" si="49"/>
        <v>238520.03938319127</v>
      </c>
      <c r="T183">
        <f t="shared" si="50"/>
        <v>236462.71541241836</v>
      </c>
      <c r="U183">
        <f t="shared" si="51"/>
        <v>234986.24978614604</v>
      </c>
      <c r="V183">
        <f t="shared" si="58"/>
        <v>1</v>
      </c>
      <c r="W183">
        <f t="shared" si="59"/>
        <v>0</v>
      </c>
      <c r="X183">
        <f t="shared" si="60"/>
        <v>0</v>
      </c>
      <c r="Y183">
        <f t="shared" si="61"/>
        <v>0</v>
      </c>
      <c r="Z183">
        <f t="shared" si="62"/>
        <v>0</v>
      </c>
      <c r="AA183">
        <f t="shared" si="63"/>
        <v>0</v>
      </c>
      <c r="AC183">
        <f t="shared" si="52"/>
        <v>241541.64959714725</v>
      </c>
      <c r="AD183">
        <f t="shared" si="53"/>
        <v>240832.70529678097</v>
      </c>
      <c r="AE183">
        <f t="shared" si="54"/>
        <v>239217.76226289506</v>
      </c>
      <c r="AF183">
        <f t="shared" si="55"/>
        <v>238520.03938319127</v>
      </c>
      <c r="AG183">
        <f t="shared" si="56"/>
        <v>236462.71541241836</v>
      </c>
      <c r="AH183">
        <f t="shared" si="57"/>
        <v>234986.24978614604</v>
      </c>
      <c r="AI183">
        <f t="shared" si="64"/>
        <v>241541.64959714725</v>
      </c>
    </row>
    <row r="184" spans="2:35" x14ac:dyDescent="0.3">
      <c r="B184">
        <v>141</v>
      </c>
      <c r="C184">
        <v>79227.756599999993</v>
      </c>
      <c r="D184">
        <v>78621.389200000005</v>
      </c>
      <c r="E184">
        <v>79138.839000000007</v>
      </c>
      <c r="F184">
        <v>79082.362800000003</v>
      </c>
      <c r="G184">
        <v>79503.766000000003</v>
      </c>
      <c r="H184">
        <v>79976.1253</v>
      </c>
      <c r="I184">
        <v>10.258591994811169</v>
      </c>
      <c r="J184">
        <v>10.22173627400192</v>
      </c>
      <c r="K184">
        <v>10.188439839338676</v>
      </c>
      <c r="L184">
        <v>10.184584618408959</v>
      </c>
      <c r="M184">
        <v>10.152108833481908</v>
      </c>
      <c r="N184">
        <v>10.12150361953252</v>
      </c>
      <c r="P184">
        <f t="shared" si="46"/>
        <v>228530.00324433509</v>
      </c>
      <c r="Q184">
        <f t="shared" si="47"/>
        <v>228030.6990200576</v>
      </c>
      <c r="R184">
        <f t="shared" si="48"/>
        <v>226514.35618016028</v>
      </c>
      <c r="S184">
        <f t="shared" si="49"/>
        <v>226455.17575226875</v>
      </c>
      <c r="T184">
        <f t="shared" si="50"/>
        <v>225059.4990044572</v>
      </c>
      <c r="U184">
        <f t="shared" si="51"/>
        <v>223668.98328597558</v>
      </c>
      <c r="V184">
        <f t="shared" si="58"/>
        <v>1</v>
      </c>
      <c r="W184">
        <f t="shared" si="59"/>
        <v>0</v>
      </c>
      <c r="X184">
        <f t="shared" si="60"/>
        <v>0</v>
      </c>
      <c r="Y184">
        <f t="shared" si="61"/>
        <v>0</v>
      </c>
      <c r="Z184">
        <f t="shared" si="62"/>
        <v>0</v>
      </c>
      <c r="AA184">
        <f t="shared" si="63"/>
        <v>0</v>
      </c>
      <c r="AC184">
        <f t="shared" si="52"/>
        <v>228530.00324433509</v>
      </c>
      <c r="AD184">
        <f t="shared" si="53"/>
        <v>228030.6990200576</v>
      </c>
      <c r="AE184">
        <f t="shared" si="54"/>
        <v>226514.35618016028</v>
      </c>
      <c r="AF184">
        <f t="shared" si="55"/>
        <v>226455.17575226875</v>
      </c>
      <c r="AG184">
        <f t="shared" si="56"/>
        <v>225059.4990044572</v>
      </c>
      <c r="AH184">
        <f t="shared" si="57"/>
        <v>223668.98328597558</v>
      </c>
      <c r="AI184">
        <f t="shared" si="64"/>
        <v>228530.00324433509</v>
      </c>
    </row>
    <row r="185" spans="2:35" x14ac:dyDescent="0.3">
      <c r="B185">
        <v>142</v>
      </c>
      <c r="C185">
        <v>67916.239700000006</v>
      </c>
      <c r="D185">
        <v>67624.631299999994</v>
      </c>
      <c r="E185">
        <v>68790.191399999996</v>
      </c>
      <c r="F185">
        <v>68953.136100000003</v>
      </c>
      <c r="G185">
        <v>69786.268200000006</v>
      </c>
      <c r="H185">
        <v>70864.749899999995</v>
      </c>
      <c r="I185">
        <v>10.528558089885049</v>
      </c>
      <c r="J185">
        <v>10.476177420705651</v>
      </c>
      <c r="K185">
        <v>10.448029076558671</v>
      </c>
      <c r="L185">
        <v>10.430510996720839</v>
      </c>
      <c r="M185">
        <v>10.389314223743808</v>
      </c>
      <c r="N185">
        <v>10.346239079802562</v>
      </c>
      <c r="P185">
        <f t="shared" si="46"/>
        <v>247940.50299655148</v>
      </c>
      <c r="Q185">
        <f t="shared" si="47"/>
        <v>246660.69132116955</v>
      </c>
      <c r="R185">
        <f t="shared" si="48"/>
        <v>244650.68089676008</v>
      </c>
      <c r="S185">
        <f t="shared" si="49"/>
        <v>243962.19380162517</v>
      </c>
      <c r="T185">
        <f t="shared" si="50"/>
        <v>241893.15851231426</v>
      </c>
      <c r="U185">
        <f t="shared" si="51"/>
        <v>239522.42249407683</v>
      </c>
      <c r="V185">
        <f t="shared" si="58"/>
        <v>1</v>
      </c>
      <c r="W185">
        <f t="shared" si="59"/>
        <v>0</v>
      </c>
      <c r="X185">
        <f t="shared" si="60"/>
        <v>0</v>
      </c>
      <c r="Y185">
        <f t="shared" si="61"/>
        <v>0</v>
      </c>
      <c r="Z185">
        <f t="shared" si="62"/>
        <v>0</v>
      </c>
      <c r="AA185">
        <f t="shared" si="63"/>
        <v>0</v>
      </c>
      <c r="AC185">
        <f t="shared" si="52"/>
        <v>247940.50299655148</v>
      </c>
      <c r="AD185">
        <f t="shared" si="53"/>
        <v>246660.69132116955</v>
      </c>
      <c r="AE185">
        <f t="shared" si="54"/>
        <v>244650.68089676008</v>
      </c>
      <c r="AF185">
        <f t="shared" si="55"/>
        <v>243962.19380162517</v>
      </c>
      <c r="AG185">
        <f t="shared" si="56"/>
        <v>241893.15851231426</v>
      </c>
      <c r="AH185">
        <f t="shared" si="57"/>
        <v>239522.42249407683</v>
      </c>
      <c r="AI185">
        <f t="shared" si="64"/>
        <v>247940.50299655148</v>
      </c>
    </row>
    <row r="186" spans="2:35" x14ac:dyDescent="0.3">
      <c r="B186">
        <v>143</v>
      </c>
      <c r="C186">
        <v>75264.096900000004</v>
      </c>
      <c r="D186">
        <v>73907.675499999998</v>
      </c>
      <c r="E186">
        <v>73863.772400000002</v>
      </c>
      <c r="F186">
        <v>73630.705600000001</v>
      </c>
      <c r="G186">
        <v>73634.823099999994</v>
      </c>
      <c r="H186">
        <v>73556.125599999999</v>
      </c>
      <c r="I186">
        <v>8.7785718827977597</v>
      </c>
      <c r="J186">
        <v>8.7574429133081022</v>
      </c>
      <c r="K186">
        <v>8.7409955355534557</v>
      </c>
      <c r="L186">
        <v>8.7370772275484327</v>
      </c>
      <c r="M186">
        <v>8.7199824651121371</v>
      </c>
      <c r="N186">
        <v>8.7027820621922398</v>
      </c>
      <c r="P186">
        <f t="shared" si="46"/>
        <v>188093.0595839328</v>
      </c>
      <c r="Q186">
        <f t="shared" si="47"/>
        <v>188815.61189924303</v>
      </c>
      <c r="R186">
        <f t="shared" si="48"/>
        <v>188366.09366660367</v>
      </c>
      <c r="S186">
        <f t="shared" si="49"/>
        <v>188481.61122645298</v>
      </c>
      <c r="T186">
        <f t="shared" si="50"/>
        <v>187964.65085336415</v>
      </c>
      <c r="U186">
        <f t="shared" si="51"/>
        <v>187527.3362657672</v>
      </c>
      <c r="V186">
        <f t="shared" si="58"/>
        <v>0</v>
      </c>
      <c r="W186">
        <f t="shared" si="59"/>
        <v>1</v>
      </c>
      <c r="X186">
        <f t="shared" si="60"/>
        <v>0</v>
      </c>
      <c r="Y186">
        <f t="shared" si="61"/>
        <v>0</v>
      </c>
      <c r="Z186">
        <f t="shared" si="62"/>
        <v>0</v>
      </c>
      <c r="AA186">
        <f t="shared" si="63"/>
        <v>0</v>
      </c>
      <c r="AC186">
        <f t="shared" si="52"/>
        <v>188093.0595839328</v>
      </c>
      <c r="AD186">
        <f t="shared" si="53"/>
        <v>188815.61189924303</v>
      </c>
      <c r="AE186">
        <f t="shared" si="54"/>
        <v>188366.09366660367</v>
      </c>
      <c r="AF186">
        <f t="shared" si="55"/>
        <v>188481.61122645298</v>
      </c>
      <c r="AG186">
        <f t="shared" si="56"/>
        <v>187964.65085336415</v>
      </c>
      <c r="AH186">
        <f t="shared" si="57"/>
        <v>187527.3362657672</v>
      </c>
      <c r="AI186">
        <f t="shared" si="64"/>
        <v>188815.61189924303</v>
      </c>
    </row>
    <row r="187" spans="2:35" x14ac:dyDescent="0.3">
      <c r="B187">
        <v>144</v>
      </c>
      <c r="C187">
        <v>76158.756800000003</v>
      </c>
      <c r="D187">
        <v>75342.269</v>
      </c>
      <c r="E187">
        <v>75664.514200000005</v>
      </c>
      <c r="F187">
        <v>75606.668799999999</v>
      </c>
      <c r="G187">
        <v>75709.005799999999</v>
      </c>
      <c r="H187">
        <v>75988.213600000003</v>
      </c>
      <c r="I187">
        <v>10.162969320115005</v>
      </c>
      <c r="J187">
        <v>10.13776790084327</v>
      </c>
      <c r="K187">
        <v>10.114850820687646</v>
      </c>
      <c r="L187">
        <v>10.103064539112113</v>
      </c>
      <c r="M187">
        <v>10.08130075958508</v>
      </c>
      <c r="N187">
        <v>10.057195821105816</v>
      </c>
      <c r="P187">
        <f t="shared" si="46"/>
        <v>228730.32280345014</v>
      </c>
      <c r="Q187">
        <f t="shared" si="47"/>
        <v>228790.76802529811</v>
      </c>
      <c r="R187">
        <f t="shared" si="48"/>
        <v>227781.01042062938</v>
      </c>
      <c r="S187">
        <f t="shared" si="49"/>
        <v>227485.26737336343</v>
      </c>
      <c r="T187">
        <f t="shared" si="50"/>
        <v>226730.0169875524</v>
      </c>
      <c r="U187">
        <f t="shared" si="51"/>
        <v>225727.66103317449</v>
      </c>
      <c r="V187">
        <f t="shared" si="58"/>
        <v>0</v>
      </c>
      <c r="W187">
        <f t="shared" si="59"/>
        <v>1</v>
      </c>
      <c r="X187">
        <f t="shared" si="60"/>
        <v>0</v>
      </c>
      <c r="Y187">
        <f t="shared" si="61"/>
        <v>0</v>
      </c>
      <c r="Z187">
        <f t="shared" si="62"/>
        <v>0</v>
      </c>
      <c r="AA187">
        <f t="shared" si="63"/>
        <v>0</v>
      </c>
      <c r="AC187">
        <f t="shared" si="52"/>
        <v>228730.32280345014</v>
      </c>
      <c r="AD187">
        <f t="shared" si="53"/>
        <v>228790.76802529811</v>
      </c>
      <c r="AE187">
        <f t="shared" si="54"/>
        <v>227781.01042062938</v>
      </c>
      <c r="AF187">
        <f t="shared" si="55"/>
        <v>227485.26737336343</v>
      </c>
      <c r="AG187">
        <f t="shared" si="56"/>
        <v>226730.0169875524</v>
      </c>
      <c r="AH187">
        <f t="shared" si="57"/>
        <v>225727.66103317449</v>
      </c>
      <c r="AI187">
        <f t="shared" si="64"/>
        <v>228790.76802529811</v>
      </c>
    </row>
    <row r="188" spans="2:35" x14ac:dyDescent="0.3">
      <c r="B188">
        <v>145</v>
      </c>
      <c r="C188">
        <v>77164.55</v>
      </c>
      <c r="D188">
        <v>76606.258900000001</v>
      </c>
      <c r="E188">
        <v>77104.8606</v>
      </c>
      <c r="F188">
        <v>77076.029200000004</v>
      </c>
      <c r="G188">
        <v>77617.435599999997</v>
      </c>
      <c r="H188">
        <v>78328.159700000004</v>
      </c>
      <c r="I188">
        <v>8.85089010363677</v>
      </c>
      <c r="J188">
        <v>8.8325537069876709</v>
      </c>
      <c r="K188">
        <v>8.8190947418954018</v>
      </c>
      <c r="L188">
        <v>8.8144041667913449</v>
      </c>
      <c r="M188">
        <v>8.7931748405925596</v>
      </c>
      <c r="N188">
        <v>8.7806120422882366</v>
      </c>
      <c r="P188">
        <f t="shared" si="46"/>
        <v>188362.15310910309</v>
      </c>
      <c r="Q188">
        <f t="shared" si="47"/>
        <v>188370.35230963014</v>
      </c>
      <c r="R188">
        <f t="shared" si="48"/>
        <v>187467.98165686202</v>
      </c>
      <c r="S188">
        <f t="shared" si="49"/>
        <v>187356.09580374038</v>
      </c>
      <c r="T188">
        <f t="shared" si="50"/>
        <v>186177.8096177768</v>
      </c>
      <c r="U188">
        <f t="shared" si="51"/>
        <v>185090.20156864705</v>
      </c>
      <c r="V188">
        <f t="shared" si="58"/>
        <v>0</v>
      </c>
      <c r="W188">
        <f t="shared" si="59"/>
        <v>1</v>
      </c>
      <c r="X188">
        <f t="shared" si="60"/>
        <v>0</v>
      </c>
      <c r="Y188">
        <f t="shared" si="61"/>
        <v>0</v>
      </c>
      <c r="Z188">
        <f t="shared" si="62"/>
        <v>0</v>
      </c>
      <c r="AA188">
        <f t="shared" si="63"/>
        <v>0</v>
      </c>
      <c r="AC188">
        <f t="shared" si="52"/>
        <v>188362.15310910309</v>
      </c>
      <c r="AD188">
        <f t="shared" si="53"/>
        <v>188370.35230963014</v>
      </c>
      <c r="AE188">
        <f t="shared" si="54"/>
        <v>187467.98165686202</v>
      </c>
      <c r="AF188">
        <f t="shared" si="55"/>
        <v>187356.09580374038</v>
      </c>
      <c r="AG188">
        <f t="shared" si="56"/>
        <v>186177.8096177768</v>
      </c>
      <c r="AH188">
        <f t="shared" si="57"/>
        <v>185090.20156864705</v>
      </c>
      <c r="AI188">
        <f t="shared" si="64"/>
        <v>188370.35230963014</v>
      </c>
    </row>
    <row r="189" spans="2:35" x14ac:dyDescent="0.3">
      <c r="B189">
        <v>146</v>
      </c>
      <c r="C189">
        <v>78729.488899999997</v>
      </c>
      <c r="D189">
        <v>77749.592699999994</v>
      </c>
      <c r="E189">
        <v>78238.369699999996</v>
      </c>
      <c r="F189">
        <v>78199.1734</v>
      </c>
      <c r="G189">
        <v>78339.456099999996</v>
      </c>
      <c r="H189">
        <v>78653.521699999998</v>
      </c>
      <c r="I189">
        <v>10.933556514906904</v>
      </c>
      <c r="J189">
        <v>10.904791467915121</v>
      </c>
      <c r="K189">
        <v>10.866922078449885</v>
      </c>
      <c r="L189">
        <v>10.85194212040579</v>
      </c>
      <c r="M189">
        <v>10.839599904827116</v>
      </c>
      <c r="N189">
        <v>10.801140874435344</v>
      </c>
      <c r="P189">
        <f t="shared" si="46"/>
        <v>249277.20654720714</v>
      </c>
      <c r="Q189">
        <f t="shared" si="47"/>
        <v>249394.15133745363</v>
      </c>
      <c r="R189">
        <f t="shared" si="48"/>
        <v>247769.29265349661</v>
      </c>
      <c r="S189">
        <f t="shared" si="49"/>
        <v>247359.09021217367</v>
      </c>
      <c r="T189">
        <f t="shared" si="50"/>
        <v>246848.54104481346</v>
      </c>
      <c r="U189">
        <f t="shared" si="51"/>
        <v>245380.70453306031</v>
      </c>
      <c r="V189">
        <f t="shared" si="58"/>
        <v>0</v>
      </c>
      <c r="W189">
        <f t="shared" si="59"/>
        <v>1</v>
      </c>
      <c r="X189">
        <f t="shared" si="60"/>
        <v>0</v>
      </c>
      <c r="Y189">
        <f t="shared" si="61"/>
        <v>0</v>
      </c>
      <c r="Z189">
        <f t="shared" si="62"/>
        <v>0</v>
      </c>
      <c r="AA189">
        <f t="shared" si="63"/>
        <v>0</v>
      </c>
      <c r="AC189">
        <f t="shared" si="52"/>
        <v>249277.20654720714</v>
      </c>
      <c r="AD189">
        <f t="shared" si="53"/>
        <v>249394.15133745363</v>
      </c>
      <c r="AE189">
        <f t="shared" si="54"/>
        <v>247769.29265349661</v>
      </c>
      <c r="AF189">
        <f t="shared" si="55"/>
        <v>247359.09021217367</v>
      </c>
      <c r="AG189">
        <f t="shared" si="56"/>
        <v>246848.54104481346</v>
      </c>
      <c r="AH189">
        <f t="shared" si="57"/>
        <v>245380.70453306031</v>
      </c>
      <c r="AI189">
        <f t="shared" si="64"/>
        <v>249394.15133745363</v>
      </c>
    </row>
    <row r="190" spans="2:35" x14ac:dyDescent="0.3">
      <c r="B190">
        <v>147</v>
      </c>
      <c r="C190">
        <v>71741.369500000001</v>
      </c>
      <c r="D190">
        <v>70803.343800000002</v>
      </c>
      <c r="E190">
        <v>71079.5818</v>
      </c>
      <c r="F190">
        <v>71006.186000000002</v>
      </c>
      <c r="G190">
        <v>71381.041899999997</v>
      </c>
      <c r="H190">
        <v>71689.268500000006</v>
      </c>
      <c r="I190">
        <v>10.078129147985887</v>
      </c>
      <c r="J190">
        <v>10.054254451277531</v>
      </c>
      <c r="K190">
        <v>10.040750961769298</v>
      </c>
      <c r="L190">
        <v>10.041159773028896</v>
      </c>
      <c r="M190">
        <v>10.025167449835639</v>
      </c>
      <c r="N190">
        <v>10.006331229376258</v>
      </c>
      <c r="P190">
        <f t="shared" si="46"/>
        <v>230602.50493957664</v>
      </c>
      <c r="Q190">
        <f t="shared" si="47"/>
        <v>230824.28973832596</v>
      </c>
      <c r="R190">
        <f t="shared" si="48"/>
        <v>230142.94705307897</v>
      </c>
      <c r="S190">
        <f t="shared" si="49"/>
        <v>230228.6071908669</v>
      </c>
      <c r="T190">
        <f t="shared" si="50"/>
        <v>229373.98159506917</v>
      </c>
      <c r="U190">
        <f t="shared" si="51"/>
        <v>228500.66838128772</v>
      </c>
      <c r="V190">
        <f t="shared" si="58"/>
        <v>0</v>
      </c>
      <c r="W190">
        <f t="shared" si="59"/>
        <v>1</v>
      </c>
      <c r="X190">
        <f t="shared" si="60"/>
        <v>0</v>
      </c>
      <c r="Y190">
        <f t="shared" si="61"/>
        <v>0</v>
      </c>
      <c r="Z190">
        <f t="shared" si="62"/>
        <v>0</v>
      </c>
      <c r="AA190">
        <f t="shared" si="63"/>
        <v>0</v>
      </c>
      <c r="AC190">
        <f t="shared" si="52"/>
        <v>230602.50493957664</v>
      </c>
      <c r="AD190">
        <f t="shared" si="53"/>
        <v>230824.28973832596</v>
      </c>
      <c r="AE190">
        <f t="shared" si="54"/>
        <v>230142.94705307897</v>
      </c>
      <c r="AF190">
        <f t="shared" si="55"/>
        <v>230228.6071908669</v>
      </c>
      <c r="AG190">
        <f t="shared" si="56"/>
        <v>229373.98159506917</v>
      </c>
      <c r="AH190">
        <f t="shared" si="57"/>
        <v>228500.66838128772</v>
      </c>
      <c r="AI190">
        <f t="shared" si="64"/>
        <v>230824.28973832596</v>
      </c>
    </row>
    <row r="191" spans="2:35" x14ac:dyDescent="0.3">
      <c r="B191">
        <v>148</v>
      </c>
      <c r="C191">
        <v>81196.6967</v>
      </c>
      <c r="D191">
        <v>80634.509099999996</v>
      </c>
      <c r="E191">
        <v>80928.844800000006</v>
      </c>
      <c r="F191">
        <v>81010.180099999998</v>
      </c>
      <c r="G191">
        <v>81459.199500000002</v>
      </c>
      <c r="H191">
        <v>82012.612099999998</v>
      </c>
      <c r="I191">
        <v>9.9424808197850094</v>
      </c>
      <c r="J191">
        <v>9.9200850454196399</v>
      </c>
      <c r="K191">
        <v>9.900824966177538</v>
      </c>
      <c r="L191">
        <v>9.8933363415719864</v>
      </c>
      <c r="M191">
        <v>9.8751813824488828</v>
      </c>
      <c r="N191">
        <v>9.8513504116093582</v>
      </c>
      <c r="P191">
        <f t="shared" si="46"/>
        <v>217077.72789355027</v>
      </c>
      <c r="Q191">
        <f t="shared" si="47"/>
        <v>216968.04226258918</v>
      </c>
      <c r="R191">
        <f t="shared" si="48"/>
        <v>216095.90418532613</v>
      </c>
      <c r="S191">
        <f t="shared" si="49"/>
        <v>215789.91014715959</v>
      </c>
      <c r="T191">
        <f t="shared" si="50"/>
        <v>214796.24197346647</v>
      </c>
      <c r="U191">
        <f t="shared" si="51"/>
        <v>213527.90024828076</v>
      </c>
      <c r="V191">
        <f t="shared" si="58"/>
        <v>1</v>
      </c>
      <c r="W191">
        <f t="shared" si="59"/>
        <v>0</v>
      </c>
      <c r="X191">
        <f t="shared" si="60"/>
        <v>0</v>
      </c>
      <c r="Y191">
        <f t="shared" si="61"/>
        <v>0</v>
      </c>
      <c r="Z191">
        <f t="shared" si="62"/>
        <v>0</v>
      </c>
      <c r="AA191">
        <f t="shared" si="63"/>
        <v>0</v>
      </c>
      <c r="AC191">
        <f t="shared" si="52"/>
        <v>217077.72789355027</v>
      </c>
      <c r="AD191">
        <f t="shared" si="53"/>
        <v>216968.04226258918</v>
      </c>
      <c r="AE191">
        <f t="shared" si="54"/>
        <v>216095.90418532613</v>
      </c>
      <c r="AF191">
        <f t="shared" si="55"/>
        <v>215789.91014715959</v>
      </c>
      <c r="AG191">
        <f t="shared" si="56"/>
        <v>214796.24197346647</v>
      </c>
      <c r="AH191">
        <f t="shared" si="57"/>
        <v>213527.90024828076</v>
      </c>
      <c r="AI191">
        <f t="shared" si="64"/>
        <v>217077.72789355027</v>
      </c>
    </row>
    <row r="192" spans="2:35" x14ac:dyDescent="0.3">
      <c r="B192">
        <v>149</v>
      </c>
      <c r="C192">
        <v>79786.909799999994</v>
      </c>
      <c r="D192">
        <v>79538.371499999994</v>
      </c>
      <c r="E192">
        <v>80257.2742</v>
      </c>
      <c r="F192">
        <v>80365.794599999994</v>
      </c>
      <c r="G192">
        <v>80920.302100000001</v>
      </c>
      <c r="H192">
        <v>81468.201799999995</v>
      </c>
      <c r="I192">
        <v>7.7596293096493465</v>
      </c>
      <c r="J192">
        <v>7.7476678113616657</v>
      </c>
      <c r="K192">
        <v>7.739544144581032</v>
      </c>
      <c r="L192">
        <v>7.7356577307312069</v>
      </c>
      <c r="M192">
        <v>7.7275317012514604</v>
      </c>
      <c r="N192">
        <v>7.7191036720321407</v>
      </c>
      <c r="P192">
        <f t="shared" si="46"/>
        <v>153001.9694894804</v>
      </c>
      <c r="Q192">
        <f t="shared" si="47"/>
        <v>152891.66284084995</v>
      </c>
      <c r="R192">
        <f t="shared" si="48"/>
        <v>151929.05013743095</v>
      </c>
      <c r="S192">
        <f t="shared" si="49"/>
        <v>151703.93732193622</v>
      </c>
      <c r="T192">
        <f t="shared" si="50"/>
        <v>150905.64893754383</v>
      </c>
      <c r="U192">
        <f t="shared" si="51"/>
        <v>150104.90836096421</v>
      </c>
      <c r="V192">
        <f t="shared" si="58"/>
        <v>1</v>
      </c>
      <c r="W192">
        <f t="shared" si="59"/>
        <v>0</v>
      </c>
      <c r="X192">
        <f t="shared" si="60"/>
        <v>0</v>
      </c>
      <c r="Y192">
        <f t="shared" si="61"/>
        <v>0</v>
      </c>
      <c r="Z192">
        <f t="shared" si="62"/>
        <v>0</v>
      </c>
      <c r="AA192">
        <f t="shared" si="63"/>
        <v>0</v>
      </c>
      <c r="AC192">
        <f t="shared" si="52"/>
        <v>153001.9694894804</v>
      </c>
      <c r="AD192">
        <f t="shared" si="53"/>
        <v>152891.66284084995</v>
      </c>
      <c r="AE192">
        <f t="shared" si="54"/>
        <v>151929.05013743095</v>
      </c>
      <c r="AF192">
        <f t="shared" si="55"/>
        <v>151703.93732193622</v>
      </c>
      <c r="AG192">
        <f t="shared" si="56"/>
        <v>150905.64893754383</v>
      </c>
      <c r="AH192">
        <f t="shared" si="57"/>
        <v>150104.90836096421</v>
      </c>
      <c r="AI192">
        <f t="shared" si="64"/>
        <v>153001.9694894804</v>
      </c>
    </row>
    <row r="193" spans="2:35" x14ac:dyDescent="0.3">
      <c r="B193">
        <v>150</v>
      </c>
      <c r="C193">
        <v>68124.704800000007</v>
      </c>
      <c r="D193">
        <v>67444.812300000005</v>
      </c>
      <c r="E193">
        <v>68036.148700000005</v>
      </c>
      <c r="F193">
        <v>67958.671600000001</v>
      </c>
      <c r="G193">
        <v>68463.641499999998</v>
      </c>
      <c r="H193">
        <v>68889.203599999993</v>
      </c>
      <c r="I193">
        <v>10.26746717156273</v>
      </c>
      <c r="J193">
        <v>10.234118901263388</v>
      </c>
      <c r="K193">
        <v>10.210450417119905</v>
      </c>
      <c r="L193">
        <v>10.194897757367503</v>
      </c>
      <c r="M193">
        <v>10.16682103486125</v>
      </c>
      <c r="N193">
        <v>10.14843712424862</v>
      </c>
      <c r="P193">
        <f t="shared" si="46"/>
        <v>239899.31034688192</v>
      </c>
      <c r="Q193">
        <f t="shared" si="47"/>
        <v>239578.75473790168</v>
      </c>
      <c r="R193">
        <f t="shared" si="48"/>
        <v>238277.36381359713</v>
      </c>
      <c r="S193">
        <f t="shared" si="49"/>
        <v>237888.26112102508</v>
      </c>
      <c r="T193">
        <f t="shared" si="50"/>
        <v>236540.98954583754</v>
      </c>
      <c r="U193">
        <f t="shared" si="51"/>
        <v>235563.91012745857</v>
      </c>
      <c r="V193">
        <f t="shared" si="58"/>
        <v>1</v>
      </c>
      <c r="W193">
        <f t="shared" si="59"/>
        <v>0</v>
      </c>
      <c r="X193">
        <f t="shared" si="60"/>
        <v>0</v>
      </c>
      <c r="Y193">
        <f t="shared" si="61"/>
        <v>0</v>
      </c>
      <c r="Z193">
        <f t="shared" si="62"/>
        <v>0</v>
      </c>
      <c r="AA193">
        <f t="shared" si="63"/>
        <v>0</v>
      </c>
      <c r="AC193">
        <f t="shared" si="52"/>
        <v>239899.31034688192</v>
      </c>
      <c r="AD193">
        <f t="shared" si="53"/>
        <v>239578.75473790168</v>
      </c>
      <c r="AE193">
        <f t="shared" si="54"/>
        <v>238277.36381359713</v>
      </c>
      <c r="AF193">
        <f t="shared" si="55"/>
        <v>237888.26112102508</v>
      </c>
      <c r="AG193">
        <f t="shared" si="56"/>
        <v>236540.98954583754</v>
      </c>
      <c r="AH193">
        <f t="shared" si="57"/>
        <v>235563.91012745857</v>
      </c>
      <c r="AI193">
        <f t="shared" si="64"/>
        <v>239899.31034688192</v>
      </c>
    </row>
    <row r="194" spans="2:35" x14ac:dyDescent="0.3">
      <c r="B194">
        <v>151</v>
      </c>
      <c r="C194">
        <v>79926.404699999999</v>
      </c>
      <c r="D194">
        <v>78026.146800000002</v>
      </c>
      <c r="E194">
        <v>77865.902700000006</v>
      </c>
      <c r="F194">
        <v>77379.400399999999</v>
      </c>
      <c r="G194">
        <v>76911.718900000007</v>
      </c>
      <c r="H194">
        <v>76511.957800000004</v>
      </c>
      <c r="I194">
        <v>10.839173470694663</v>
      </c>
      <c r="J194">
        <v>10.804482913446142</v>
      </c>
      <c r="K194">
        <v>10.78974728214431</v>
      </c>
      <c r="L194">
        <v>10.777846740454764</v>
      </c>
      <c r="M194">
        <v>10.754110160089045</v>
      </c>
      <c r="N194">
        <v>10.729636873299413</v>
      </c>
      <c r="P194">
        <f t="shared" si="46"/>
        <v>245248.79942083987</v>
      </c>
      <c r="Q194">
        <f t="shared" si="47"/>
        <v>246108.34060338425</v>
      </c>
      <c r="R194">
        <f t="shared" si="48"/>
        <v>245826.51576432926</v>
      </c>
      <c r="S194">
        <f t="shared" si="49"/>
        <v>245956.00181364297</v>
      </c>
      <c r="T194">
        <f t="shared" si="50"/>
        <v>245711.58590267136</v>
      </c>
      <c r="U194">
        <f t="shared" si="51"/>
        <v>245377.14839898239</v>
      </c>
      <c r="V194">
        <f t="shared" si="58"/>
        <v>0</v>
      </c>
      <c r="W194">
        <f t="shared" si="59"/>
        <v>1</v>
      </c>
      <c r="X194">
        <f t="shared" si="60"/>
        <v>0</v>
      </c>
      <c r="Y194">
        <f t="shared" si="61"/>
        <v>0</v>
      </c>
      <c r="Z194">
        <f t="shared" si="62"/>
        <v>0</v>
      </c>
      <c r="AA194">
        <f t="shared" si="63"/>
        <v>0</v>
      </c>
      <c r="AC194">
        <f t="shared" si="52"/>
        <v>245248.79942083987</v>
      </c>
      <c r="AD194">
        <f t="shared" si="53"/>
        <v>246108.34060338425</v>
      </c>
      <c r="AE194">
        <f t="shared" si="54"/>
        <v>245826.51576432926</v>
      </c>
      <c r="AF194">
        <f t="shared" si="55"/>
        <v>245956.00181364297</v>
      </c>
      <c r="AG194">
        <f t="shared" si="56"/>
        <v>245711.58590267136</v>
      </c>
      <c r="AH194">
        <f t="shared" si="57"/>
        <v>245377.14839898239</v>
      </c>
      <c r="AI194">
        <f t="shared" si="64"/>
        <v>246108.34060338425</v>
      </c>
    </row>
    <row r="195" spans="2:35" x14ac:dyDescent="0.3">
      <c r="B195">
        <v>152</v>
      </c>
      <c r="C195">
        <v>82531.643400000001</v>
      </c>
      <c r="D195">
        <v>81801.721900000004</v>
      </c>
      <c r="E195">
        <v>82275.896500000003</v>
      </c>
      <c r="F195">
        <v>82164.395799999998</v>
      </c>
      <c r="G195">
        <v>82449.822199999995</v>
      </c>
      <c r="H195">
        <v>82902.094299999997</v>
      </c>
      <c r="I195">
        <v>10.057997947824354</v>
      </c>
      <c r="J195">
        <v>10.031277568361309</v>
      </c>
      <c r="K195">
        <v>10.02409166440887</v>
      </c>
      <c r="L195">
        <v>10.007021989544475</v>
      </c>
      <c r="M195">
        <v>9.995020523665092</v>
      </c>
      <c r="N195">
        <v>9.974682561463295</v>
      </c>
      <c r="P195">
        <f t="shared" si="46"/>
        <v>219208.29503473063</v>
      </c>
      <c r="Q195">
        <f t="shared" si="47"/>
        <v>219136.60515083926</v>
      </c>
      <c r="R195">
        <f t="shared" si="48"/>
        <v>218446.85343226607</v>
      </c>
      <c r="S195">
        <f t="shared" si="49"/>
        <v>218046.26388633426</v>
      </c>
      <c r="T195">
        <f t="shared" si="50"/>
        <v>217400.79350995278</v>
      </c>
      <c r="U195">
        <f t="shared" si="51"/>
        <v>216338.38254389883</v>
      </c>
      <c r="V195">
        <f t="shared" si="58"/>
        <v>1</v>
      </c>
      <c r="W195">
        <f t="shared" si="59"/>
        <v>0</v>
      </c>
      <c r="X195">
        <f t="shared" si="60"/>
        <v>0</v>
      </c>
      <c r="Y195">
        <f t="shared" si="61"/>
        <v>0</v>
      </c>
      <c r="Z195">
        <f t="shared" si="62"/>
        <v>0</v>
      </c>
      <c r="AA195">
        <f t="shared" si="63"/>
        <v>0</v>
      </c>
      <c r="AC195">
        <f t="shared" si="52"/>
        <v>219208.29503473063</v>
      </c>
      <c r="AD195">
        <f t="shared" si="53"/>
        <v>219136.60515083926</v>
      </c>
      <c r="AE195">
        <f t="shared" si="54"/>
        <v>218446.85343226607</v>
      </c>
      <c r="AF195">
        <f t="shared" si="55"/>
        <v>218046.26388633426</v>
      </c>
      <c r="AG195">
        <f t="shared" si="56"/>
        <v>217400.79350995278</v>
      </c>
      <c r="AH195">
        <f t="shared" si="57"/>
        <v>216338.38254389883</v>
      </c>
      <c r="AI195">
        <f t="shared" si="64"/>
        <v>219208.29503473063</v>
      </c>
    </row>
    <row r="196" spans="2:35" x14ac:dyDescent="0.3">
      <c r="B196">
        <v>153</v>
      </c>
      <c r="C196">
        <v>80351.235000000001</v>
      </c>
      <c r="D196">
        <v>79462.874899999995</v>
      </c>
      <c r="E196">
        <v>79816.138000000006</v>
      </c>
      <c r="F196">
        <v>79618.724100000007</v>
      </c>
      <c r="G196">
        <v>79867.928</v>
      </c>
      <c r="H196">
        <v>80292.98</v>
      </c>
      <c r="I196">
        <v>9.4701744143787288</v>
      </c>
      <c r="J196">
        <v>9.4533496906402252</v>
      </c>
      <c r="K196">
        <v>9.4418146398512679</v>
      </c>
      <c r="L196">
        <v>9.432595192607673</v>
      </c>
      <c r="M196">
        <v>9.4188685424396592</v>
      </c>
      <c r="N196">
        <v>9.405786637757382</v>
      </c>
      <c r="P196">
        <f t="shared" si="46"/>
        <v>203753.99743136187</v>
      </c>
      <c r="Q196">
        <f t="shared" si="47"/>
        <v>204137.61581920675</v>
      </c>
      <c r="R196">
        <f t="shared" si="48"/>
        <v>203438.30119553805</v>
      </c>
      <c r="S196">
        <f t="shared" si="49"/>
        <v>203359.13167823019</v>
      </c>
      <c r="T196">
        <f t="shared" si="50"/>
        <v>202698.12827318977</v>
      </c>
      <c r="U196">
        <f t="shared" si="51"/>
        <v>201880.61913272151</v>
      </c>
      <c r="V196">
        <f t="shared" si="58"/>
        <v>0</v>
      </c>
      <c r="W196">
        <f t="shared" si="59"/>
        <v>1</v>
      </c>
      <c r="X196">
        <f t="shared" si="60"/>
        <v>0</v>
      </c>
      <c r="Y196">
        <f t="shared" si="61"/>
        <v>0</v>
      </c>
      <c r="Z196">
        <f t="shared" si="62"/>
        <v>0</v>
      </c>
      <c r="AA196">
        <f t="shared" si="63"/>
        <v>0</v>
      </c>
      <c r="AC196">
        <f t="shared" si="52"/>
        <v>203753.99743136187</v>
      </c>
      <c r="AD196">
        <f t="shared" si="53"/>
        <v>204137.61581920675</v>
      </c>
      <c r="AE196">
        <f t="shared" si="54"/>
        <v>203438.30119553805</v>
      </c>
      <c r="AF196">
        <f t="shared" si="55"/>
        <v>203359.13167823019</v>
      </c>
      <c r="AG196">
        <f t="shared" si="56"/>
        <v>202698.12827318977</v>
      </c>
      <c r="AH196">
        <f t="shared" si="57"/>
        <v>201880.61913272151</v>
      </c>
      <c r="AI196">
        <f t="shared" si="64"/>
        <v>204137.61581920675</v>
      </c>
    </row>
    <row r="197" spans="2:35" x14ac:dyDescent="0.3">
      <c r="B197">
        <v>154</v>
      </c>
      <c r="C197">
        <v>78785.850200000001</v>
      </c>
      <c r="D197">
        <v>78032.689599999998</v>
      </c>
      <c r="E197">
        <v>78499.882800000007</v>
      </c>
      <c r="F197">
        <v>78525.477799999993</v>
      </c>
      <c r="G197">
        <v>78779.401700000002</v>
      </c>
      <c r="H197">
        <v>79200.437600000005</v>
      </c>
      <c r="I197">
        <v>11.750191415845391</v>
      </c>
      <c r="J197">
        <v>11.717622032240502</v>
      </c>
      <c r="K197">
        <v>11.698046449456841</v>
      </c>
      <c r="L197">
        <v>11.687813848892862</v>
      </c>
      <c r="M197">
        <v>11.669029783279516</v>
      </c>
      <c r="N197">
        <v>11.641056802971633</v>
      </c>
      <c r="P197">
        <f t="shared" si="46"/>
        <v>273719.89227536175</v>
      </c>
      <c r="Q197">
        <f t="shared" si="47"/>
        <v>273495.9713672151</v>
      </c>
      <c r="R197">
        <f t="shared" si="48"/>
        <v>272441.51068370522</v>
      </c>
      <c r="S197">
        <f t="shared" si="49"/>
        <v>272108.93766678585</v>
      </c>
      <c r="T197">
        <f t="shared" si="50"/>
        <v>271291.49179838551</v>
      </c>
      <c r="U197">
        <f t="shared" si="51"/>
        <v>270031.26648914901</v>
      </c>
      <c r="V197">
        <f t="shared" si="58"/>
        <v>1</v>
      </c>
      <c r="W197">
        <f t="shared" si="59"/>
        <v>0</v>
      </c>
      <c r="X197">
        <f t="shared" si="60"/>
        <v>0</v>
      </c>
      <c r="Y197">
        <f t="shared" si="61"/>
        <v>0</v>
      </c>
      <c r="Z197">
        <f t="shared" si="62"/>
        <v>0</v>
      </c>
      <c r="AA197">
        <f t="shared" si="63"/>
        <v>0</v>
      </c>
      <c r="AC197">
        <f t="shared" si="52"/>
        <v>273719.89227536175</v>
      </c>
      <c r="AD197">
        <f t="shared" si="53"/>
        <v>273495.9713672151</v>
      </c>
      <c r="AE197">
        <f t="shared" si="54"/>
        <v>272441.51068370522</v>
      </c>
      <c r="AF197">
        <f t="shared" si="55"/>
        <v>272108.93766678585</v>
      </c>
      <c r="AG197">
        <f t="shared" si="56"/>
        <v>271291.49179838551</v>
      </c>
      <c r="AH197">
        <f t="shared" si="57"/>
        <v>270031.26648914901</v>
      </c>
      <c r="AI197">
        <f t="shared" si="64"/>
        <v>273719.89227536175</v>
      </c>
    </row>
    <row r="198" spans="2:35" x14ac:dyDescent="0.3">
      <c r="B198">
        <v>155</v>
      </c>
      <c r="C198">
        <v>70024.535499999998</v>
      </c>
      <c r="D198">
        <v>69576.616500000004</v>
      </c>
      <c r="E198">
        <v>70392.203800000003</v>
      </c>
      <c r="F198">
        <v>70614.694900000002</v>
      </c>
      <c r="G198">
        <v>71213.300700000007</v>
      </c>
      <c r="H198">
        <v>71825.082999999999</v>
      </c>
      <c r="I198">
        <v>10.693256710583048</v>
      </c>
      <c r="J198">
        <v>10.661793233861861</v>
      </c>
      <c r="K198">
        <v>10.629977188903974</v>
      </c>
      <c r="L198">
        <v>10.61765081033001</v>
      </c>
      <c r="M198">
        <v>10.589827806842974</v>
      </c>
      <c r="N198">
        <v>10.55987200285886</v>
      </c>
      <c r="P198">
        <f t="shared" si="46"/>
        <v>250773.16581749148</v>
      </c>
      <c r="Q198">
        <f t="shared" si="47"/>
        <v>250277.18051585584</v>
      </c>
      <c r="R198">
        <f t="shared" si="48"/>
        <v>248507.11186711921</v>
      </c>
      <c r="S198">
        <f t="shared" si="49"/>
        <v>247914.8294099003</v>
      </c>
      <c r="T198">
        <f t="shared" si="50"/>
        <v>246481.53350528923</v>
      </c>
      <c r="U198">
        <f t="shared" si="51"/>
        <v>244971.07708576584</v>
      </c>
      <c r="V198">
        <f t="shared" si="58"/>
        <v>1</v>
      </c>
      <c r="W198">
        <f t="shared" si="59"/>
        <v>0</v>
      </c>
      <c r="X198">
        <f t="shared" si="60"/>
        <v>0</v>
      </c>
      <c r="Y198">
        <f t="shared" si="61"/>
        <v>0</v>
      </c>
      <c r="Z198">
        <f t="shared" si="62"/>
        <v>0</v>
      </c>
      <c r="AA198">
        <f t="shared" si="63"/>
        <v>0</v>
      </c>
      <c r="AC198">
        <f t="shared" si="52"/>
        <v>250773.16581749148</v>
      </c>
      <c r="AD198">
        <f t="shared" si="53"/>
        <v>250277.18051585584</v>
      </c>
      <c r="AE198">
        <f t="shared" si="54"/>
        <v>248507.11186711921</v>
      </c>
      <c r="AF198">
        <f t="shared" si="55"/>
        <v>247914.8294099003</v>
      </c>
      <c r="AG198">
        <f t="shared" si="56"/>
        <v>246481.53350528923</v>
      </c>
      <c r="AH198">
        <f t="shared" si="57"/>
        <v>244971.07708576584</v>
      </c>
      <c r="AI198">
        <f t="shared" si="64"/>
        <v>250773.16581749148</v>
      </c>
    </row>
    <row r="199" spans="2:35" x14ac:dyDescent="0.3">
      <c r="B199">
        <v>156</v>
      </c>
      <c r="C199">
        <v>65004.4447</v>
      </c>
      <c r="D199">
        <v>64202.843699999998</v>
      </c>
      <c r="E199">
        <v>64429.887000000002</v>
      </c>
      <c r="F199">
        <v>64625.911699999997</v>
      </c>
      <c r="G199">
        <v>64890.335200000001</v>
      </c>
      <c r="H199">
        <v>65122.227099999996</v>
      </c>
      <c r="I199">
        <v>9.3037681590778067</v>
      </c>
      <c r="J199">
        <v>9.2802933363266273</v>
      </c>
      <c r="K199">
        <v>9.2611908467743351</v>
      </c>
      <c r="L199">
        <v>9.2505191316630277</v>
      </c>
      <c r="M199">
        <v>9.2326092072367665</v>
      </c>
      <c r="N199">
        <v>9.2112112258394809</v>
      </c>
      <c r="P199">
        <f t="shared" si="46"/>
        <v>214108.60007233423</v>
      </c>
      <c r="Q199">
        <f t="shared" si="47"/>
        <v>214205.95638979881</v>
      </c>
      <c r="R199">
        <f t="shared" si="48"/>
        <v>213405.83840323007</v>
      </c>
      <c r="S199">
        <f t="shared" si="49"/>
        <v>212889.66224989085</v>
      </c>
      <c r="T199">
        <f t="shared" si="50"/>
        <v>212087.941017103</v>
      </c>
      <c r="U199">
        <f t="shared" si="51"/>
        <v>211214.10967518445</v>
      </c>
      <c r="V199">
        <f t="shared" si="58"/>
        <v>0</v>
      </c>
      <c r="W199">
        <f t="shared" si="59"/>
        <v>1</v>
      </c>
      <c r="X199">
        <f t="shared" si="60"/>
        <v>0</v>
      </c>
      <c r="Y199">
        <f t="shared" si="61"/>
        <v>0</v>
      </c>
      <c r="Z199">
        <f t="shared" si="62"/>
        <v>0</v>
      </c>
      <c r="AA199">
        <f t="shared" si="63"/>
        <v>0</v>
      </c>
      <c r="AC199">
        <f t="shared" si="52"/>
        <v>214108.60007233423</v>
      </c>
      <c r="AD199">
        <f t="shared" si="53"/>
        <v>214205.95638979881</v>
      </c>
      <c r="AE199">
        <f t="shared" si="54"/>
        <v>213405.83840323007</v>
      </c>
      <c r="AF199">
        <f t="shared" si="55"/>
        <v>212889.66224989085</v>
      </c>
      <c r="AG199">
        <f t="shared" si="56"/>
        <v>212087.941017103</v>
      </c>
      <c r="AH199">
        <f t="shared" si="57"/>
        <v>211214.10967518445</v>
      </c>
      <c r="AI199">
        <f t="shared" si="64"/>
        <v>214205.95638979881</v>
      </c>
    </row>
    <row r="200" spans="2:35" x14ac:dyDescent="0.3">
      <c r="B200">
        <v>157</v>
      </c>
      <c r="C200">
        <v>65530.7016</v>
      </c>
      <c r="D200">
        <v>65370.804499999998</v>
      </c>
      <c r="E200">
        <v>66064.903300000005</v>
      </c>
      <c r="F200">
        <v>65986.890199999994</v>
      </c>
      <c r="G200">
        <v>66951.423599999995</v>
      </c>
      <c r="H200">
        <v>67909.9804</v>
      </c>
      <c r="I200">
        <v>10.070812202288355</v>
      </c>
      <c r="J200">
        <v>10.040321182083222</v>
      </c>
      <c r="K200">
        <v>10.021916312816735</v>
      </c>
      <c r="L200">
        <v>10.015770239913412</v>
      </c>
      <c r="M200">
        <v>9.9904348901674087</v>
      </c>
      <c r="N200">
        <v>9.9676148075698254</v>
      </c>
      <c r="P200">
        <f t="shared" si="46"/>
        <v>236593.66446865068</v>
      </c>
      <c r="Q200">
        <f t="shared" si="47"/>
        <v>235838.83096249666</v>
      </c>
      <c r="R200">
        <f t="shared" si="48"/>
        <v>234592.58608450205</v>
      </c>
      <c r="S200">
        <f t="shared" si="49"/>
        <v>234486.21699740234</v>
      </c>
      <c r="T200">
        <f t="shared" si="50"/>
        <v>232761.6231050223</v>
      </c>
      <c r="U200">
        <f t="shared" si="51"/>
        <v>231118.46382709476</v>
      </c>
      <c r="V200">
        <f t="shared" si="58"/>
        <v>1</v>
      </c>
      <c r="W200">
        <f t="shared" si="59"/>
        <v>0</v>
      </c>
      <c r="X200">
        <f t="shared" si="60"/>
        <v>0</v>
      </c>
      <c r="Y200">
        <f t="shared" si="61"/>
        <v>0</v>
      </c>
      <c r="Z200">
        <f t="shared" si="62"/>
        <v>0</v>
      </c>
      <c r="AA200">
        <f t="shared" si="63"/>
        <v>0</v>
      </c>
      <c r="AC200">
        <f t="shared" si="52"/>
        <v>236593.66446865068</v>
      </c>
      <c r="AD200">
        <f t="shared" si="53"/>
        <v>235838.83096249666</v>
      </c>
      <c r="AE200">
        <f t="shared" si="54"/>
        <v>234592.58608450205</v>
      </c>
      <c r="AF200">
        <f t="shared" si="55"/>
        <v>234486.21699740234</v>
      </c>
      <c r="AG200">
        <f t="shared" si="56"/>
        <v>232761.6231050223</v>
      </c>
      <c r="AH200">
        <f t="shared" si="57"/>
        <v>231118.46382709476</v>
      </c>
      <c r="AI200">
        <f t="shared" si="64"/>
        <v>236593.66446865068</v>
      </c>
    </row>
    <row r="201" spans="2:35" x14ac:dyDescent="0.3">
      <c r="B201">
        <v>158</v>
      </c>
      <c r="C201">
        <v>80583.356</v>
      </c>
      <c r="D201">
        <v>78888.670800000007</v>
      </c>
      <c r="E201">
        <v>78483.930399999997</v>
      </c>
      <c r="F201">
        <v>78046.208700000003</v>
      </c>
      <c r="G201">
        <v>77655.3416</v>
      </c>
      <c r="H201">
        <v>77291.048800000004</v>
      </c>
      <c r="I201">
        <v>10.155001054611212</v>
      </c>
      <c r="J201">
        <v>10.119198959352447</v>
      </c>
      <c r="K201">
        <v>10.09329285023043</v>
      </c>
      <c r="L201">
        <v>10.078593621956877</v>
      </c>
      <c r="M201">
        <v>10.053054461348973</v>
      </c>
      <c r="N201">
        <v>10.027052112071194</v>
      </c>
      <c r="P201">
        <f t="shared" si="46"/>
        <v>224066.67563833637</v>
      </c>
      <c r="Q201">
        <f t="shared" si="47"/>
        <v>224687.29798057338</v>
      </c>
      <c r="R201">
        <f t="shared" si="48"/>
        <v>224314.8551069129</v>
      </c>
      <c r="S201">
        <f t="shared" si="49"/>
        <v>224311.5999587063</v>
      </c>
      <c r="T201">
        <f t="shared" si="50"/>
        <v>223936.29224046919</v>
      </c>
      <c r="U201">
        <f t="shared" si="51"/>
        <v>223520.51456213585</v>
      </c>
      <c r="V201">
        <f t="shared" si="58"/>
        <v>0</v>
      </c>
      <c r="W201">
        <f t="shared" si="59"/>
        <v>1</v>
      </c>
      <c r="X201">
        <f t="shared" si="60"/>
        <v>0</v>
      </c>
      <c r="Y201">
        <f t="shared" si="61"/>
        <v>0</v>
      </c>
      <c r="Z201">
        <f t="shared" si="62"/>
        <v>0</v>
      </c>
      <c r="AA201">
        <f t="shared" si="63"/>
        <v>0</v>
      </c>
      <c r="AC201">
        <f t="shared" si="52"/>
        <v>224066.67563833637</v>
      </c>
      <c r="AD201">
        <f t="shared" si="53"/>
        <v>224687.29798057338</v>
      </c>
      <c r="AE201">
        <f t="shared" si="54"/>
        <v>224314.8551069129</v>
      </c>
      <c r="AF201">
        <f t="shared" si="55"/>
        <v>224311.5999587063</v>
      </c>
      <c r="AG201">
        <f t="shared" si="56"/>
        <v>223936.29224046919</v>
      </c>
      <c r="AH201">
        <f t="shared" si="57"/>
        <v>223520.51456213585</v>
      </c>
      <c r="AI201">
        <f t="shared" si="64"/>
        <v>224687.29798057338</v>
      </c>
    </row>
    <row r="202" spans="2:35" x14ac:dyDescent="0.3">
      <c r="B202">
        <v>159</v>
      </c>
      <c r="C202">
        <v>72473.498900000006</v>
      </c>
      <c r="D202">
        <v>71795.291599999997</v>
      </c>
      <c r="E202">
        <v>72062.329100000003</v>
      </c>
      <c r="F202">
        <v>72027.445800000001</v>
      </c>
      <c r="G202">
        <v>72504.720400000006</v>
      </c>
      <c r="H202">
        <v>73048.198900000003</v>
      </c>
      <c r="I202">
        <v>8.1704146329529426</v>
      </c>
      <c r="J202">
        <v>8.1634018449994876</v>
      </c>
      <c r="K202">
        <v>8.1571402921594256</v>
      </c>
      <c r="L202">
        <v>8.1547037334239718</v>
      </c>
      <c r="M202">
        <v>8.1477696999412821</v>
      </c>
      <c r="N202">
        <v>8.1428081492682534</v>
      </c>
      <c r="P202">
        <f t="shared" si="46"/>
        <v>172638.94008858828</v>
      </c>
      <c r="Q202">
        <f t="shared" si="47"/>
        <v>173106.76374998465</v>
      </c>
      <c r="R202">
        <f t="shared" si="48"/>
        <v>172651.87966478275</v>
      </c>
      <c r="S202">
        <f t="shared" si="49"/>
        <v>172613.66620271915</v>
      </c>
      <c r="T202">
        <f t="shared" si="50"/>
        <v>171928.37059823849</v>
      </c>
      <c r="U202">
        <f t="shared" si="51"/>
        <v>171236.04557804757</v>
      </c>
      <c r="V202">
        <f t="shared" si="58"/>
        <v>0</v>
      </c>
      <c r="W202">
        <f t="shared" si="59"/>
        <v>1</v>
      </c>
      <c r="X202">
        <f t="shared" si="60"/>
        <v>0</v>
      </c>
      <c r="Y202">
        <f t="shared" si="61"/>
        <v>0</v>
      </c>
      <c r="Z202">
        <f t="shared" si="62"/>
        <v>0</v>
      </c>
      <c r="AA202">
        <f t="shared" si="63"/>
        <v>0</v>
      </c>
      <c r="AC202">
        <f t="shared" si="52"/>
        <v>172638.94008858828</v>
      </c>
      <c r="AD202">
        <f t="shared" si="53"/>
        <v>173106.76374998465</v>
      </c>
      <c r="AE202">
        <f t="shared" si="54"/>
        <v>172651.87966478275</v>
      </c>
      <c r="AF202">
        <f t="shared" si="55"/>
        <v>172613.66620271915</v>
      </c>
      <c r="AG202">
        <f t="shared" si="56"/>
        <v>171928.37059823849</v>
      </c>
      <c r="AH202">
        <f t="shared" si="57"/>
        <v>171236.04557804757</v>
      </c>
      <c r="AI202">
        <f t="shared" si="64"/>
        <v>173106.76374998465</v>
      </c>
    </row>
    <row r="203" spans="2:35" x14ac:dyDescent="0.3">
      <c r="B203">
        <v>160</v>
      </c>
      <c r="C203">
        <v>66056.364700000006</v>
      </c>
      <c r="D203">
        <v>64960.965100000001</v>
      </c>
      <c r="E203">
        <v>65110.374100000001</v>
      </c>
      <c r="F203">
        <v>64896.024299999997</v>
      </c>
      <c r="G203">
        <v>65118.078699999998</v>
      </c>
      <c r="H203">
        <v>65248.26</v>
      </c>
      <c r="I203">
        <v>10.783035512723714</v>
      </c>
      <c r="J203">
        <v>10.762822454696412</v>
      </c>
      <c r="K203">
        <v>10.753660123420078</v>
      </c>
      <c r="L203">
        <v>10.742193913085892</v>
      </c>
      <c r="M203">
        <v>10.733900372984364</v>
      </c>
      <c r="N203">
        <v>10.71718593479914</v>
      </c>
      <c r="P203">
        <f t="shared" si="46"/>
        <v>257434.7006817114</v>
      </c>
      <c r="Q203">
        <f t="shared" si="47"/>
        <v>257923.70854089237</v>
      </c>
      <c r="R203">
        <f t="shared" si="48"/>
        <v>257499.42960260232</v>
      </c>
      <c r="S203">
        <f t="shared" si="49"/>
        <v>257369.79309257679</v>
      </c>
      <c r="T203">
        <f t="shared" si="50"/>
        <v>256898.93248953088</v>
      </c>
      <c r="U203">
        <f t="shared" si="51"/>
        <v>256267.31804397417</v>
      </c>
      <c r="V203">
        <f t="shared" si="58"/>
        <v>0</v>
      </c>
      <c r="W203">
        <f t="shared" si="59"/>
        <v>1</v>
      </c>
      <c r="X203">
        <f t="shared" si="60"/>
        <v>0</v>
      </c>
      <c r="Y203">
        <f t="shared" si="61"/>
        <v>0</v>
      </c>
      <c r="Z203">
        <f t="shared" si="62"/>
        <v>0</v>
      </c>
      <c r="AA203">
        <f t="shared" si="63"/>
        <v>0</v>
      </c>
      <c r="AC203">
        <f t="shared" si="52"/>
        <v>257434.7006817114</v>
      </c>
      <c r="AD203">
        <f t="shared" si="53"/>
        <v>257923.70854089237</v>
      </c>
      <c r="AE203">
        <f t="shared" si="54"/>
        <v>257499.42960260232</v>
      </c>
      <c r="AF203">
        <f t="shared" si="55"/>
        <v>257369.79309257679</v>
      </c>
      <c r="AG203">
        <f t="shared" si="56"/>
        <v>256898.93248953088</v>
      </c>
      <c r="AH203">
        <f t="shared" si="57"/>
        <v>256267.31804397417</v>
      </c>
      <c r="AI203">
        <f t="shared" si="64"/>
        <v>257923.70854089237</v>
      </c>
    </row>
    <row r="204" spans="2:35" x14ac:dyDescent="0.3">
      <c r="B204">
        <v>161</v>
      </c>
      <c r="C204">
        <v>77353.862899999993</v>
      </c>
      <c r="D204">
        <v>75728.061100000006</v>
      </c>
      <c r="E204">
        <v>75513.020300000004</v>
      </c>
      <c r="F204">
        <v>75127.996100000004</v>
      </c>
      <c r="G204">
        <v>75042.684599999993</v>
      </c>
      <c r="H204">
        <v>74475.542300000001</v>
      </c>
      <c r="I204">
        <v>9.951249331432436</v>
      </c>
      <c r="J204">
        <v>9.9276336900074291</v>
      </c>
      <c r="K204">
        <v>9.9055686532987561</v>
      </c>
      <c r="L204">
        <v>9.8955082191445047</v>
      </c>
      <c r="M204">
        <v>9.8775539327202893</v>
      </c>
      <c r="N204">
        <v>9.8478693306942677</v>
      </c>
      <c r="P204">
        <f t="shared" si="46"/>
        <v>221183.61704297306</v>
      </c>
      <c r="Q204">
        <f t="shared" si="47"/>
        <v>222100.94960022287</v>
      </c>
      <c r="R204">
        <f t="shared" si="48"/>
        <v>221654.03929896266</v>
      </c>
      <c r="S204">
        <f t="shared" si="49"/>
        <v>221737.25047433516</v>
      </c>
      <c r="T204">
        <f t="shared" si="50"/>
        <v>221283.93338160869</v>
      </c>
      <c r="U204">
        <f t="shared" si="51"/>
        <v>220960.53762082805</v>
      </c>
      <c r="V204">
        <f t="shared" si="58"/>
        <v>0</v>
      </c>
      <c r="W204">
        <f t="shared" si="59"/>
        <v>1</v>
      </c>
      <c r="X204">
        <f t="shared" si="60"/>
        <v>0</v>
      </c>
      <c r="Y204">
        <f t="shared" si="61"/>
        <v>0</v>
      </c>
      <c r="Z204">
        <f t="shared" si="62"/>
        <v>0</v>
      </c>
      <c r="AA204">
        <f t="shared" si="63"/>
        <v>0</v>
      </c>
      <c r="AC204">
        <f t="shared" si="52"/>
        <v>221183.61704297306</v>
      </c>
      <c r="AD204">
        <f t="shared" si="53"/>
        <v>222100.94960022287</v>
      </c>
      <c r="AE204">
        <f t="shared" si="54"/>
        <v>221654.03929896266</v>
      </c>
      <c r="AF204">
        <f t="shared" si="55"/>
        <v>221737.25047433516</v>
      </c>
      <c r="AG204">
        <f t="shared" si="56"/>
        <v>221283.93338160869</v>
      </c>
      <c r="AH204">
        <f t="shared" si="57"/>
        <v>220960.53762082805</v>
      </c>
      <c r="AI204">
        <f t="shared" si="64"/>
        <v>222100.94960022287</v>
      </c>
    </row>
    <row r="205" spans="2:35" x14ac:dyDescent="0.3">
      <c r="B205">
        <v>162</v>
      </c>
      <c r="C205">
        <v>77305.4568</v>
      </c>
      <c r="D205">
        <v>76750.473199999993</v>
      </c>
      <c r="E205">
        <v>77675.642000000007</v>
      </c>
      <c r="F205">
        <v>77491.590800000005</v>
      </c>
      <c r="G205">
        <v>78303.134600000005</v>
      </c>
      <c r="H205">
        <v>78836.143299999996</v>
      </c>
      <c r="I205">
        <v>9.9052728674970254</v>
      </c>
      <c r="J205">
        <v>9.8795645024614842</v>
      </c>
      <c r="K205">
        <v>9.8584159272276537</v>
      </c>
      <c r="L205">
        <v>9.8461162219964677</v>
      </c>
      <c r="M205">
        <v>9.8279149379957449</v>
      </c>
      <c r="N205">
        <v>9.8036892823327761</v>
      </c>
      <c r="P205">
        <f t="shared" si="46"/>
        <v>219852.72922491078</v>
      </c>
      <c r="Q205">
        <f t="shared" si="47"/>
        <v>219636.4618738445</v>
      </c>
      <c r="R205">
        <f t="shared" si="48"/>
        <v>218076.83581682964</v>
      </c>
      <c r="S205">
        <f t="shared" si="49"/>
        <v>217891.89585989405</v>
      </c>
      <c r="T205">
        <f t="shared" si="50"/>
        <v>216534.31353987235</v>
      </c>
      <c r="U205">
        <f t="shared" si="51"/>
        <v>215274.53516998328</v>
      </c>
      <c r="V205">
        <f t="shared" si="58"/>
        <v>1</v>
      </c>
      <c r="W205">
        <f t="shared" si="59"/>
        <v>0</v>
      </c>
      <c r="X205">
        <f t="shared" si="60"/>
        <v>0</v>
      </c>
      <c r="Y205">
        <f t="shared" si="61"/>
        <v>0</v>
      </c>
      <c r="Z205">
        <f t="shared" si="62"/>
        <v>0</v>
      </c>
      <c r="AA205">
        <f t="shared" si="63"/>
        <v>0</v>
      </c>
      <c r="AC205">
        <f t="shared" si="52"/>
        <v>219852.72922491078</v>
      </c>
      <c r="AD205">
        <f t="shared" si="53"/>
        <v>219636.4618738445</v>
      </c>
      <c r="AE205">
        <f t="shared" si="54"/>
        <v>218076.83581682964</v>
      </c>
      <c r="AF205">
        <f t="shared" si="55"/>
        <v>217891.89585989405</v>
      </c>
      <c r="AG205">
        <f t="shared" si="56"/>
        <v>216534.31353987235</v>
      </c>
      <c r="AH205">
        <f t="shared" si="57"/>
        <v>215274.53516998328</v>
      </c>
      <c r="AI205">
        <f t="shared" si="64"/>
        <v>219852.72922491078</v>
      </c>
    </row>
    <row r="206" spans="2:35" x14ac:dyDescent="0.3">
      <c r="B206">
        <v>163</v>
      </c>
      <c r="C206">
        <v>88960.224799999996</v>
      </c>
      <c r="D206">
        <v>87273.806299999997</v>
      </c>
      <c r="E206">
        <v>86963.924100000004</v>
      </c>
      <c r="F206">
        <v>86721.792400000006</v>
      </c>
      <c r="G206">
        <v>86132.483399999997</v>
      </c>
      <c r="H206">
        <v>86028.632199999993</v>
      </c>
      <c r="I206">
        <v>10.245068942493502</v>
      </c>
      <c r="J206">
        <v>10.213526576789686</v>
      </c>
      <c r="K206">
        <v>10.19486310381942</v>
      </c>
      <c r="L206">
        <v>10.186055607618174</v>
      </c>
      <c r="M206">
        <v>10.155493371317592</v>
      </c>
      <c r="N206">
        <v>10.134729932002394</v>
      </c>
      <c r="P206">
        <f t="shared" si="46"/>
        <v>218391.84347480503</v>
      </c>
      <c r="Q206">
        <f t="shared" si="47"/>
        <v>219131.99100369058</v>
      </c>
      <c r="R206">
        <f t="shared" si="48"/>
        <v>218881.96901458263</v>
      </c>
      <c r="S206">
        <f t="shared" si="49"/>
        <v>218859.87582854522</v>
      </c>
      <c r="T206">
        <f t="shared" si="50"/>
        <v>218532.31773952776</v>
      </c>
      <c r="U206">
        <f t="shared" si="51"/>
        <v>218013.26576007181</v>
      </c>
      <c r="V206">
        <f t="shared" si="58"/>
        <v>0</v>
      </c>
      <c r="W206">
        <f t="shared" si="59"/>
        <v>1</v>
      </c>
      <c r="X206">
        <f t="shared" si="60"/>
        <v>0</v>
      </c>
      <c r="Y206">
        <f t="shared" si="61"/>
        <v>0</v>
      </c>
      <c r="Z206">
        <f t="shared" si="62"/>
        <v>0</v>
      </c>
      <c r="AA206">
        <f t="shared" si="63"/>
        <v>0</v>
      </c>
      <c r="AC206">
        <f t="shared" si="52"/>
        <v>218391.84347480503</v>
      </c>
      <c r="AD206">
        <f t="shared" si="53"/>
        <v>219131.99100369058</v>
      </c>
      <c r="AE206">
        <f t="shared" si="54"/>
        <v>218881.96901458263</v>
      </c>
      <c r="AF206">
        <f t="shared" si="55"/>
        <v>218859.87582854522</v>
      </c>
      <c r="AG206">
        <f t="shared" si="56"/>
        <v>218532.31773952776</v>
      </c>
      <c r="AH206">
        <f t="shared" si="57"/>
        <v>218013.26576007181</v>
      </c>
      <c r="AI206">
        <f t="shared" si="64"/>
        <v>219131.99100369058</v>
      </c>
    </row>
    <row r="207" spans="2:35" x14ac:dyDescent="0.3">
      <c r="B207">
        <v>164</v>
      </c>
      <c r="C207">
        <v>80102.884000000005</v>
      </c>
      <c r="D207">
        <v>80105.195000000007</v>
      </c>
      <c r="E207">
        <v>80950.9758</v>
      </c>
      <c r="F207">
        <v>81132.3223</v>
      </c>
      <c r="G207">
        <v>82172.857600000003</v>
      </c>
      <c r="H207">
        <v>83135.121100000004</v>
      </c>
      <c r="I207">
        <v>10.047911219648805</v>
      </c>
      <c r="J207">
        <v>10.007116072389385</v>
      </c>
      <c r="K207">
        <v>9.9817061454791851</v>
      </c>
      <c r="L207">
        <v>9.9676606974446837</v>
      </c>
      <c r="M207">
        <v>9.9350025992114315</v>
      </c>
      <c r="N207">
        <v>9.8965002255915273</v>
      </c>
      <c r="P207">
        <f t="shared" si="46"/>
        <v>221334.45258946414</v>
      </c>
      <c r="Q207">
        <f t="shared" si="47"/>
        <v>220108.28717168153</v>
      </c>
      <c r="R207">
        <f t="shared" si="48"/>
        <v>218500.20856437553</v>
      </c>
      <c r="S207">
        <f t="shared" si="49"/>
        <v>217897.49862334051</v>
      </c>
      <c r="T207">
        <f t="shared" si="50"/>
        <v>215877.22037634294</v>
      </c>
      <c r="U207">
        <f t="shared" si="51"/>
        <v>213759.88566774584</v>
      </c>
      <c r="V207">
        <f t="shared" si="58"/>
        <v>1</v>
      </c>
      <c r="W207">
        <f t="shared" si="59"/>
        <v>0</v>
      </c>
      <c r="X207">
        <f t="shared" si="60"/>
        <v>0</v>
      </c>
      <c r="Y207">
        <f t="shared" si="61"/>
        <v>0</v>
      </c>
      <c r="Z207">
        <f t="shared" si="62"/>
        <v>0</v>
      </c>
      <c r="AA207">
        <f t="shared" si="63"/>
        <v>0</v>
      </c>
      <c r="AC207">
        <f t="shared" si="52"/>
        <v>221334.45258946414</v>
      </c>
      <c r="AD207">
        <f t="shared" si="53"/>
        <v>220108.28717168153</v>
      </c>
      <c r="AE207">
        <f t="shared" si="54"/>
        <v>218500.20856437553</v>
      </c>
      <c r="AF207">
        <f t="shared" si="55"/>
        <v>217897.49862334051</v>
      </c>
      <c r="AG207">
        <f t="shared" si="56"/>
        <v>215877.22037634294</v>
      </c>
      <c r="AH207">
        <f t="shared" si="57"/>
        <v>213759.88566774584</v>
      </c>
      <c r="AI207">
        <f t="shared" si="64"/>
        <v>221334.45258946414</v>
      </c>
    </row>
    <row r="208" spans="2:35" x14ac:dyDescent="0.3">
      <c r="B208">
        <v>165</v>
      </c>
      <c r="C208">
        <v>79828.340500000006</v>
      </c>
      <c r="D208">
        <v>78897.097500000003</v>
      </c>
      <c r="E208">
        <v>79162.660099999994</v>
      </c>
      <c r="F208">
        <v>79136.954400000002</v>
      </c>
      <c r="G208">
        <v>79421.715500000006</v>
      </c>
      <c r="H208">
        <v>79695.616299999994</v>
      </c>
      <c r="I208">
        <v>10.061390969152999</v>
      </c>
      <c r="J208">
        <v>10.038273952203189</v>
      </c>
      <c r="K208">
        <v>10.017456069127411</v>
      </c>
      <c r="L208">
        <v>10.008626170575855</v>
      </c>
      <c r="M208">
        <v>9.9945906373506013</v>
      </c>
      <c r="N208">
        <v>9.9704751771962759</v>
      </c>
      <c r="P208">
        <f t="shared" si="46"/>
        <v>222013.38857458998</v>
      </c>
      <c r="Q208">
        <f t="shared" si="47"/>
        <v>222251.12106609569</v>
      </c>
      <c r="R208">
        <f t="shared" si="48"/>
        <v>221361.02197382232</v>
      </c>
      <c r="S208">
        <f t="shared" si="49"/>
        <v>221121.83071727568</v>
      </c>
      <c r="T208">
        <f t="shared" si="50"/>
        <v>220416.00362051802</v>
      </c>
      <c r="U208">
        <f t="shared" si="51"/>
        <v>219418.63901588827</v>
      </c>
      <c r="V208">
        <f t="shared" si="58"/>
        <v>0</v>
      </c>
      <c r="W208">
        <f t="shared" si="59"/>
        <v>1</v>
      </c>
      <c r="X208">
        <f t="shared" si="60"/>
        <v>0</v>
      </c>
      <c r="Y208">
        <f t="shared" si="61"/>
        <v>0</v>
      </c>
      <c r="Z208">
        <f t="shared" si="62"/>
        <v>0</v>
      </c>
      <c r="AA208">
        <f t="shared" si="63"/>
        <v>0</v>
      </c>
      <c r="AC208">
        <f t="shared" si="52"/>
        <v>222013.38857458998</v>
      </c>
      <c r="AD208">
        <f t="shared" si="53"/>
        <v>222251.12106609569</v>
      </c>
      <c r="AE208">
        <f t="shared" si="54"/>
        <v>221361.02197382232</v>
      </c>
      <c r="AF208">
        <f t="shared" si="55"/>
        <v>221121.83071727568</v>
      </c>
      <c r="AG208">
        <f t="shared" si="56"/>
        <v>220416.00362051802</v>
      </c>
      <c r="AH208">
        <f t="shared" si="57"/>
        <v>219418.63901588827</v>
      </c>
      <c r="AI208">
        <f t="shared" si="64"/>
        <v>222251.12106609569</v>
      </c>
    </row>
    <row r="209" spans="2:35" x14ac:dyDescent="0.3">
      <c r="B209">
        <v>166</v>
      </c>
      <c r="C209">
        <v>86629.489199999996</v>
      </c>
      <c r="D209">
        <v>85887.715700000001</v>
      </c>
      <c r="E209">
        <v>86019.71</v>
      </c>
      <c r="F209">
        <v>86045.666700000002</v>
      </c>
      <c r="G209">
        <v>86476.191500000001</v>
      </c>
      <c r="H209">
        <v>86648.544899999994</v>
      </c>
      <c r="I209">
        <v>8.2668168817006311</v>
      </c>
      <c r="J209">
        <v>8.2365920175615663</v>
      </c>
      <c r="K209">
        <v>8.2229278783223236</v>
      </c>
      <c r="L209">
        <v>8.2109130741363163</v>
      </c>
      <c r="M209">
        <v>8.1968194973461976</v>
      </c>
      <c r="N209">
        <v>8.1758419495244059</v>
      </c>
      <c r="P209">
        <f t="shared" si="46"/>
        <v>161375.01725101896</v>
      </c>
      <c r="Q209">
        <f t="shared" si="47"/>
        <v>161210.04482684698</v>
      </c>
      <c r="R209">
        <f t="shared" si="48"/>
        <v>160668.12634966971</v>
      </c>
      <c r="S209">
        <f t="shared" si="49"/>
        <v>160281.72552408947</v>
      </c>
      <c r="T209">
        <f t="shared" si="50"/>
        <v>159428.39342038595</v>
      </c>
      <c r="U209">
        <f t="shared" si="51"/>
        <v>158626.71358573216</v>
      </c>
      <c r="V209">
        <f t="shared" si="58"/>
        <v>1</v>
      </c>
      <c r="W209">
        <f t="shared" si="59"/>
        <v>0</v>
      </c>
      <c r="X209">
        <f t="shared" si="60"/>
        <v>0</v>
      </c>
      <c r="Y209">
        <f t="shared" si="61"/>
        <v>0</v>
      </c>
      <c r="Z209">
        <f t="shared" si="62"/>
        <v>0</v>
      </c>
      <c r="AA209">
        <f t="shared" si="63"/>
        <v>0</v>
      </c>
      <c r="AC209">
        <f t="shared" si="52"/>
        <v>161375.01725101896</v>
      </c>
      <c r="AD209">
        <f t="shared" si="53"/>
        <v>161210.04482684698</v>
      </c>
      <c r="AE209">
        <f t="shared" si="54"/>
        <v>160668.12634966971</v>
      </c>
      <c r="AF209">
        <f t="shared" si="55"/>
        <v>160281.72552408947</v>
      </c>
      <c r="AG209">
        <f t="shared" si="56"/>
        <v>159428.39342038595</v>
      </c>
      <c r="AH209">
        <f t="shared" si="57"/>
        <v>158626.71358573216</v>
      </c>
      <c r="AI209">
        <f t="shared" si="64"/>
        <v>161375.01725101896</v>
      </c>
    </row>
    <row r="210" spans="2:35" x14ac:dyDescent="0.3">
      <c r="B210">
        <v>167</v>
      </c>
      <c r="C210">
        <v>82769.548999999999</v>
      </c>
      <c r="D210">
        <v>81490.287700000001</v>
      </c>
      <c r="E210">
        <v>81584.566300000006</v>
      </c>
      <c r="F210">
        <v>81395.9761</v>
      </c>
      <c r="G210">
        <v>81249.722500000003</v>
      </c>
      <c r="H210">
        <v>81422.946599999996</v>
      </c>
      <c r="I210">
        <v>10.285674938468489</v>
      </c>
      <c r="J210">
        <v>10.264582655154161</v>
      </c>
      <c r="K210">
        <v>10.247527617984151</v>
      </c>
      <c r="L210">
        <v>10.237452155808088</v>
      </c>
      <c r="M210">
        <v>10.225731402707201</v>
      </c>
      <c r="N210">
        <v>10.21089796904154</v>
      </c>
      <c r="P210">
        <f t="shared" si="46"/>
        <v>225800.69915405469</v>
      </c>
      <c r="Q210">
        <f t="shared" si="47"/>
        <v>226447.19195462484</v>
      </c>
      <c r="R210">
        <f t="shared" si="48"/>
        <v>225841.26223952451</v>
      </c>
      <c r="S210">
        <f t="shared" si="49"/>
        <v>225727.58857424263</v>
      </c>
      <c r="T210">
        <f t="shared" si="50"/>
        <v>225522.21958121602</v>
      </c>
      <c r="U210">
        <f t="shared" si="51"/>
        <v>224903.99247124619</v>
      </c>
      <c r="V210">
        <f t="shared" si="58"/>
        <v>0</v>
      </c>
      <c r="W210">
        <f t="shared" si="59"/>
        <v>1</v>
      </c>
      <c r="X210">
        <f t="shared" si="60"/>
        <v>0</v>
      </c>
      <c r="Y210">
        <f t="shared" si="61"/>
        <v>0</v>
      </c>
      <c r="Z210">
        <f t="shared" si="62"/>
        <v>0</v>
      </c>
      <c r="AA210">
        <f t="shared" si="63"/>
        <v>0</v>
      </c>
      <c r="AC210">
        <f t="shared" si="52"/>
        <v>225800.69915405469</v>
      </c>
      <c r="AD210">
        <f t="shared" si="53"/>
        <v>226447.19195462484</v>
      </c>
      <c r="AE210">
        <f t="shared" si="54"/>
        <v>225841.26223952451</v>
      </c>
      <c r="AF210">
        <f t="shared" si="55"/>
        <v>225727.58857424263</v>
      </c>
      <c r="AG210">
        <f t="shared" si="56"/>
        <v>225522.21958121602</v>
      </c>
      <c r="AH210">
        <f t="shared" si="57"/>
        <v>224903.99247124619</v>
      </c>
      <c r="AI210">
        <f t="shared" si="64"/>
        <v>226447.19195462484</v>
      </c>
    </row>
    <row r="211" spans="2:35" x14ac:dyDescent="0.3">
      <c r="B211">
        <v>168</v>
      </c>
      <c r="C211">
        <v>80313.515799999994</v>
      </c>
      <c r="D211">
        <v>80252.699200000003</v>
      </c>
      <c r="E211">
        <v>81300.873500000002</v>
      </c>
      <c r="F211">
        <v>81016.971799999999</v>
      </c>
      <c r="G211">
        <v>82056.647200000007</v>
      </c>
      <c r="H211">
        <v>82818.323600000003</v>
      </c>
      <c r="I211">
        <v>10.290079685616723</v>
      </c>
      <c r="J211">
        <v>10.261941354831876</v>
      </c>
      <c r="K211">
        <v>10.241193620234808</v>
      </c>
      <c r="L211">
        <v>10.240064262897157</v>
      </c>
      <c r="M211">
        <v>10.220144522662082</v>
      </c>
      <c r="N211">
        <v>10.198958716156721</v>
      </c>
      <c r="P211">
        <f t="shared" si="46"/>
        <v>228388.87476850167</v>
      </c>
      <c r="Q211">
        <f t="shared" si="47"/>
        <v>227605.5414449563</v>
      </c>
      <c r="R211">
        <f t="shared" si="48"/>
        <v>225934.93510704429</v>
      </c>
      <c r="S211">
        <f t="shared" si="49"/>
        <v>226184.9560869147</v>
      </c>
      <c r="T211">
        <f t="shared" si="50"/>
        <v>224547.68847986247</v>
      </c>
      <c r="U211">
        <f t="shared" si="51"/>
        <v>223150.43788470165</v>
      </c>
      <c r="V211">
        <f t="shared" si="58"/>
        <v>1</v>
      </c>
      <c r="W211">
        <f t="shared" si="59"/>
        <v>0</v>
      </c>
      <c r="X211">
        <f t="shared" si="60"/>
        <v>0</v>
      </c>
      <c r="Y211">
        <f t="shared" si="61"/>
        <v>0</v>
      </c>
      <c r="Z211">
        <f t="shared" si="62"/>
        <v>0</v>
      </c>
      <c r="AA211">
        <f t="shared" si="63"/>
        <v>0</v>
      </c>
      <c r="AC211">
        <f t="shared" si="52"/>
        <v>228388.87476850167</v>
      </c>
      <c r="AD211">
        <f t="shared" si="53"/>
        <v>227605.5414449563</v>
      </c>
      <c r="AE211">
        <f t="shared" si="54"/>
        <v>225934.93510704429</v>
      </c>
      <c r="AF211">
        <f t="shared" si="55"/>
        <v>226184.9560869147</v>
      </c>
      <c r="AG211">
        <f t="shared" si="56"/>
        <v>224547.68847986247</v>
      </c>
      <c r="AH211">
        <f t="shared" si="57"/>
        <v>223150.43788470165</v>
      </c>
      <c r="AI211">
        <f t="shared" si="64"/>
        <v>228388.87476850167</v>
      </c>
    </row>
    <row r="212" spans="2:35" x14ac:dyDescent="0.3">
      <c r="B212">
        <v>169</v>
      </c>
      <c r="C212">
        <v>79701.541400000002</v>
      </c>
      <c r="D212">
        <v>78621.535499999998</v>
      </c>
      <c r="E212">
        <v>78891.379000000001</v>
      </c>
      <c r="F212">
        <v>78736.422099999996</v>
      </c>
      <c r="G212">
        <v>78979.127200000003</v>
      </c>
      <c r="H212">
        <v>78971.551000000007</v>
      </c>
      <c r="I212">
        <v>9.5839186857506782</v>
      </c>
      <c r="J212">
        <v>9.5473956869188967</v>
      </c>
      <c r="K212">
        <v>9.5292745037057589</v>
      </c>
      <c r="L212">
        <v>9.5127034680132443</v>
      </c>
      <c r="M212">
        <v>9.4874271995158708</v>
      </c>
      <c r="N212">
        <v>9.4553793964597741</v>
      </c>
      <c r="P212">
        <f t="shared" si="46"/>
        <v>207816.01917252038</v>
      </c>
      <c r="Q212">
        <f t="shared" si="47"/>
        <v>207800.33510756691</v>
      </c>
      <c r="R212">
        <f t="shared" si="48"/>
        <v>206986.85611117276</v>
      </c>
      <c r="S212">
        <f t="shared" si="49"/>
        <v>206644.68194039733</v>
      </c>
      <c r="T212">
        <f t="shared" si="50"/>
        <v>205643.68878547614</v>
      </c>
      <c r="U212">
        <f t="shared" si="51"/>
        <v>204689.83089379323</v>
      </c>
      <c r="V212">
        <f t="shared" si="58"/>
        <v>1</v>
      </c>
      <c r="W212">
        <f t="shared" si="59"/>
        <v>0</v>
      </c>
      <c r="X212">
        <f t="shared" si="60"/>
        <v>0</v>
      </c>
      <c r="Y212">
        <f t="shared" si="61"/>
        <v>0</v>
      </c>
      <c r="Z212">
        <f t="shared" si="62"/>
        <v>0</v>
      </c>
      <c r="AA212">
        <f t="shared" si="63"/>
        <v>0</v>
      </c>
      <c r="AC212">
        <f t="shared" si="52"/>
        <v>207816.01917252038</v>
      </c>
      <c r="AD212">
        <f t="shared" si="53"/>
        <v>207800.33510756691</v>
      </c>
      <c r="AE212">
        <f t="shared" si="54"/>
        <v>206986.85611117276</v>
      </c>
      <c r="AF212">
        <f t="shared" si="55"/>
        <v>206644.68194039733</v>
      </c>
      <c r="AG212">
        <f t="shared" si="56"/>
        <v>205643.68878547614</v>
      </c>
      <c r="AH212">
        <f t="shared" si="57"/>
        <v>204689.83089379323</v>
      </c>
      <c r="AI212">
        <f t="shared" si="64"/>
        <v>207816.01917252038</v>
      </c>
    </row>
    <row r="213" spans="2:35" x14ac:dyDescent="0.3">
      <c r="B213">
        <v>170</v>
      </c>
      <c r="C213">
        <v>77175.849799999996</v>
      </c>
      <c r="D213">
        <v>76094.393500000006</v>
      </c>
      <c r="E213">
        <v>76297.179999999993</v>
      </c>
      <c r="F213">
        <v>76023.328200000004</v>
      </c>
      <c r="G213">
        <v>76146.6829</v>
      </c>
      <c r="H213">
        <v>76411.289699999994</v>
      </c>
      <c r="I213">
        <v>10.449517484331023</v>
      </c>
      <c r="J213">
        <v>10.428613926263472</v>
      </c>
      <c r="K213">
        <v>10.412738243891924</v>
      </c>
      <c r="L213">
        <v>10.404995456386031</v>
      </c>
      <c r="M213">
        <v>10.389258135900404</v>
      </c>
      <c r="N213">
        <v>10.375832575938935</v>
      </c>
      <c r="P213">
        <f t="shared" si="46"/>
        <v>236309.67472993073</v>
      </c>
      <c r="Q213">
        <f t="shared" si="47"/>
        <v>236764.02428790415</v>
      </c>
      <c r="R213">
        <f t="shared" si="48"/>
        <v>236084.96731675771</v>
      </c>
      <c r="S213">
        <f t="shared" si="49"/>
        <v>236126.53549158096</v>
      </c>
      <c r="T213">
        <f t="shared" si="50"/>
        <v>235531.0611770121</v>
      </c>
      <c r="U213">
        <f t="shared" si="51"/>
        <v>234863.68757816803</v>
      </c>
      <c r="V213">
        <f t="shared" si="58"/>
        <v>0</v>
      </c>
      <c r="W213">
        <f t="shared" si="59"/>
        <v>1</v>
      </c>
      <c r="X213">
        <f t="shared" si="60"/>
        <v>0</v>
      </c>
      <c r="Y213">
        <f t="shared" si="61"/>
        <v>0</v>
      </c>
      <c r="Z213">
        <f t="shared" si="62"/>
        <v>0</v>
      </c>
      <c r="AA213">
        <f t="shared" si="63"/>
        <v>0</v>
      </c>
      <c r="AC213">
        <f t="shared" si="52"/>
        <v>236309.67472993073</v>
      </c>
      <c r="AD213">
        <f t="shared" si="53"/>
        <v>236764.02428790415</v>
      </c>
      <c r="AE213">
        <f t="shared" si="54"/>
        <v>236084.96731675771</v>
      </c>
      <c r="AF213">
        <f t="shared" si="55"/>
        <v>236126.53549158096</v>
      </c>
      <c r="AG213">
        <f t="shared" si="56"/>
        <v>235531.0611770121</v>
      </c>
      <c r="AH213">
        <f t="shared" si="57"/>
        <v>234863.68757816803</v>
      </c>
      <c r="AI213">
        <f t="shared" si="64"/>
        <v>236764.02428790415</v>
      </c>
    </row>
    <row r="214" spans="2:35" x14ac:dyDescent="0.3">
      <c r="B214">
        <v>171</v>
      </c>
      <c r="C214">
        <v>73572.063099999999</v>
      </c>
      <c r="D214">
        <v>72987.936199999996</v>
      </c>
      <c r="E214">
        <v>73456.816999999995</v>
      </c>
      <c r="F214">
        <v>73300.2693</v>
      </c>
      <c r="G214">
        <v>73693.899300000005</v>
      </c>
      <c r="H214">
        <v>74307.569399999993</v>
      </c>
      <c r="I214">
        <v>10.045995545324949</v>
      </c>
      <c r="J214">
        <v>10.029065697307493</v>
      </c>
      <c r="K214">
        <v>10.014933167757039</v>
      </c>
      <c r="L214">
        <v>10.011142967218735</v>
      </c>
      <c r="M214">
        <v>9.996671794165243</v>
      </c>
      <c r="N214">
        <v>9.9801817992257096</v>
      </c>
      <c r="P214">
        <f t="shared" si="46"/>
        <v>227807.80325974847</v>
      </c>
      <c r="Q214">
        <f t="shared" si="47"/>
        <v>227884.03471922479</v>
      </c>
      <c r="R214">
        <f t="shared" si="48"/>
        <v>226991.17803271121</v>
      </c>
      <c r="S214">
        <f t="shared" si="49"/>
        <v>227034.01971656206</v>
      </c>
      <c r="T214">
        <f t="shared" si="50"/>
        <v>226206.25452495727</v>
      </c>
      <c r="U214">
        <f t="shared" si="51"/>
        <v>225097.88457677129</v>
      </c>
      <c r="V214">
        <f t="shared" si="58"/>
        <v>0</v>
      </c>
      <c r="W214">
        <f t="shared" si="59"/>
        <v>1</v>
      </c>
      <c r="X214">
        <f t="shared" si="60"/>
        <v>0</v>
      </c>
      <c r="Y214">
        <f t="shared" si="61"/>
        <v>0</v>
      </c>
      <c r="Z214">
        <f t="shared" si="62"/>
        <v>0</v>
      </c>
      <c r="AA214">
        <f t="shared" si="63"/>
        <v>0</v>
      </c>
      <c r="AC214">
        <f t="shared" si="52"/>
        <v>227807.80325974847</v>
      </c>
      <c r="AD214">
        <f t="shared" si="53"/>
        <v>227884.03471922479</v>
      </c>
      <c r="AE214">
        <f t="shared" si="54"/>
        <v>226991.17803271121</v>
      </c>
      <c r="AF214">
        <f t="shared" si="55"/>
        <v>227034.01971656206</v>
      </c>
      <c r="AG214">
        <f t="shared" si="56"/>
        <v>226206.25452495727</v>
      </c>
      <c r="AH214">
        <f t="shared" si="57"/>
        <v>225097.88457677129</v>
      </c>
      <c r="AI214">
        <f t="shared" si="64"/>
        <v>227884.03471922479</v>
      </c>
    </row>
    <row r="215" spans="2:35" x14ac:dyDescent="0.3">
      <c r="B215">
        <v>172</v>
      </c>
      <c r="C215">
        <v>77842.916200000007</v>
      </c>
      <c r="D215">
        <v>76420.201400000005</v>
      </c>
      <c r="E215">
        <v>76403.825100000002</v>
      </c>
      <c r="F215">
        <v>76137.335399999996</v>
      </c>
      <c r="G215">
        <v>75986.297000000006</v>
      </c>
      <c r="H215">
        <v>75953.808900000004</v>
      </c>
      <c r="I215">
        <v>10.370127564854556</v>
      </c>
      <c r="J215">
        <v>10.342224523616975</v>
      </c>
      <c r="K215">
        <v>10.332297081547424</v>
      </c>
      <c r="L215">
        <v>10.317998106343406</v>
      </c>
      <c r="M215">
        <v>10.301751503425763</v>
      </c>
      <c r="N215">
        <v>10.28294206954941</v>
      </c>
      <c r="P215">
        <f t="shared" si="46"/>
        <v>233260.91074563665</v>
      </c>
      <c r="Q215">
        <f t="shared" si="47"/>
        <v>233846.53430850926</v>
      </c>
      <c r="R215">
        <f t="shared" si="48"/>
        <v>233565.08734642272</v>
      </c>
      <c r="S215">
        <f t="shared" si="49"/>
        <v>233402.60779030219</v>
      </c>
      <c r="T215">
        <f t="shared" si="50"/>
        <v>233066.24810277286</v>
      </c>
      <c r="U215">
        <f t="shared" si="51"/>
        <v>232534.45318648231</v>
      </c>
      <c r="V215">
        <f t="shared" si="58"/>
        <v>0</v>
      </c>
      <c r="W215">
        <f t="shared" si="59"/>
        <v>1</v>
      </c>
      <c r="X215">
        <f t="shared" si="60"/>
        <v>0</v>
      </c>
      <c r="Y215">
        <f t="shared" si="61"/>
        <v>0</v>
      </c>
      <c r="Z215">
        <f t="shared" si="62"/>
        <v>0</v>
      </c>
      <c r="AA215">
        <f t="shared" si="63"/>
        <v>0</v>
      </c>
      <c r="AC215">
        <f t="shared" si="52"/>
        <v>233260.91074563665</v>
      </c>
      <c r="AD215">
        <f t="shared" si="53"/>
        <v>233846.53430850926</v>
      </c>
      <c r="AE215">
        <f t="shared" si="54"/>
        <v>233565.08734642272</v>
      </c>
      <c r="AF215">
        <f t="shared" si="55"/>
        <v>233402.60779030219</v>
      </c>
      <c r="AG215">
        <f t="shared" si="56"/>
        <v>233066.24810277286</v>
      </c>
      <c r="AH215">
        <f t="shared" si="57"/>
        <v>232534.45318648231</v>
      </c>
      <c r="AI215">
        <f t="shared" si="64"/>
        <v>233846.53430850926</v>
      </c>
    </row>
    <row r="216" spans="2:35" x14ac:dyDescent="0.3">
      <c r="B216">
        <v>173</v>
      </c>
      <c r="C216">
        <v>79794.596999999994</v>
      </c>
      <c r="D216">
        <v>79106.864199999996</v>
      </c>
      <c r="E216">
        <v>79462.386599999998</v>
      </c>
      <c r="F216">
        <v>79239.0821</v>
      </c>
      <c r="G216">
        <v>79718.772500000006</v>
      </c>
      <c r="H216">
        <v>79932.927599999995</v>
      </c>
      <c r="I216">
        <v>8.9183730705364432</v>
      </c>
      <c r="J216">
        <v>8.8971355400938847</v>
      </c>
      <c r="K216">
        <v>8.8829039524700644</v>
      </c>
      <c r="L216">
        <v>8.8758447980177113</v>
      </c>
      <c r="M216">
        <v>8.8556901571949851</v>
      </c>
      <c r="N216">
        <v>8.838514755712028</v>
      </c>
      <c r="P216">
        <f t="shared" si="46"/>
        <v>187756.59511609329</v>
      </c>
      <c r="Q216">
        <f t="shared" si="47"/>
        <v>187807.20200281654</v>
      </c>
      <c r="R216">
        <f t="shared" si="48"/>
        <v>187024.73197410195</v>
      </c>
      <c r="S216">
        <f t="shared" si="49"/>
        <v>187036.26184053131</v>
      </c>
      <c r="T216">
        <f t="shared" si="50"/>
        <v>185951.93221584952</v>
      </c>
      <c r="U216">
        <f t="shared" si="51"/>
        <v>185222.51507136086</v>
      </c>
      <c r="V216">
        <f t="shared" si="58"/>
        <v>0</v>
      </c>
      <c r="W216">
        <f t="shared" si="59"/>
        <v>1</v>
      </c>
      <c r="X216">
        <f t="shared" si="60"/>
        <v>0</v>
      </c>
      <c r="Y216">
        <f t="shared" si="61"/>
        <v>0</v>
      </c>
      <c r="Z216">
        <f t="shared" si="62"/>
        <v>0</v>
      </c>
      <c r="AA216">
        <f t="shared" si="63"/>
        <v>0</v>
      </c>
      <c r="AC216">
        <f t="shared" si="52"/>
        <v>187756.59511609329</v>
      </c>
      <c r="AD216">
        <f t="shared" si="53"/>
        <v>187807.20200281654</v>
      </c>
      <c r="AE216">
        <f t="shared" si="54"/>
        <v>187024.73197410195</v>
      </c>
      <c r="AF216">
        <f t="shared" si="55"/>
        <v>187036.26184053131</v>
      </c>
      <c r="AG216">
        <f t="shared" si="56"/>
        <v>185951.93221584952</v>
      </c>
      <c r="AH216">
        <f t="shared" si="57"/>
        <v>185222.51507136086</v>
      </c>
      <c r="AI216">
        <f t="shared" si="64"/>
        <v>187807.20200281654</v>
      </c>
    </row>
    <row r="217" spans="2:35" x14ac:dyDescent="0.3">
      <c r="B217">
        <v>174</v>
      </c>
      <c r="C217">
        <v>76270.511700000003</v>
      </c>
      <c r="D217">
        <v>74827.762300000002</v>
      </c>
      <c r="E217">
        <v>74807.419200000004</v>
      </c>
      <c r="F217">
        <v>74650.144899999999</v>
      </c>
      <c r="G217">
        <v>74418.449399999998</v>
      </c>
      <c r="H217">
        <v>74424.483200000002</v>
      </c>
      <c r="I217">
        <v>10.952272195128138</v>
      </c>
      <c r="J217">
        <v>10.903207848950036</v>
      </c>
      <c r="K217">
        <v>10.869315323300061</v>
      </c>
      <c r="L217">
        <v>10.847307937818838</v>
      </c>
      <c r="M217">
        <v>10.811315540404092</v>
      </c>
      <c r="N217">
        <v>10.777457921337978</v>
      </c>
      <c r="P217">
        <f t="shared" si="46"/>
        <v>252297.65415384414</v>
      </c>
      <c r="Q217">
        <f t="shared" si="47"/>
        <v>252268.47316850105</v>
      </c>
      <c r="R217">
        <f t="shared" si="48"/>
        <v>251272.0404990018</v>
      </c>
      <c r="S217">
        <f t="shared" si="49"/>
        <v>250769.09323456511</v>
      </c>
      <c r="T217">
        <f t="shared" si="50"/>
        <v>249921.01681212278</v>
      </c>
      <c r="U217">
        <f t="shared" si="51"/>
        <v>248899.25444013934</v>
      </c>
      <c r="V217">
        <f t="shared" si="58"/>
        <v>1</v>
      </c>
      <c r="W217">
        <f t="shared" si="59"/>
        <v>0</v>
      </c>
      <c r="X217">
        <f t="shared" si="60"/>
        <v>0</v>
      </c>
      <c r="Y217">
        <f t="shared" si="61"/>
        <v>0</v>
      </c>
      <c r="Z217">
        <f t="shared" si="62"/>
        <v>0</v>
      </c>
      <c r="AA217">
        <f t="shared" si="63"/>
        <v>0</v>
      </c>
      <c r="AC217">
        <f t="shared" si="52"/>
        <v>252297.65415384414</v>
      </c>
      <c r="AD217">
        <f t="shared" si="53"/>
        <v>252268.47316850105</v>
      </c>
      <c r="AE217">
        <f t="shared" si="54"/>
        <v>251272.0404990018</v>
      </c>
      <c r="AF217">
        <f t="shared" si="55"/>
        <v>250769.09323456511</v>
      </c>
      <c r="AG217">
        <f t="shared" si="56"/>
        <v>249921.01681212278</v>
      </c>
      <c r="AH217">
        <f t="shared" si="57"/>
        <v>248899.25444013934</v>
      </c>
      <c r="AI217">
        <f t="shared" si="64"/>
        <v>252297.65415384414</v>
      </c>
    </row>
    <row r="218" spans="2:35" x14ac:dyDescent="0.3">
      <c r="B218">
        <v>175</v>
      </c>
      <c r="C218">
        <v>76946.231599999999</v>
      </c>
      <c r="D218">
        <v>75716.991200000004</v>
      </c>
      <c r="E218">
        <v>75580.489100000006</v>
      </c>
      <c r="F218">
        <v>75395.336599999995</v>
      </c>
      <c r="G218">
        <v>75586.773799999995</v>
      </c>
      <c r="H218">
        <v>75347.995299999995</v>
      </c>
      <c r="I218">
        <v>10.134498543933676</v>
      </c>
      <c r="J218">
        <v>10.109496524113544</v>
      </c>
      <c r="K218">
        <v>10.094003013302663</v>
      </c>
      <c r="L218">
        <v>10.085477322647233</v>
      </c>
      <c r="M218">
        <v>10.071008899117594</v>
      </c>
      <c r="N218">
        <v>10.05155208029459</v>
      </c>
      <c r="P218">
        <f t="shared" si="46"/>
        <v>227088.72471801029</v>
      </c>
      <c r="Q218">
        <f t="shared" si="47"/>
        <v>227567.90452340629</v>
      </c>
      <c r="R218">
        <f t="shared" si="48"/>
        <v>227239.60129907989</v>
      </c>
      <c r="S218">
        <f t="shared" si="49"/>
        <v>227168.98307941697</v>
      </c>
      <c r="T218">
        <f t="shared" si="50"/>
        <v>226543.49317352779</v>
      </c>
      <c r="U218">
        <f t="shared" si="51"/>
        <v>226198.56710883765</v>
      </c>
      <c r="V218">
        <f t="shared" si="58"/>
        <v>0</v>
      </c>
      <c r="W218">
        <f t="shared" si="59"/>
        <v>1</v>
      </c>
      <c r="X218">
        <f t="shared" si="60"/>
        <v>0</v>
      </c>
      <c r="Y218">
        <f t="shared" si="61"/>
        <v>0</v>
      </c>
      <c r="Z218">
        <f t="shared" si="62"/>
        <v>0</v>
      </c>
      <c r="AA218">
        <f t="shared" si="63"/>
        <v>0</v>
      </c>
      <c r="AC218">
        <f t="shared" si="52"/>
        <v>227088.72471801029</v>
      </c>
      <c r="AD218">
        <f t="shared" si="53"/>
        <v>227567.90452340629</v>
      </c>
      <c r="AE218">
        <f t="shared" si="54"/>
        <v>227239.60129907989</v>
      </c>
      <c r="AF218">
        <f t="shared" si="55"/>
        <v>227168.98307941697</v>
      </c>
      <c r="AG218">
        <f t="shared" si="56"/>
        <v>226543.49317352779</v>
      </c>
      <c r="AH218">
        <f t="shared" si="57"/>
        <v>226198.56710883765</v>
      </c>
      <c r="AI218">
        <f t="shared" si="64"/>
        <v>227567.90452340629</v>
      </c>
    </row>
    <row r="219" spans="2:35" x14ac:dyDescent="0.3">
      <c r="B219">
        <v>176</v>
      </c>
      <c r="C219">
        <v>77635.748600000006</v>
      </c>
      <c r="D219">
        <v>77449.584499999997</v>
      </c>
      <c r="E219">
        <v>78125.794699999999</v>
      </c>
      <c r="F219">
        <v>78392.101299999995</v>
      </c>
      <c r="G219">
        <v>78936.457500000004</v>
      </c>
      <c r="H219">
        <v>79717.6774</v>
      </c>
      <c r="I219">
        <v>11.884003839286446</v>
      </c>
      <c r="J219">
        <v>11.846226497221723</v>
      </c>
      <c r="K219">
        <v>11.818732944786523</v>
      </c>
      <c r="L219">
        <v>11.804412814643594</v>
      </c>
      <c r="M219">
        <v>11.779569181009602</v>
      </c>
      <c r="N219">
        <v>11.750508147525284</v>
      </c>
      <c r="P219">
        <f t="shared" si="46"/>
        <v>278884.36657859338</v>
      </c>
      <c r="Q219">
        <f t="shared" si="47"/>
        <v>277937.21041665168</v>
      </c>
      <c r="R219">
        <f t="shared" si="48"/>
        <v>276436.19364359567</v>
      </c>
      <c r="S219">
        <f t="shared" si="49"/>
        <v>275740.28313930787</v>
      </c>
      <c r="T219">
        <f t="shared" si="50"/>
        <v>274450.61793028808</v>
      </c>
      <c r="U219">
        <f t="shared" si="51"/>
        <v>272797.56702575856</v>
      </c>
      <c r="V219">
        <f t="shared" si="58"/>
        <v>1</v>
      </c>
      <c r="W219">
        <f t="shared" si="59"/>
        <v>0</v>
      </c>
      <c r="X219">
        <f t="shared" si="60"/>
        <v>0</v>
      </c>
      <c r="Y219">
        <f t="shared" si="61"/>
        <v>0</v>
      </c>
      <c r="Z219">
        <f t="shared" si="62"/>
        <v>0</v>
      </c>
      <c r="AA219">
        <f t="shared" si="63"/>
        <v>0</v>
      </c>
      <c r="AC219">
        <f t="shared" si="52"/>
        <v>278884.36657859338</v>
      </c>
      <c r="AD219">
        <f t="shared" si="53"/>
        <v>277937.21041665168</v>
      </c>
      <c r="AE219">
        <f t="shared" si="54"/>
        <v>276436.19364359567</v>
      </c>
      <c r="AF219">
        <f t="shared" si="55"/>
        <v>275740.28313930787</v>
      </c>
      <c r="AG219">
        <f t="shared" si="56"/>
        <v>274450.61793028808</v>
      </c>
      <c r="AH219">
        <f t="shared" si="57"/>
        <v>272797.56702575856</v>
      </c>
      <c r="AI219">
        <f t="shared" si="64"/>
        <v>278884.36657859338</v>
      </c>
    </row>
    <row r="220" spans="2:35" x14ac:dyDescent="0.3">
      <c r="B220">
        <v>177</v>
      </c>
      <c r="C220">
        <v>77687.8125</v>
      </c>
      <c r="D220">
        <v>76912.272899999996</v>
      </c>
      <c r="E220">
        <v>77410.352599999998</v>
      </c>
      <c r="F220">
        <v>77490.145600000003</v>
      </c>
      <c r="G220">
        <v>77736.547200000001</v>
      </c>
      <c r="H220">
        <v>78184.010899999994</v>
      </c>
      <c r="I220">
        <v>11.150679609144657</v>
      </c>
      <c r="J220">
        <v>11.12755963825304</v>
      </c>
      <c r="K220">
        <v>11.100593984344043</v>
      </c>
      <c r="L220">
        <v>11.087432780221725</v>
      </c>
      <c r="M220">
        <v>11.074842876571912</v>
      </c>
      <c r="N220">
        <v>11.047505394823684</v>
      </c>
      <c r="P220">
        <f t="shared" si="46"/>
        <v>256832.57577433973</v>
      </c>
      <c r="Q220">
        <f t="shared" si="47"/>
        <v>256914.51624759118</v>
      </c>
      <c r="R220">
        <f t="shared" si="48"/>
        <v>255607.4669303213</v>
      </c>
      <c r="S220">
        <f t="shared" si="49"/>
        <v>255132.83780665178</v>
      </c>
      <c r="T220">
        <f t="shared" si="50"/>
        <v>254508.73909715735</v>
      </c>
      <c r="U220">
        <f t="shared" si="51"/>
        <v>253241.15094471053</v>
      </c>
      <c r="V220">
        <f t="shared" si="58"/>
        <v>0</v>
      </c>
      <c r="W220">
        <f t="shared" si="59"/>
        <v>1</v>
      </c>
      <c r="X220">
        <f t="shared" si="60"/>
        <v>0</v>
      </c>
      <c r="Y220">
        <f t="shared" si="61"/>
        <v>0</v>
      </c>
      <c r="Z220">
        <f t="shared" si="62"/>
        <v>0</v>
      </c>
      <c r="AA220">
        <f t="shared" si="63"/>
        <v>0</v>
      </c>
      <c r="AC220">
        <f t="shared" si="52"/>
        <v>256832.57577433973</v>
      </c>
      <c r="AD220">
        <f t="shared" si="53"/>
        <v>256914.51624759118</v>
      </c>
      <c r="AE220">
        <f t="shared" si="54"/>
        <v>255607.4669303213</v>
      </c>
      <c r="AF220">
        <f t="shared" si="55"/>
        <v>255132.83780665178</v>
      </c>
      <c r="AG220">
        <f t="shared" si="56"/>
        <v>254508.73909715735</v>
      </c>
      <c r="AH220">
        <f t="shared" si="57"/>
        <v>253241.15094471053</v>
      </c>
      <c r="AI220">
        <f t="shared" si="64"/>
        <v>256914.51624759118</v>
      </c>
    </row>
    <row r="221" spans="2:35" x14ac:dyDescent="0.3">
      <c r="B221">
        <v>178</v>
      </c>
      <c r="C221">
        <v>73670.171100000007</v>
      </c>
      <c r="D221">
        <v>73141.4274</v>
      </c>
      <c r="E221">
        <v>73617.7402</v>
      </c>
      <c r="F221">
        <v>73702.591400000005</v>
      </c>
      <c r="G221">
        <v>74058.930399999997</v>
      </c>
      <c r="H221">
        <v>74764.463600000003</v>
      </c>
      <c r="I221">
        <v>9.1062267659560625</v>
      </c>
      <c r="J221">
        <v>9.086684374455487</v>
      </c>
      <c r="K221">
        <v>9.0737802248417285</v>
      </c>
      <c r="L221">
        <v>9.0708349829926611</v>
      </c>
      <c r="M221">
        <v>9.0552944564116515</v>
      </c>
      <c r="N221">
        <v>9.043297721464457</v>
      </c>
      <c r="P221">
        <f t="shared" si="46"/>
        <v>199516.63187868186</v>
      </c>
      <c r="Q221">
        <f t="shared" si="47"/>
        <v>199459.10383366462</v>
      </c>
      <c r="R221">
        <f t="shared" si="48"/>
        <v>198595.66654525185</v>
      </c>
      <c r="S221">
        <f t="shared" si="49"/>
        <v>198422.4580897798</v>
      </c>
      <c r="T221">
        <f t="shared" si="50"/>
        <v>197599.90329234954</v>
      </c>
      <c r="U221">
        <f t="shared" si="51"/>
        <v>196534.46804393368</v>
      </c>
      <c r="V221">
        <f t="shared" si="58"/>
        <v>1</v>
      </c>
      <c r="W221">
        <f t="shared" si="59"/>
        <v>0</v>
      </c>
      <c r="X221">
        <f t="shared" si="60"/>
        <v>0</v>
      </c>
      <c r="Y221">
        <f t="shared" si="61"/>
        <v>0</v>
      </c>
      <c r="Z221">
        <f t="shared" si="62"/>
        <v>0</v>
      </c>
      <c r="AA221">
        <f t="shared" si="63"/>
        <v>0</v>
      </c>
      <c r="AC221">
        <f t="shared" si="52"/>
        <v>199516.63187868186</v>
      </c>
      <c r="AD221">
        <f t="shared" si="53"/>
        <v>199459.10383366462</v>
      </c>
      <c r="AE221">
        <f t="shared" si="54"/>
        <v>198595.66654525185</v>
      </c>
      <c r="AF221">
        <f t="shared" si="55"/>
        <v>198422.4580897798</v>
      </c>
      <c r="AG221">
        <f t="shared" si="56"/>
        <v>197599.90329234954</v>
      </c>
      <c r="AH221">
        <f t="shared" si="57"/>
        <v>196534.46804393368</v>
      </c>
      <c r="AI221">
        <f t="shared" si="64"/>
        <v>199516.63187868186</v>
      </c>
    </row>
    <row r="222" spans="2:35" x14ac:dyDescent="0.3">
      <c r="B222">
        <v>179</v>
      </c>
      <c r="C222">
        <v>86759.564899999998</v>
      </c>
      <c r="D222">
        <v>86633.891300000003</v>
      </c>
      <c r="E222">
        <v>87516.222500000003</v>
      </c>
      <c r="F222">
        <v>87370.515199999994</v>
      </c>
      <c r="G222">
        <v>88494.887499999997</v>
      </c>
      <c r="H222">
        <v>89574.777900000001</v>
      </c>
      <c r="I222">
        <v>10.748482348047503</v>
      </c>
      <c r="J222">
        <v>10.739704349942956</v>
      </c>
      <c r="K222">
        <v>10.733302373774089</v>
      </c>
      <c r="L222">
        <v>10.730110623319854</v>
      </c>
      <c r="M222">
        <v>10.721127840223961</v>
      </c>
      <c r="N222">
        <v>10.712370349940617</v>
      </c>
      <c r="P222">
        <f t="shared" si="46"/>
        <v>235694.90554142511</v>
      </c>
      <c r="Q222">
        <f t="shared" si="47"/>
        <v>235557.23919828865</v>
      </c>
      <c r="R222">
        <f t="shared" si="48"/>
        <v>234482.84871322269</v>
      </c>
      <c r="S222">
        <f t="shared" si="49"/>
        <v>234532.80349959564</v>
      </c>
      <c r="T222">
        <f t="shared" si="50"/>
        <v>233138.94770671881</v>
      </c>
      <c r="U222">
        <f t="shared" si="51"/>
        <v>231796.33259821852</v>
      </c>
      <c r="V222">
        <f t="shared" si="58"/>
        <v>1</v>
      </c>
      <c r="W222">
        <f t="shared" si="59"/>
        <v>0</v>
      </c>
      <c r="X222">
        <f t="shared" si="60"/>
        <v>0</v>
      </c>
      <c r="Y222">
        <f t="shared" si="61"/>
        <v>0</v>
      </c>
      <c r="Z222">
        <f t="shared" si="62"/>
        <v>0</v>
      </c>
      <c r="AA222">
        <f t="shared" si="63"/>
        <v>0</v>
      </c>
      <c r="AC222">
        <f t="shared" si="52"/>
        <v>235694.90554142511</v>
      </c>
      <c r="AD222">
        <f t="shared" si="53"/>
        <v>235557.23919828865</v>
      </c>
      <c r="AE222">
        <f t="shared" si="54"/>
        <v>234482.84871322269</v>
      </c>
      <c r="AF222">
        <f t="shared" si="55"/>
        <v>234532.80349959564</v>
      </c>
      <c r="AG222">
        <f t="shared" si="56"/>
        <v>233138.94770671881</v>
      </c>
      <c r="AH222">
        <f t="shared" si="57"/>
        <v>231796.33259821852</v>
      </c>
      <c r="AI222">
        <f t="shared" si="64"/>
        <v>235694.90554142511</v>
      </c>
    </row>
    <row r="223" spans="2:35" x14ac:dyDescent="0.3">
      <c r="B223">
        <v>180</v>
      </c>
      <c r="C223">
        <v>81432.043000000005</v>
      </c>
      <c r="D223">
        <v>81369.966799999995</v>
      </c>
      <c r="E223">
        <v>82031.471799999999</v>
      </c>
      <c r="F223">
        <v>82295.873500000002</v>
      </c>
      <c r="G223">
        <v>82695.936000000002</v>
      </c>
      <c r="H223">
        <v>83632.418699999995</v>
      </c>
      <c r="I223">
        <v>9.9458801530329577</v>
      </c>
      <c r="J223">
        <v>9.8800101084105911</v>
      </c>
      <c r="K223">
        <v>9.8329038241733695</v>
      </c>
      <c r="L223">
        <v>9.800775826769808</v>
      </c>
      <c r="M223">
        <v>9.772476888027926</v>
      </c>
      <c r="N223">
        <v>9.7201814921048744</v>
      </c>
      <c r="P223">
        <f t="shared" si="46"/>
        <v>216944.3615909887</v>
      </c>
      <c r="Q223">
        <f t="shared" si="47"/>
        <v>215030.33645231772</v>
      </c>
      <c r="R223">
        <f t="shared" si="48"/>
        <v>212955.6429252011</v>
      </c>
      <c r="S223">
        <f t="shared" si="49"/>
        <v>211727.40130309423</v>
      </c>
      <c r="T223">
        <f t="shared" si="50"/>
        <v>210478.37064083782</v>
      </c>
      <c r="U223">
        <f t="shared" si="51"/>
        <v>207973.02606314624</v>
      </c>
      <c r="V223">
        <f t="shared" si="58"/>
        <v>1</v>
      </c>
      <c r="W223">
        <f t="shared" si="59"/>
        <v>0</v>
      </c>
      <c r="X223">
        <f t="shared" si="60"/>
        <v>0</v>
      </c>
      <c r="Y223">
        <f t="shared" si="61"/>
        <v>0</v>
      </c>
      <c r="Z223">
        <f t="shared" si="62"/>
        <v>0</v>
      </c>
      <c r="AA223">
        <f t="shared" si="63"/>
        <v>0</v>
      </c>
      <c r="AC223">
        <f t="shared" si="52"/>
        <v>216944.3615909887</v>
      </c>
      <c r="AD223">
        <f t="shared" si="53"/>
        <v>215030.33645231772</v>
      </c>
      <c r="AE223">
        <f t="shared" si="54"/>
        <v>212955.6429252011</v>
      </c>
      <c r="AF223">
        <f t="shared" si="55"/>
        <v>211727.40130309423</v>
      </c>
      <c r="AG223">
        <f t="shared" si="56"/>
        <v>210478.37064083782</v>
      </c>
      <c r="AH223">
        <f t="shared" si="57"/>
        <v>207973.02606314624</v>
      </c>
      <c r="AI223">
        <f t="shared" si="64"/>
        <v>216944.3615909887</v>
      </c>
    </row>
    <row r="224" spans="2:35" x14ac:dyDescent="0.3">
      <c r="B224">
        <v>181</v>
      </c>
      <c r="C224">
        <v>74985.804199999999</v>
      </c>
      <c r="D224">
        <v>74208.092199999999</v>
      </c>
      <c r="E224">
        <v>74344.562099999996</v>
      </c>
      <c r="F224">
        <v>74308.925099999993</v>
      </c>
      <c r="G224">
        <v>74630.621700000003</v>
      </c>
      <c r="H224">
        <v>74933.073999999993</v>
      </c>
      <c r="I224">
        <v>10.729456396235578</v>
      </c>
      <c r="J224">
        <v>10.690530486254245</v>
      </c>
      <c r="K224">
        <v>10.665996302733832</v>
      </c>
      <c r="L224">
        <v>10.652574900503419</v>
      </c>
      <c r="M224">
        <v>10.620362198119439</v>
      </c>
      <c r="N224">
        <v>10.584311645037504</v>
      </c>
      <c r="P224">
        <f t="shared" si="46"/>
        <v>246897.88768706733</v>
      </c>
      <c r="Q224">
        <f t="shared" si="47"/>
        <v>246507.82238762733</v>
      </c>
      <c r="R224">
        <f t="shared" si="48"/>
        <v>245635.32698201499</v>
      </c>
      <c r="S224">
        <f t="shared" si="49"/>
        <v>245268.3219151026</v>
      </c>
      <c r="T224">
        <f t="shared" si="50"/>
        <v>243980.24424358318</v>
      </c>
      <c r="U224">
        <f t="shared" si="51"/>
        <v>242596.27535112514</v>
      </c>
      <c r="V224">
        <f t="shared" si="58"/>
        <v>1</v>
      </c>
      <c r="W224">
        <f t="shared" si="59"/>
        <v>0</v>
      </c>
      <c r="X224">
        <f t="shared" si="60"/>
        <v>0</v>
      </c>
      <c r="Y224">
        <f t="shared" si="61"/>
        <v>0</v>
      </c>
      <c r="Z224">
        <f t="shared" si="62"/>
        <v>0</v>
      </c>
      <c r="AA224">
        <f t="shared" si="63"/>
        <v>0</v>
      </c>
      <c r="AC224">
        <f t="shared" si="52"/>
        <v>246897.88768706733</v>
      </c>
      <c r="AD224">
        <f t="shared" si="53"/>
        <v>246507.82238762733</v>
      </c>
      <c r="AE224">
        <f t="shared" si="54"/>
        <v>245635.32698201499</v>
      </c>
      <c r="AF224">
        <f t="shared" si="55"/>
        <v>245268.3219151026</v>
      </c>
      <c r="AG224">
        <f t="shared" si="56"/>
        <v>243980.24424358318</v>
      </c>
      <c r="AH224">
        <f t="shared" si="57"/>
        <v>242596.27535112514</v>
      </c>
      <c r="AI224">
        <f t="shared" si="64"/>
        <v>246897.88768706733</v>
      </c>
    </row>
    <row r="225" spans="2:35" x14ac:dyDescent="0.3">
      <c r="B225">
        <v>182</v>
      </c>
      <c r="C225">
        <v>81376.944399999993</v>
      </c>
      <c r="D225">
        <v>80312.651800000007</v>
      </c>
      <c r="E225">
        <v>80262.779699999999</v>
      </c>
      <c r="F225">
        <v>80208.465700000001</v>
      </c>
      <c r="G225">
        <v>80345.948600000003</v>
      </c>
      <c r="H225">
        <v>80354.813500000004</v>
      </c>
      <c r="I225">
        <v>10.738349940803708</v>
      </c>
      <c r="J225">
        <v>10.712159095225358</v>
      </c>
      <c r="K225">
        <v>10.689037726452145</v>
      </c>
      <c r="L225">
        <v>10.679818180149255</v>
      </c>
      <c r="M225">
        <v>10.661074154179738</v>
      </c>
      <c r="N225">
        <v>10.640644369057455</v>
      </c>
      <c r="P225">
        <f t="shared" si="46"/>
        <v>240773.5538241113</v>
      </c>
      <c r="Q225">
        <f t="shared" si="47"/>
        <v>241052.12105676072</v>
      </c>
      <c r="R225">
        <f t="shared" si="48"/>
        <v>240408.35209356435</v>
      </c>
      <c r="S225">
        <f t="shared" si="49"/>
        <v>240186.07970447763</v>
      </c>
      <c r="T225">
        <f t="shared" si="50"/>
        <v>239486.27602539217</v>
      </c>
      <c r="U225">
        <f t="shared" si="51"/>
        <v>238864.51757172367</v>
      </c>
      <c r="V225">
        <f t="shared" si="58"/>
        <v>0</v>
      </c>
      <c r="W225">
        <f t="shared" si="59"/>
        <v>1</v>
      </c>
      <c r="X225">
        <f t="shared" si="60"/>
        <v>0</v>
      </c>
      <c r="Y225">
        <f t="shared" si="61"/>
        <v>0</v>
      </c>
      <c r="Z225">
        <f t="shared" si="62"/>
        <v>0</v>
      </c>
      <c r="AA225">
        <f t="shared" si="63"/>
        <v>0</v>
      </c>
      <c r="AC225">
        <f t="shared" si="52"/>
        <v>240773.5538241113</v>
      </c>
      <c r="AD225">
        <f t="shared" si="53"/>
        <v>241052.12105676072</v>
      </c>
      <c r="AE225">
        <f t="shared" si="54"/>
        <v>240408.35209356435</v>
      </c>
      <c r="AF225">
        <f t="shared" si="55"/>
        <v>240186.07970447763</v>
      </c>
      <c r="AG225">
        <f t="shared" si="56"/>
        <v>239486.27602539217</v>
      </c>
      <c r="AH225">
        <f t="shared" si="57"/>
        <v>238864.51757172367</v>
      </c>
      <c r="AI225">
        <f t="shared" si="64"/>
        <v>241052.12105676072</v>
      </c>
    </row>
    <row r="226" spans="2:35" x14ac:dyDescent="0.3">
      <c r="B226">
        <v>183</v>
      </c>
      <c r="C226">
        <v>73516.7111</v>
      </c>
      <c r="D226">
        <v>72185.724199999997</v>
      </c>
      <c r="E226">
        <v>72159.580799999996</v>
      </c>
      <c r="F226">
        <v>72027.027900000001</v>
      </c>
      <c r="G226">
        <v>71938.953999999998</v>
      </c>
      <c r="H226">
        <v>72022.451400000005</v>
      </c>
      <c r="I226">
        <v>9.438360375202528</v>
      </c>
      <c r="J226">
        <v>9.4068767751407112</v>
      </c>
      <c r="K226">
        <v>9.382846805242318</v>
      </c>
      <c r="L226">
        <v>9.3766867057119772</v>
      </c>
      <c r="M226">
        <v>9.3532453471906383</v>
      </c>
      <c r="N226">
        <v>9.3238957582602602</v>
      </c>
      <c r="P226">
        <f t="shared" si="46"/>
        <v>209634.10015607585</v>
      </c>
      <c r="Q226">
        <f t="shared" si="47"/>
        <v>210020.57905422134</v>
      </c>
      <c r="R226">
        <f t="shared" si="48"/>
        <v>209325.82335726952</v>
      </c>
      <c r="S226">
        <f t="shared" si="49"/>
        <v>209273.57327135932</v>
      </c>
      <c r="T226">
        <f t="shared" si="50"/>
        <v>208658.40641571916</v>
      </c>
      <c r="U226">
        <f t="shared" si="51"/>
        <v>207694.4213478078</v>
      </c>
      <c r="V226">
        <f t="shared" si="58"/>
        <v>0</v>
      </c>
      <c r="W226">
        <f t="shared" si="59"/>
        <v>1</v>
      </c>
      <c r="X226">
        <f t="shared" si="60"/>
        <v>0</v>
      </c>
      <c r="Y226">
        <f t="shared" si="61"/>
        <v>0</v>
      </c>
      <c r="Z226">
        <f t="shared" si="62"/>
        <v>0</v>
      </c>
      <c r="AA226">
        <f t="shared" si="63"/>
        <v>0</v>
      </c>
      <c r="AC226">
        <f t="shared" si="52"/>
        <v>209634.10015607585</v>
      </c>
      <c r="AD226">
        <f t="shared" si="53"/>
        <v>210020.57905422134</v>
      </c>
      <c r="AE226">
        <f t="shared" si="54"/>
        <v>209325.82335726952</v>
      </c>
      <c r="AF226">
        <f t="shared" si="55"/>
        <v>209273.57327135932</v>
      </c>
      <c r="AG226">
        <f t="shared" si="56"/>
        <v>208658.40641571916</v>
      </c>
      <c r="AH226">
        <f t="shared" si="57"/>
        <v>207694.4213478078</v>
      </c>
      <c r="AI226">
        <f t="shared" si="64"/>
        <v>210020.57905422134</v>
      </c>
    </row>
    <row r="227" spans="2:35" x14ac:dyDescent="0.3">
      <c r="B227">
        <v>184</v>
      </c>
      <c r="C227">
        <v>83362.259099999996</v>
      </c>
      <c r="D227">
        <v>82737.066500000001</v>
      </c>
      <c r="E227">
        <v>83055.368600000002</v>
      </c>
      <c r="F227">
        <v>83196.477899999998</v>
      </c>
      <c r="G227">
        <v>83315.304000000004</v>
      </c>
      <c r="H227">
        <v>83593.104200000002</v>
      </c>
      <c r="I227">
        <v>10.912156899550903</v>
      </c>
      <c r="J227">
        <v>10.858485635217923</v>
      </c>
      <c r="K227">
        <v>10.829128512888625</v>
      </c>
      <c r="L227">
        <v>10.798264168480978</v>
      </c>
      <c r="M227">
        <v>10.767100724894311</v>
      </c>
      <c r="N227">
        <v>10.724877376216998</v>
      </c>
      <c r="P227">
        <f t="shared" si="46"/>
        <v>244002.44788652708</v>
      </c>
      <c r="Q227">
        <f t="shared" si="47"/>
        <v>243017.50255653769</v>
      </c>
      <c r="R227">
        <f t="shared" si="48"/>
        <v>241818.48678665876</v>
      </c>
      <c r="S227">
        <f t="shared" si="49"/>
        <v>240751.44715442933</v>
      </c>
      <c r="T227">
        <f t="shared" si="50"/>
        <v>239697.71774682932</v>
      </c>
      <c r="U227">
        <f t="shared" si="51"/>
        <v>238153.21708650992</v>
      </c>
      <c r="V227">
        <f t="shared" si="58"/>
        <v>1</v>
      </c>
      <c r="W227">
        <f t="shared" si="59"/>
        <v>0</v>
      </c>
      <c r="X227">
        <f t="shared" si="60"/>
        <v>0</v>
      </c>
      <c r="Y227">
        <f t="shared" si="61"/>
        <v>0</v>
      </c>
      <c r="Z227">
        <f t="shared" si="62"/>
        <v>0</v>
      </c>
      <c r="AA227">
        <f t="shared" si="63"/>
        <v>0</v>
      </c>
      <c r="AC227">
        <f t="shared" si="52"/>
        <v>244002.44788652708</v>
      </c>
      <c r="AD227">
        <f t="shared" si="53"/>
        <v>243017.50255653769</v>
      </c>
      <c r="AE227">
        <f t="shared" si="54"/>
        <v>241818.48678665876</v>
      </c>
      <c r="AF227">
        <f t="shared" si="55"/>
        <v>240751.44715442933</v>
      </c>
      <c r="AG227">
        <f t="shared" si="56"/>
        <v>239697.71774682932</v>
      </c>
      <c r="AH227">
        <f t="shared" si="57"/>
        <v>238153.21708650992</v>
      </c>
      <c r="AI227">
        <f t="shared" si="64"/>
        <v>244002.44788652708</v>
      </c>
    </row>
    <row r="228" spans="2:35" x14ac:dyDescent="0.3">
      <c r="B228">
        <v>185</v>
      </c>
      <c r="C228">
        <v>67787.728199999998</v>
      </c>
      <c r="D228">
        <v>67237.258199999997</v>
      </c>
      <c r="E228">
        <v>67834.044800000003</v>
      </c>
      <c r="F228">
        <v>67808.038400000005</v>
      </c>
      <c r="G228">
        <v>68320.863700000002</v>
      </c>
      <c r="H228">
        <v>68870.345199999996</v>
      </c>
      <c r="I228">
        <v>9.2708966390145378</v>
      </c>
      <c r="J228">
        <v>9.2581958770978243</v>
      </c>
      <c r="K228">
        <v>9.2502259345697038</v>
      </c>
      <c r="L228">
        <v>9.2474226062067526</v>
      </c>
      <c r="M228">
        <v>9.2389225470339351</v>
      </c>
      <c r="N228">
        <v>9.2296133910816351</v>
      </c>
      <c r="P228">
        <f t="shared" si="46"/>
        <v>210339.17097043613</v>
      </c>
      <c r="Q228">
        <f t="shared" si="47"/>
        <v>210508.61811293475</v>
      </c>
      <c r="R228">
        <f t="shared" si="48"/>
        <v>209672.73323709113</v>
      </c>
      <c r="S228">
        <f t="shared" si="49"/>
        <v>209614.63978620258</v>
      </c>
      <c r="T228">
        <f t="shared" si="50"/>
        <v>208846.81271101808</v>
      </c>
      <c r="U228">
        <f t="shared" si="51"/>
        <v>208018.05653244909</v>
      </c>
      <c r="V228">
        <f t="shared" si="58"/>
        <v>0</v>
      </c>
      <c r="W228">
        <f t="shared" si="59"/>
        <v>1</v>
      </c>
      <c r="X228">
        <f t="shared" si="60"/>
        <v>0</v>
      </c>
      <c r="Y228">
        <f t="shared" si="61"/>
        <v>0</v>
      </c>
      <c r="Z228">
        <f t="shared" si="62"/>
        <v>0</v>
      </c>
      <c r="AA228">
        <f t="shared" si="63"/>
        <v>0</v>
      </c>
      <c r="AC228">
        <f t="shared" si="52"/>
        <v>210339.17097043613</v>
      </c>
      <c r="AD228">
        <f t="shared" si="53"/>
        <v>210508.61811293475</v>
      </c>
      <c r="AE228">
        <f t="shared" si="54"/>
        <v>209672.73323709113</v>
      </c>
      <c r="AF228">
        <f t="shared" si="55"/>
        <v>209614.63978620258</v>
      </c>
      <c r="AG228">
        <f t="shared" si="56"/>
        <v>208846.81271101808</v>
      </c>
      <c r="AH228">
        <f t="shared" si="57"/>
        <v>208018.05653244909</v>
      </c>
      <c r="AI228">
        <f t="shared" si="64"/>
        <v>210508.61811293475</v>
      </c>
    </row>
    <row r="229" spans="2:35" x14ac:dyDescent="0.3">
      <c r="B229">
        <v>186</v>
      </c>
      <c r="C229">
        <v>72616.595300000001</v>
      </c>
      <c r="D229">
        <v>71768.513300000006</v>
      </c>
      <c r="E229">
        <v>72193.297300000006</v>
      </c>
      <c r="F229">
        <v>72059.789199999999</v>
      </c>
      <c r="G229">
        <v>72501.323999999993</v>
      </c>
      <c r="H229">
        <v>72808.062699999995</v>
      </c>
      <c r="I229">
        <v>10.603859978292904</v>
      </c>
      <c r="J229">
        <v>10.565505157113368</v>
      </c>
      <c r="K229">
        <v>10.542060521576531</v>
      </c>
      <c r="L229">
        <v>10.533965274696321</v>
      </c>
      <c r="M229">
        <v>10.505837379094313</v>
      </c>
      <c r="N229">
        <v>10.479888690877944</v>
      </c>
      <c r="P229">
        <f t="shared" si="46"/>
        <v>245499.20404878713</v>
      </c>
      <c r="Q229">
        <f t="shared" si="47"/>
        <v>245196.64141340106</v>
      </c>
      <c r="R229">
        <f t="shared" si="48"/>
        <v>244068.5183472959</v>
      </c>
      <c r="S229">
        <f t="shared" si="49"/>
        <v>243959.16904088965</v>
      </c>
      <c r="T229">
        <f t="shared" si="50"/>
        <v>242673.79737282937</v>
      </c>
      <c r="U229">
        <f t="shared" si="51"/>
        <v>241588.59802633832</v>
      </c>
      <c r="V229">
        <f t="shared" si="58"/>
        <v>1</v>
      </c>
      <c r="W229">
        <f t="shared" si="59"/>
        <v>0</v>
      </c>
      <c r="X229">
        <f t="shared" si="60"/>
        <v>0</v>
      </c>
      <c r="Y229">
        <f t="shared" si="61"/>
        <v>0</v>
      </c>
      <c r="Z229">
        <f t="shared" si="62"/>
        <v>0</v>
      </c>
      <c r="AA229">
        <f t="shared" si="63"/>
        <v>0</v>
      </c>
      <c r="AC229">
        <f t="shared" si="52"/>
        <v>245499.20404878713</v>
      </c>
      <c r="AD229">
        <f t="shared" si="53"/>
        <v>245196.64141340106</v>
      </c>
      <c r="AE229">
        <f t="shared" si="54"/>
        <v>244068.5183472959</v>
      </c>
      <c r="AF229">
        <f t="shared" si="55"/>
        <v>243959.16904088965</v>
      </c>
      <c r="AG229">
        <f t="shared" si="56"/>
        <v>242673.79737282937</v>
      </c>
      <c r="AH229">
        <f t="shared" si="57"/>
        <v>241588.59802633832</v>
      </c>
      <c r="AI229">
        <f t="shared" si="64"/>
        <v>245499.20404878713</v>
      </c>
    </row>
    <row r="230" spans="2:35" x14ac:dyDescent="0.3">
      <c r="B230">
        <v>187</v>
      </c>
      <c r="C230">
        <v>77255.931500000006</v>
      </c>
      <c r="D230">
        <v>76785.933000000005</v>
      </c>
      <c r="E230">
        <v>77584.301099999997</v>
      </c>
      <c r="F230">
        <v>77334.672999999995</v>
      </c>
      <c r="G230">
        <v>78116.2785</v>
      </c>
      <c r="H230">
        <v>78886.285399999993</v>
      </c>
      <c r="I230">
        <v>8.9549677837916821</v>
      </c>
      <c r="J230">
        <v>8.9246521866278368</v>
      </c>
      <c r="K230">
        <v>8.9010785880906429</v>
      </c>
      <c r="L230">
        <v>8.8999923753821371</v>
      </c>
      <c r="M230">
        <v>8.8707193940195381</v>
      </c>
      <c r="N230">
        <v>8.8453560203425319</v>
      </c>
      <c r="P230">
        <f t="shared" si="46"/>
        <v>191393.10201375047</v>
      </c>
      <c r="Q230">
        <f t="shared" si="47"/>
        <v>190953.6325988351</v>
      </c>
      <c r="R230">
        <f t="shared" si="48"/>
        <v>189448.05654271931</v>
      </c>
      <c r="S230">
        <f t="shared" si="49"/>
        <v>189665.0982614641</v>
      </c>
      <c r="T230">
        <f t="shared" si="50"/>
        <v>188005.30332058616</v>
      </c>
      <c r="U230">
        <f t="shared" si="51"/>
        <v>186474.39521027595</v>
      </c>
      <c r="V230">
        <f t="shared" si="58"/>
        <v>1</v>
      </c>
      <c r="W230">
        <f t="shared" si="59"/>
        <v>0</v>
      </c>
      <c r="X230">
        <f t="shared" si="60"/>
        <v>0</v>
      </c>
      <c r="Y230">
        <f t="shared" si="61"/>
        <v>0</v>
      </c>
      <c r="Z230">
        <f t="shared" si="62"/>
        <v>0</v>
      </c>
      <c r="AA230">
        <f t="shared" si="63"/>
        <v>0</v>
      </c>
      <c r="AC230">
        <f t="shared" si="52"/>
        <v>191393.10201375047</v>
      </c>
      <c r="AD230">
        <f t="shared" si="53"/>
        <v>190953.6325988351</v>
      </c>
      <c r="AE230">
        <f t="shared" si="54"/>
        <v>189448.05654271931</v>
      </c>
      <c r="AF230">
        <f t="shared" si="55"/>
        <v>189665.0982614641</v>
      </c>
      <c r="AG230">
        <f t="shared" si="56"/>
        <v>188005.30332058616</v>
      </c>
      <c r="AH230">
        <f t="shared" si="57"/>
        <v>186474.39521027595</v>
      </c>
      <c r="AI230">
        <f t="shared" si="64"/>
        <v>191393.10201375047</v>
      </c>
    </row>
    <row r="231" spans="2:35" x14ac:dyDescent="0.3">
      <c r="B231">
        <v>188</v>
      </c>
      <c r="C231">
        <v>69924.673299999995</v>
      </c>
      <c r="D231">
        <v>69519.458899999998</v>
      </c>
      <c r="E231">
        <v>70075.539199999999</v>
      </c>
      <c r="F231">
        <v>70418.458799999993</v>
      </c>
      <c r="G231">
        <v>70876.287100000001</v>
      </c>
      <c r="H231">
        <v>71464.078500000003</v>
      </c>
      <c r="I231">
        <v>9.2422846196064015</v>
      </c>
      <c r="J231">
        <v>9.1925039682588707</v>
      </c>
      <c r="K231">
        <v>9.1578481941202927</v>
      </c>
      <c r="L231">
        <v>9.1375105721528733</v>
      </c>
      <c r="M231">
        <v>9.1122824993230793</v>
      </c>
      <c r="N231">
        <v>9.0721095601168198</v>
      </c>
      <c r="P231">
        <f t="shared" si="46"/>
        <v>207343.86528819203</v>
      </c>
      <c r="Q231">
        <f t="shared" si="47"/>
        <v>206255.66014776615</v>
      </c>
      <c r="R231">
        <f t="shared" si="48"/>
        <v>204659.90662360878</v>
      </c>
      <c r="S231">
        <f t="shared" si="49"/>
        <v>203706.85836458622</v>
      </c>
      <c r="T231">
        <f t="shared" si="50"/>
        <v>202492.18787969236</v>
      </c>
      <c r="U231">
        <f t="shared" si="51"/>
        <v>200699.20830350457</v>
      </c>
      <c r="V231">
        <f t="shared" si="58"/>
        <v>1</v>
      </c>
      <c r="W231">
        <f t="shared" si="59"/>
        <v>0</v>
      </c>
      <c r="X231">
        <f t="shared" si="60"/>
        <v>0</v>
      </c>
      <c r="Y231">
        <f t="shared" si="61"/>
        <v>0</v>
      </c>
      <c r="Z231">
        <f t="shared" si="62"/>
        <v>0</v>
      </c>
      <c r="AA231">
        <f t="shared" si="63"/>
        <v>0</v>
      </c>
      <c r="AC231">
        <f t="shared" si="52"/>
        <v>207343.86528819203</v>
      </c>
      <c r="AD231">
        <f t="shared" si="53"/>
        <v>206255.66014776615</v>
      </c>
      <c r="AE231">
        <f t="shared" si="54"/>
        <v>204659.90662360878</v>
      </c>
      <c r="AF231">
        <f t="shared" si="55"/>
        <v>203706.85836458622</v>
      </c>
      <c r="AG231">
        <f t="shared" si="56"/>
        <v>202492.18787969236</v>
      </c>
      <c r="AH231">
        <f t="shared" si="57"/>
        <v>200699.20830350457</v>
      </c>
      <c r="AI231">
        <f t="shared" si="64"/>
        <v>207343.86528819203</v>
      </c>
    </row>
    <row r="232" spans="2:35" x14ac:dyDescent="0.3">
      <c r="B232">
        <v>189</v>
      </c>
      <c r="C232">
        <v>81964.216799999995</v>
      </c>
      <c r="D232">
        <v>81206.288700000005</v>
      </c>
      <c r="E232">
        <v>81559.061900000001</v>
      </c>
      <c r="F232">
        <v>81778.746100000004</v>
      </c>
      <c r="G232">
        <v>82061.754400000005</v>
      </c>
      <c r="H232">
        <v>82827.9908</v>
      </c>
      <c r="I232">
        <v>11.987458548777763</v>
      </c>
      <c r="J232">
        <v>11.975276066645259</v>
      </c>
      <c r="K232">
        <v>11.960682738412133</v>
      </c>
      <c r="L232">
        <v>11.950554733242193</v>
      </c>
      <c r="M232">
        <v>11.93882597863495</v>
      </c>
      <c r="N232">
        <v>11.921910368508833</v>
      </c>
      <c r="P232">
        <f t="shared" si="46"/>
        <v>277659.53966333292</v>
      </c>
      <c r="Q232">
        <f t="shared" si="47"/>
        <v>278051.99329935783</v>
      </c>
      <c r="R232">
        <f t="shared" si="48"/>
        <v>277261.42025236401</v>
      </c>
      <c r="S232">
        <f t="shared" si="49"/>
        <v>276737.89589726581</v>
      </c>
      <c r="T232">
        <f t="shared" si="50"/>
        <v>276103.02495904849</v>
      </c>
      <c r="U232">
        <f t="shared" si="51"/>
        <v>274829.32025526499</v>
      </c>
      <c r="V232">
        <f t="shared" si="58"/>
        <v>0</v>
      </c>
      <c r="W232">
        <f t="shared" si="59"/>
        <v>1</v>
      </c>
      <c r="X232">
        <f t="shared" si="60"/>
        <v>0</v>
      </c>
      <c r="Y232">
        <f t="shared" si="61"/>
        <v>0</v>
      </c>
      <c r="Z232">
        <f t="shared" si="62"/>
        <v>0</v>
      </c>
      <c r="AA232">
        <f t="shared" si="63"/>
        <v>0</v>
      </c>
      <c r="AC232">
        <f t="shared" si="52"/>
        <v>277659.53966333292</v>
      </c>
      <c r="AD232">
        <f t="shared" si="53"/>
        <v>278051.99329935783</v>
      </c>
      <c r="AE232">
        <f t="shared" si="54"/>
        <v>277261.42025236401</v>
      </c>
      <c r="AF232">
        <f t="shared" si="55"/>
        <v>276737.89589726581</v>
      </c>
      <c r="AG232">
        <f t="shared" si="56"/>
        <v>276103.02495904849</v>
      </c>
      <c r="AH232">
        <f t="shared" si="57"/>
        <v>274829.32025526499</v>
      </c>
      <c r="AI232">
        <f t="shared" si="64"/>
        <v>278051.99329935783</v>
      </c>
    </row>
    <row r="233" spans="2:35" x14ac:dyDescent="0.3">
      <c r="B233">
        <v>190</v>
      </c>
      <c r="C233">
        <v>81472.523400000005</v>
      </c>
      <c r="D233">
        <v>80743.692599999995</v>
      </c>
      <c r="E233">
        <v>81071.041599999997</v>
      </c>
      <c r="F233">
        <v>81252.319499999998</v>
      </c>
      <c r="G233">
        <v>81620.824500000002</v>
      </c>
      <c r="H233">
        <v>81864.869200000001</v>
      </c>
      <c r="I233">
        <v>9.793478488870381</v>
      </c>
      <c r="J233">
        <v>9.7572452386035913</v>
      </c>
      <c r="K233">
        <v>9.7410178120213171</v>
      </c>
      <c r="L233">
        <v>9.7269170787427672</v>
      </c>
      <c r="M233">
        <v>9.7120341619262796</v>
      </c>
      <c r="N233">
        <v>9.6840115455840277</v>
      </c>
      <c r="P233">
        <f t="shared" si="46"/>
        <v>212331.8312661114</v>
      </c>
      <c r="Q233">
        <f t="shared" si="47"/>
        <v>211973.66455810773</v>
      </c>
      <c r="R233">
        <f t="shared" si="48"/>
        <v>211159.49276063952</v>
      </c>
      <c r="S233">
        <f t="shared" si="49"/>
        <v>210555.19286228303</v>
      </c>
      <c r="T233">
        <f t="shared" si="50"/>
        <v>209740.20035778842</v>
      </c>
      <c r="U233">
        <f t="shared" si="51"/>
        <v>208655.47716752079</v>
      </c>
      <c r="V233">
        <f t="shared" si="58"/>
        <v>1</v>
      </c>
      <c r="W233">
        <f t="shared" si="59"/>
        <v>0</v>
      </c>
      <c r="X233">
        <f t="shared" si="60"/>
        <v>0</v>
      </c>
      <c r="Y233">
        <f t="shared" si="61"/>
        <v>0</v>
      </c>
      <c r="Z233">
        <f t="shared" si="62"/>
        <v>0</v>
      </c>
      <c r="AA233">
        <f t="shared" si="63"/>
        <v>0</v>
      </c>
      <c r="AC233">
        <f t="shared" si="52"/>
        <v>212331.8312661114</v>
      </c>
      <c r="AD233">
        <f t="shared" si="53"/>
        <v>211973.66455810773</v>
      </c>
      <c r="AE233">
        <f t="shared" si="54"/>
        <v>211159.49276063952</v>
      </c>
      <c r="AF233">
        <f t="shared" si="55"/>
        <v>210555.19286228303</v>
      </c>
      <c r="AG233">
        <f t="shared" si="56"/>
        <v>209740.20035778842</v>
      </c>
      <c r="AH233">
        <f t="shared" si="57"/>
        <v>208655.47716752079</v>
      </c>
      <c r="AI233">
        <f t="shared" si="64"/>
        <v>212331.8312661114</v>
      </c>
    </row>
    <row r="234" spans="2:35" x14ac:dyDescent="0.3">
      <c r="B234">
        <v>191</v>
      </c>
      <c r="C234">
        <v>73012.072799999994</v>
      </c>
      <c r="D234">
        <v>71974.6976</v>
      </c>
      <c r="E234">
        <v>72340.280899999998</v>
      </c>
      <c r="F234">
        <v>72265.238700000002</v>
      </c>
      <c r="G234">
        <v>72300.281400000007</v>
      </c>
      <c r="H234">
        <v>72715.919399999999</v>
      </c>
      <c r="I234">
        <v>9.7216379818555581</v>
      </c>
      <c r="J234">
        <v>9.6965309425298525</v>
      </c>
      <c r="K234">
        <v>9.6810438500253326</v>
      </c>
      <c r="L234">
        <v>9.6796772531169299</v>
      </c>
      <c r="M234">
        <v>9.6602591190941673</v>
      </c>
      <c r="N234">
        <v>9.6431711974197398</v>
      </c>
      <c r="P234">
        <f t="shared" si="46"/>
        <v>218637.06665566677</v>
      </c>
      <c r="Q234">
        <f t="shared" si="47"/>
        <v>218921.23067589558</v>
      </c>
      <c r="R234">
        <f t="shared" si="48"/>
        <v>218091.03460075997</v>
      </c>
      <c r="S234">
        <f t="shared" si="49"/>
        <v>218125.07889350789</v>
      </c>
      <c r="T234">
        <f t="shared" si="50"/>
        <v>217507.492172825</v>
      </c>
      <c r="U234">
        <f t="shared" si="51"/>
        <v>216579.21652259218</v>
      </c>
      <c r="V234">
        <f t="shared" si="58"/>
        <v>0</v>
      </c>
      <c r="W234">
        <f t="shared" si="59"/>
        <v>1</v>
      </c>
      <c r="X234">
        <f t="shared" si="60"/>
        <v>0</v>
      </c>
      <c r="Y234">
        <f t="shared" si="61"/>
        <v>0</v>
      </c>
      <c r="Z234">
        <f t="shared" si="62"/>
        <v>0</v>
      </c>
      <c r="AA234">
        <f t="shared" si="63"/>
        <v>0</v>
      </c>
      <c r="AC234">
        <f t="shared" si="52"/>
        <v>218637.06665566677</v>
      </c>
      <c r="AD234">
        <f t="shared" si="53"/>
        <v>218921.23067589558</v>
      </c>
      <c r="AE234">
        <f t="shared" si="54"/>
        <v>218091.03460075997</v>
      </c>
      <c r="AF234">
        <f t="shared" si="55"/>
        <v>218125.07889350789</v>
      </c>
      <c r="AG234">
        <f t="shared" si="56"/>
        <v>217507.492172825</v>
      </c>
      <c r="AH234">
        <f t="shared" si="57"/>
        <v>216579.21652259218</v>
      </c>
      <c r="AI234">
        <f t="shared" si="64"/>
        <v>218921.23067589558</v>
      </c>
    </row>
    <row r="235" spans="2:35" x14ac:dyDescent="0.3">
      <c r="B235">
        <v>192</v>
      </c>
      <c r="C235">
        <v>72043.595100000006</v>
      </c>
      <c r="D235">
        <v>71851.808399999994</v>
      </c>
      <c r="E235">
        <v>72425.225600000005</v>
      </c>
      <c r="F235">
        <v>72735.955900000001</v>
      </c>
      <c r="G235">
        <v>73507.379700000005</v>
      </c>
      <c r="H235">
        <v>74088.115399999995</v>
      </c>
      <c r="I235">
        <v>9.9184955520358287</v>
      </c>
      <c r="J235">
        <v>9.8849758580761229</v>
      </c>
      <c r="K235">
        <v>9.8633695376098807</v>
      </c>
      <c r="L235">
        <v>9.8461653565118308</v>
      </c>
      <c r="M235">
        <v>9.8229192310719977</v>
      </c>
      <c r="N235">
        <v>9.7997781754743531</v>
      </c>
      <c r="P235">
        <f t="shared" si="46"/>
        <v>225511.27146107485</v>
      </c>
      <c r="Q235">
        <f t="shared" si="47"/>
        <v>224697.46734228369</v>
      </c>
      <c r="R235">
        <f t="shared" si="48"/>
        <v>223475.86052829644</v>
      </c>
      <c r="S235">
        <f t="shared" si="49"/>
        <v>222649.00479535491</v>
      </c>
      <c r="T235">
        <f t="shared" si="50"/>
        <v>221180.19723215996</v>
      </c>
      <c r="U235">
        <f t="shared" si="51"/>
        <v>219905.22986423061</v>
      </c>
      <c r="V235">
        <f t="shared" si="58"/>
        <v>1</v>
      </c>
      <c r="W235">
        <f t="shared" si="59"/>
        <v>0</v>
      </c>
      <c r="X235">
        <f t="shared" si="60"/>
        <v>0</v>
      </c>
      <c r="Y235">
        <f t="shared" si="61"/>
        <v>0</v>
      </c>
      <c r="Z235">
        <f t="shared" si="62"/>
        <v>0</v>
      </c>
      <c r="AA235">
        <f t="shared" si="63"/>
        <v>0</v>
      </c>
      <c r="AC235">
        <f t="shared" si="52"/>
        <v>225511.27146107485</v>
      </c>
      <c r="AD235">
        <f t="shared" si="53"/>
        <v>224697.46734228369</v>
      </c>
      <c r="AE235">
        <f t="shared" si="54"/>
        <v>223475.86052829644</v>
      </c>
      <c r="AF235">
        <f t="shared" si="55"/>
        <v>222649.00479535491</v>
      </c>
      <c r="AG235">
        <f t="shared" si="56"/>
        <v>221180.19723215996</v>
      </c>
      <c r="AH235">
        <f t="shared" si="57"/>
        <v>219905.22986423061</v>
      </c>
      <c r="AI235">
        <f t="shared" si="64"/>
        <v>225511.27146107485</v>
      </c>
    </row>
    <row r="236" spans="2:35" x14ac:dyDescent="0.3">
      <c r="B236">
        <v>193</v>
      </c>
      <c r="C236">
        <v>73451.892000000007</v>
      </c>
      <c r="D236">
        <v>72917.227400000003</v>
      </c>
      <c r="E236">
        <v>73524.278099999996</v>
      </c>
      <c r="F236">
        <v>73445.089900000006</v>
      </c>
      <c r="G236">
        <v>73943.9476</v>
      </c>
      <c r="H236">
        <v>74614.578399999999</v>
      </c>
      <c r="I236">
        <v>8.6286926615225443</v>
      </c>
      <c r="J236">
        <v>8.6271268414189208</v>
      </c>
      <c r="K236">
        <v>8.625454742823047</v>
      </c>
      <c r="L236">
        <v>8.6245641700819089</v>
      </c>
      <c r="M236">
        <v>8.6225978585240917</v>
      </c>
      <c r="N236">
        <v>8.6212922004429053</v>
      </c>
      <c r="P236">
        <f t="shared" ref="P236:P299" si="65">Threshold*I236-C236</f>
        <v>185408.88784567633</v>
      </c>
      <c r="Q236">
        <f t="shared" ref="Q236:Q299" si="66">Threshold*J236-D236</f>
        <v>185896.57784256761</v>
      </c>
      <c r="R236">
        <f t="shared" ref="R236:R299" si="67">Threshold*K236-E236</f>
        <v>185239.36418469143</v>
      </c>
      <c r="S236">
        <f t="shared" ref="S236:S299" si="68">Threshold*L236-F236</f>
        <v>185291.83520245727</v>
      </c>
      <c r="T236">
        <f t="shared" ref="T236:T299" si="69">Threshold*M236-G236</f>
        <v>184733.98815572273</v>
      </c>
      <c r="U236">
        <f t="shared" ref="U236:U299" si="70">Threshold*N236-H236</f>
        <v>184024.18761328715</v>
      </c>
      <c r="V236">
        <f t="shared" si="58"/>
        <v>0</v>
      </c>
      <c r="W236">
        <f t="shared" si="59"/>
        <v>1</v>
      </c>
      <c r="X236">
        <f t="shared" si="60"/>
        <v>0</v>
      </c>
      <c r="Y236">
        <f t="shared" si="61"/>
        <v>0</v>
      </c>
      <c r="Z236">
        <f t="shared" si="62"/>
        <v>0</v>
      </c>
      <c r="AA236">
        <f t="shared" si="63"/>
        <v>0</v>
      </c>
      <c r="AC236">
        <f t="shared" ref="AC236:AC299" si="71">Threshold*I236-C236</f>
        <v>185408.88784567633</v>
      </c>
      <c r="AD236">
        <f t="shared" ref="AD236:AD299" si="72">Threshold*J236-D236</f>
        <v>185896.57784256761</v>
      </c>
      <c r="AE236">
        <f t="shared" ref="AE236:AE299" si="73">Threshold*K236-E236</f>
        <v>185239.36418469143</v>
      </c>
      <c r="AF236">
        <f t="shared" ref="AF236:AF299" si="74">Threshold*L236-F236</f>
        <v>185291.83520245727</v>
      </c>
      <c r="AG236">
        <f t="shared" ref="AG236:AG299" si="75">Threshold*M236-G236</f>
        <v>184733.98815572273</v>
      </c>
      <c r="AH236">
        <f t="shared" ref="AH236:AH299" si="76">Threshold*N236-H236</f>
        <v>184024.18761328715</v>
      </c>
      <c r="AI236">
        <f t="shared" si="64"/>
        <v>185896.57784256761</v>
      </c>
    </row>
    <row r="237" spans="2:35" x14ac:dyDescent="0.3">
      <c r="B237">
        <v>194</v>
      </c>
      <c r="C237">
        <v>74878.354600000006</v>
      </c>
      <c r="D237">
        <v>73468.629799999995</v>
      </c>
      <c r="E237">
        <v>73528.451000000001</v>
      </c>
      <c r="F237">
        <v>73242.455400000006</v>
      </c>
      <c r="G237">
        <v>72989.123399999997</v>
      </c>
      <c r="H237">
        <v>72889.139299999995</v>
      </c>
      <c r="I237">
        <v>9.8335075220405823</v>
      </c>
      <c r="J237">
        <v>9.7999884813510629</v>
      </c>
      <c r="K237">
        <v>9.7787538012058413</v>
      </c>
      <c r="L237">
        <v>9.7614046122586942</v>
      </c>
      <c r="M237">
        <v>9.7327711924260694</v>
      </c>
      <c r="N237">
        <v>9.7046435475405577</v>
      </c>
      <c r="P237">
        <f t="shared" si="65"/>
        <v>220126.87106121745</v>
      </c>
      <c r="Q237">
        <f t="shared" si="66"/>
        <v>220531.02464053192</v>
      </c>
      <c r="R237">
        <f t="shared" si="67"/>
        <v>219834.16303617525</v>
      </c>
      <c r="S237">
        <f t="shared" si="68"/>
        <v>219599.6829677608</v>
      </c>
      <c r="T237">
        <f t="shared" si="69"/>
        <v>218994.0123727821</v>
      </c>
      <c r="U237">
        <f t="shared" si="70"/>
        <v>218250.16712621675</v>
      </c>
      <c r="V237">
        <f t="shared" ref="V237:V300" si="77">IF(MAX(P237:U237)=P237, 1, 0)</f>
        <v>0</v>
      </c>
      <c r="W237">
        <f t="shared" ref="W237:W300" si="78">IF(MAX(P237:U237)=Q237, 1, 0)</f>
        <v>1</v>
      </c>
      <c r="X237">
        <f t="shared" ref="X237:X300" si="79">IF(MAX(P237:U237)=R237, 1, 0)</f>
        <v>0</v>
      </c>
      <c r="Y237">
        <f t="shared" ref="Y237:Y300" si="80">IF(MAX(P237:U237)=S237, 1, 0)</f>
        <v>0</v>
      </c>
      <c r="Z237">
        <f t="shared" ref="Z237:Z300" si="81">IF(MAX(P237:U237)=T237, 1, 0)</f>
        <v>0</v>
      </c>
      <c r="AA237">
        <f t="shared" ref="AA237:AA300" si="82">IF(MAX(P237:U237)=U237, 1, 0)</f>
        <v>0</v>
      </c>
      <c r="AC237">
        <f t="shared" si="71"/>
        <v>220126.87106121745</v>
      </c>
      <c r="AD237">
        <f t="shared" si="72"/>
        <v>220531.02464053192</v>
      </c>
      <c r="AE237">
        <f t="shared" si="73"/>
        <v>219834.16303617525</v>
      </c>
      <c r="AF237">
        <f t="shared" si="74"/>
        <v>219599.6829677608</v>
      </c>
      <c r="AG237">
        <f t="shared" si="75"/>
        <v>218994.0123727821</v>
      </c>
      <c r="AH237">
        <f t="shared" si="76"/>
        <v>218250.16712621675</v>
      </c>
      <c r="AI237">
        <f t="shared" ref="AI237:AI300" si="83">MAX(AC237:AH237)</f>
        <v>220531.02464053192</v>
      </c>
    </row>
    <row r="238" spans="2:35" x14ac:dyDescent="0.3">
      <c r="B238">
        <v>195</v>
      </c>
      <c r="C238">
        <v>70307.2641</v>
      </c>
      <c r="D238">
        <v>69711.859800000006</v>
      </c>
      <c r="E238">
        <v>70531.092199999999</v>
      </c>
      <c r="F238">
        <v>70609.641900000002</v>
      </c>
      <c r="G238">
        <v>71151.898199999996</v>
      </c>
      <c r="H238">
        <v>71816.288400000005</v>
      </c>
      <c r="I238">
        <v>9.588089385893241</v>
      </c>
      <c r="J238">
        <v>9.5689777265458744</v>
      </c>
      <c r="K238">
        <v>9.5578782673546261</v>
      </c>
      <c r="L238">
        <v>9.5500669963133831</v>
      </c>
      <c r="M238">
        <v>9.5359124520460909</v>
      </c>
      <c r="N238">
        <v>9.5221530525182523</v>
      </c>
      <c r="P238">
        <f t="shared" si="65"/>
        <v>217335.41747679721</v>
      </c>
      <c r="Q238">
        <f t="shared" si="66"/>
        <v>217357.4719963762</v>
      </c>
      <c r="R238">
        <f t="shared" si="67"/>
        <v>216205.25582063879</v>
      </c>
      <c r="S238">
        <f t="shared" si="68"/>
        <v>215892.36798940151</v>
      </c>
      <c r="T238">
        <f t="shared" si="69"/>
        <v>214925.47536138271</v>
      </c>
      <c r="U238">
        <f t="shared" si="70"/>
        <v>213848.30317554757</v>
      </c>
      <c r="V238">
        <f t="shared" si="77"/>
        <v>0</v>
      </c>
      <c r="W238">
        <f t="shared" si="78"/>
        <v>1</v>
      </c>
      <c r="X238">
        <f t="shared" si="79"/>
        <v>0</v>
      </c>
      <c r="Y238">
        <f t="shared" si="80"/>
        <v>0</v>
      </c>
      <c r="Z238">
        <f t="shared" si="81"/>
        <v>0</v>
      </c>
      <c r="AA238">
        <f t="shared" si="82"/>
        <v>0</v>
      </c>
      <c r="AC238">
        <f t="shared" si="71"/>
        <v>217335.41747679721</v>
      </c>
      <c r="AD238">
        <f t="shared" si="72"/>
        <v>217357.4719963762</v>
      </c>
      <c r="AE238">
        <f t="shared" si="73"/>
        <v>216205.25582063879</v>
      </c>
      <c r="AF238">
        <f t="shared" si="74"/>
        <v>215892.36798940151</v>
      </c>
      <c r="AG238">
        <f t="shared" si="75"/>
        <v>214925.47536138271</v>
      </c>
      <c r="AH238">
        <f t="shared" si="76"/>
        <v>213848.30317554757</v>
      </c>
      <c r="AI238">
        <f t="shared" si="83"/>
        <v>217357.4719963762</v>
      </c>
    </row>
    <row r="239" spans="2:35" x14ac:dyDescent="0.3">
      <c r="B239">
        <v>196</v>
      </c>
      <c r="C239">
        <v>81253.600600000005</v>
      </c>
      <c r="D239">
        <v>80117.827600000004</v>
      </c>
      <c r="E239">
        <v>80096.660199999998</v>
      </c>
      <c r="F239">
        <v>79865.087100000004</v>
      </c>
      <c r="G239">
        <v>80010.523700000005</v>
      </c>
      <c r="H239">
        <v>80053.910900000003</v>
      </c>
      <c r="I239">
        <v>11.036829855356613</v>
      </c>
      <c r="J239">
        <v>11.022400158609756</v>
      </c>
      <c r="K239">
        <v>11.011332361936095</v>
      </c>
      <c r="L239">
        <v>11.006576755782463</v>
      </c>
      <c r="M239">
        <v>10.99726609457452</v>
      </c>
      <c r="N239">
        <v>10.986006445302825</v>
      </c>
      <c r="P239">
        <f t="shared" si="65"/>
        <v>249851.29506069841</v>
      </c>
      <c r="Q239">
        <f t="shared" si="66"/>
        <v>250554.17715829267</v>
      </c>
      <c r="R239">
        <f t="shared" si="67"/>
        <v>250243.31065808283</v>
      </c>
      <c r="S239">
        <f t="shared" si="68"/>
        <v>250332.21557347389</v>
      </c>
      <c r="T239">
        <f t="shared" si="69"/>
        <v>249907.45913723559</v>
      </c>
      <c r="U239">
        <f t="shared" si="70"/>
        <v>249526.28245908476</v>
      </c>
      <c r="V239">
        <f t="shared" si="77"/>
        <v>0</v>
      </c>
      <c r="W239">
        <f t="shared" si="78"/>
        <v>1</v>
      </c>
      <c r="X239">
        <f t="shared" si="79"/>
        <v>0</v>
      </c>
      <c r="Y239">
        <f t="shared" si="80"/>
        <v>0</v>
      </c>
      <c r="Z239">
        <f t="shared" si="81"/>
        <v>0</v>
      </c>
      <c r="AA239">
        <f t="shared" si="82"/>
        <v>0</v>
      </c>
      <c r="AC239">
        <f t="shared" si="71"/>
        <v>249851.29506069841</v>
      </c>
      <c r="AD239">
        <f t="shared" si="72"/>
        <v>250554.17715829267</v>
      </c>
      <c r="AE239">
        <f t="shared" si="73"/>
        <v>250243.31065808283</v>
      </c>
      <c r="AF239">
        <f t="shared" si="74"/>
        <v>250332.21557347389</v>
      </c>
      <c r="AG239">
        <f t="shared" si="75"/>
        <v>249907.45913723559</v>
      </c>
      <c r="AH239">
        <f t="shared" si="76"/>
        <v>249526.28245908476</v>
      </c>
      <c r="AI239">
        <f t="shared" si="83"/>
        <v>250554.17715829267</v>
      </c>
    </row>
    <row r="240" spans="2:35" x14ac:dyDescent="0.3">
      <c r="B240">
        <v>197</v>
      </c>
      <c r="C240">
        <v>71877.492800000007</v>
      </c>
      <c r="D240">
        <v>71408.771500000003</v>
      </c>
      <c r="E240">
        <v>72045.787200000006</v>
      </c>
      <c r="F240">
        <v>71949.963300000003</v>
      </c>
      <c r="G240">
        <v>72415.560200000007</v>
      </c>
      <c r="H240">
        <v>72974.409799999994</v>
      </c>
      <c r="I240">
        <v>10.661142268426275</v>
      </c>
      <c r="J240">
        <v>10.641380670059988</v>
      </c>
      <c r="K240">
        <v>10.631640426984299</v>
      </c>
      <c r="L240">
        <v>10.623170457265731</v>
      </c>
      <c r="M240">
        <v>10.610461631957804</v>
      </c>
      <c r="N240">
        <v>10.591687282969279</v>
      </c>
      <c r="P240">
        <f t="shared" si="65"/>
        <v>247956.77525278821</v>
      </c>
      <c r="Q240">
        <f t="shared" si="66"/>
        <v>247832.64860179965</v>
      </c>
      <c r="R240">
        <f t="shared" si="67"/>
        <v>246903.42560952896</v>
      </c>
      <c r="S240">
        <f t="shared" si="68"/>
        <v>246745.15041797195</v>
      </c>
      <c r="T240">
        <f t="shared" si="69"/>
        <v>245898.28875873412</v>
      </c>
      <c r="U240">
        <f t="shared" si="70"/>
        <v>244776.20868907837</v>
      </c>
      <c r="V240">
        <f t="shared" si="77"/>
        <v>1</v>
      </c>
      <c r="W240">
        <f t="shared" si="78"/>
        <v>0</v>
      </c>
      <c r="X240">
        <f t="shared" si="79"/>
        <v>0</v>
      </c>
      <c r="Y240">
        <f t="shared" si="80"/>
        <v>0</v>
      </c>
      <c r="Z240">
        <f t="shared" si="81"/>
        <v>0</v>
      </c>
      <c r="AA240">
        <f t="shared" si="82"/>
        <v>0</v>
      </c>
      <c r="AC240">
        <f t="shared" si="71"/>
        <v>247956.77525278821</v>
      </c>
      <c r="AD240">
        <f t="shared" si="72"/>
        <v>247832.64860179965</v>
      </c>
      <c r="AE240">
        <f t="shared" si="73"/>
        <v>246903.42560952896</v>
      </c>
      <c r="AF240">
        <f t="shared" si="74"/>
        <v>246745.15041797195</v>
      </c>
      <c r="AG240">
        <f t="shared" si="75"/>
        <v>245898.28875873412</v>
      </c>
      <c r="AH240">
        <f t="shared" si="76"/>
        <v>244776.20868907837</v>
      </c>
      <c r="AI240">
        <f t="shared" si="83"/>
        <v>247956.77525278821</v>
      </c>
    </row>
    <row r="241" spans="2:35" x14ac:dyDescent="0.3">
      <c r="B241">
        <v>198</v>
      </c>
      <c r="C241">
        <v>81481.630799999999</v>
      </c>
      <c r="D241">
        <v>80281.603700000007</v>
      </c>
      <c r="E241">
        <v>80155.760999999999</v>
      </c>
      <c r="F241">
        <v>80125.506699999998</v>
      </c>
      <c r="G241">
        <v>80069.460000000006</v>
      </c>
      <c r="H241">
        <v>80158.789499999999</v>
      </c>
      <c r="I241">
        <v>10.570024025139261</v>
      </c>
      <c r="J241">
        <v>10.540022421935673</v>
      </c>
      <c r="K241">
        <v>10.511850544000573</v>
      </c>
      <c r="L241">
        <v>10.491913812263649</v>
      </c>
      <c r="M241">
        <v>10.465011135912441</v>
      </c>
      <c r="N241">
        <v>10.432703275996477</v>
      </c>
      <c r="P241">
        <f t="shared" si="65"/>
        <v>235619.08995417785</v>
      </c>
      <c r="Q241">
        <f t="shared" si="66"/>
        <v>235919.06895807016</v>
      </c>
      <c r="R241">
        <f t="shared" si="67"/>
        <v>235199.75532001723</v>
      </c>
      <c r="S241">
        <f t="shared" si="68"/>
        <v>234631.90766790949</v>
      </c>
      <c r="T241">
        <f t="shared" si="69"/>
        <v>233880.87407737318</v>
      </c>
      <c r="U241">
        <f t="shared" si="70"/>
        <v>232822.30877989432</v>
      </c>
      <c r="V241">
        <f t="shared" si="77"/>
        <v>0</v>
      </c>
      <c r="W241">
        <f t="shared" si="78"/>
        <v>1</v>
      </c>
      <c r="X241">
        <f t="shared" si="79"/>
        <v>0</v>
      </c>
      <c r="Y241">
        <f t="shared" si="80"/>
        <v>0</v>
      </c>
      <c r="Z241">
        <f t="shared" si="81"/>
        <v>0</v>
      </c>
      <c r="AA241">
        <f t="shared" si="82"/>
        <v>0</v>
      </c>
      <c r="AC241">
        <f t="shared" si="71"/>
        <v>235619.08995417785</v>
      </c>
      <c r="AD241">
        <f t="shared" si="72"/>
        <v>235919.06895807016</v>
      </c>
      <c r="AE241">
        <f t="shared" si="73"/>
        <v>235199.75532001723</v>
      </c>
      <c r="AF241">
        <f t="shared" si="74"/>
        <v>234631.90766790949</v>
      </c>
      <c r="AG241">
        <f t="shared" si="75"/>
        <v>233880.87407737318</v>
      </c>
      <c r="AH241">
        <f t="shared" si="76"/>
        <v>232822.30877989432</v>
      </c>
      <c r="AI241">
        <f t="shared" si="83"/>
        <v>235919.06895807016</v>
      </c>
    </row>
    <row r="242" spans="2:35" x14ac:dyDescent="0.3">
      <c r="B242">
        <v>199</v>
      </c>
      <c r="C242">
        <v>72478.925000000003</v>
      </c>
      <c r="D242">
        <v>71438.418099999995</v>
      </c>
      <c r="E242">
        <v>71896.003800000006</v>
      </c>
      <c r="F242">
        <v>71762.491699999999</v>
      </c>
      <c r="G242">
        <v>71815.061199999996</v>
      </c>
      <c r="H242">
        <v>72074.323099999994</v>
      </c>
      <c r="I242">
        <v>10.282642229314883</v>
      </c>
      <c r="J242">
        <v>10.246965029346768</v>
      </c>
      <c r="K242">
        <v>10.230298477053593</v>
      </c>
      <c r="L242">
        <v>10.219332683085151</v>
      </c>
      <c r="M242">
        <v>10.194111683230444</v>
      </c>
      <c r="N242">
        <v>10.17055259780332</v>
      </c>
      <c r="P242">
        <f t="shared" si="65"/>
        <v>236000.34187944647</v>
      </c>
      <c r="Q242">
        <f t="shared" si="66"/>
        <v>235970.53278040304</v>
      </c>
      <c r="R242">
        <f t="shared" si="67"/>
        <v>235012.95051160775</v>
      </c>
      <c r="S242">
        <f t="shared" si="68"/>
        <v>234817.48879255453</v>
      </c>
      <c r="T242">
        <f t="shared" si="69"/>
        <v>234008.28929691331</v>
      </c>
      <c r="U242">
        <f t="shared" si="70"/>
        <v>233042.25483409961</v>
      </c>
      <c r="V242">
        <f t="shared" si="77"/>
        <v>1</v>
      </c>
      <c r="W242">
        <f t="shared" si="78"/>
        <v>0</v>
      </c>
      <c r="X242">
        <f t="shared" si="79"/>
        <v>0</v>
      </c>
      <c r="Y242">
        <f t="shared" si="80"/>
        <v>0</v>
      </c>
      <c r="Z242">
        <f t="shared" si="81"/>
        <v>0</v>
      </c>
      <c r="AA242">
        <f t="shared" si="82"/>
        <v>0</v>
      </c>
      <c r="AC242">
        <f t="shared" si="71"/>
        <v>236000.34187944647</v>
      </c>
      <c r="AD242">
        <f t="shared" si="72"/>
        <v>235970.53278040304</v>
      </c>
      <c r="AE242">
        <f t="shared" si="73"/>
        <v>235012.95051160775</v>
      </c>
      <c r="AF242">
        <f t="shared" si="74"/>
        <v>234817.48879255453</v>
      </c>
      <c r="AG242">
        <f t="shared" si="75"/>
        <v>234008.28929691331</v>
      </c>
      <c r="AH242">
        <f t="shared" si="76"/>
        <v>233042.25483409961</v>
      </c>
      <c r="AI242">
        <f t="shared" si="83"/>
        <v>236000.34187944647</v>
      </c>
    </row>
    <row r="243" spans="2:35" x14ac:dyDescent="0.3">
      <c r="B243">
        <v>200</v>
      </c>
      <c r="C243">
        <v>70065.820200000002</v>
      </c>
      <c r="D243">
        <v>69333.079700000002</v>
      </c>
      <c r="E243">
        <v>70010.939899999998</v>
      </c>
      <c r="F243">
        <v>69929.694600000003</v>
      </c>
      <c r="G243">
        <v>70489.779599999994</v>
      </c>
      <c r="H243">
        <v>71155.449900000007</v>
      </c>
      <c r="I243">
        <v>10.44527636704721</v>
      </c>
      <c r="J243">
        <v>10.380997391935235</v>
      </c>
      <c r="K243">
        <v>10.343114872358013</v>
      </c>
      <c r="L243">
        <v>10.333134018109348</v>
      </c>
      <c r="M243">
        <v>10.299992353896979</v>
      </c>
      <c r="N243">
        <v>10.251400409232403</v>
      </c>
      <c r="P243">
        <f t="shared" si="65"/>
        <v>243292.47081141628</v>
      </c>
      <c r="Q243">
        <f t="shared" si="66"/>
        <v>242096.84205805708</v>
      </c>
      <c r="R243">
        <f t="shared" si="67"/>
        <v>240282.50627074041</v>
      </c>
      <c r="S243">
        <f t="shared" si="68"/>
        <v>240064.32594328048</v>
      </c>
      <c r="T243">
        <f t="shared" si="69"/>
        <v>238509.99101690936</v>
      </c>
      <c r="U243">
        <f t="shared" si="70"/>
        <v>236386.56237697206</v>
      </c>
      <c r="V243">
        <f t="shared" si="77"/>
        <v>1</v>
      </c>
      <c r="W243">
        <f t="shared" si="78"/>
        <v>0</v>
      </c>
      <c r="X243">
        <f t="shared" si="79"/>
        <v>0</v>
      </c>
      <c r="Y243">
        <f t="shared" si="80"/>
        <v>0</v>
      </c>
      <c r="Z243">
        <f t="shared" si="81"/>
        <v>0</v>
      </c>
      <c r="AA243">
        <f t="shared" si="82"/>
        <v>0</v>
      </c>
      <c r="AC243">
        <f t="shared" si="71"/>
        <v>243292.47081141628</v>
      </c>
      <c r="AD243">
        <f t="shared" si="72"/>
        <v>242096.84205805708</v>
      </c>
      <c r="AE243">
        <f t="shared" si="73"/>
        <v>240282.50627074041</v>
      </c>
      <c r="AF243">
        <f t="shared" si="74"/>
        <v>240064.32594328048</v>
      </c>
      <c r="AG243">
        <f t="shared" si="75"/>
        <v>238509.99101690936</v>
      </c>
      <c r="AH243">
        <f t="shared" si="76"/>
        <v>236386.56237697206</v>
      </c>
      <c r="AI243">
        <f t="shared" si="83"/>
        <v>243292.47081141628</v>
      </c>
    </row>
    <row r="244" spans="2:35" x14ac:dyDescent="0.3">
      <c r="B244">
        <v>201</v>
      </c>
      <c r="C244">
        <v>73190.488700000002</v>
      </c>
      <c r="D244">
        <v>71274.5236</v>
      </c>
      <c r="E244">
        <v>71058.961800000005</v>
      </c>
      <c r="F244">
        <v>70764.586500000005</v>
      </c>
      <c r="G244">
        <v>70408.800300000003</v>
      </c>
      <c r="H244">
        <v>70050.579100000003</v>
      </c>
      <c r="I244">
        <v>10.031137832827214</v>
      </c>
      <c r="J244">
        <v>9.9860237807040608</v>
      </c>
      <c r="K244">
        <v>9.9637232652772898</v>
      </c>
      <c r="L244">
        <v>9.9555116503834746</v>
      </c>
      <c r="M244">
        <v>9.9346493024951386</v>
      </c>
      <c r="N244">
        <v>9.9050187507002434</v>
      </c>
      <c r="P244">
        <f t="shared" si="65"/>
        <v>227743.64628481644</v>
      </c>
      <c r="Q244">
        <f t="shared" si="66"/>
        <v>228306.18982112181</v>
      </c>
      <c r="R244">
        <f t="shared" si="67"/>
        <v>227852.7361583187</v>
      </c>
      <c r="S244">
        <f t="shared" si="68"/>
        <v>227900.76301150423</v>
      </c>
      <c r="T244">
        <f t="shared" si="69"/>
        <v>227630.67877485417</v>
      </c>
      <c r="U244">
        <f t="shared" si="70"/>
        <v>227099.98342100732</v>
      </c>
      <c r="V244">
        <f t="shared" si="77"/>
        <v>0</v>
      </c>
      <c r="W244">
        <f t="shared" si="78"/>
        <v>1</v>
      </c>
      <c r="X244">
        <f t="shared" si="79"/>
        <v>0</v>
      </c>
      <c r="Y244">
        <f t="shared" si="80"/>
        <v>0</v>
      </c>
      <c r="Z244">
        <f t="shared" si="81"/>
        <v>0</v>
      </c>
      <c r="AA244">
        <f t="shared" si="82"/>
        <v>0</v>
      </c>
      <c r="AC244">
        <f t="shared" si="71"/>
        <v>227743.64628481644</v>
      </c>
      <c r="AD244">
        <f t="shared" si="72"/>
        <v>228306.18982112181</v>
      </c>
      <c r="AE244">
        <f t="shared" si="73"/>
        <v>227852.7361583187</v>
      </c>
      <c r="AF244">
        <f t="shared" si="74"/>
        <v>227900.76301150423</v>
      </c>
      <c r="AG244">
        <f t="shared" si="75"/>
        <v>227630.67877485417</v>
      </c>
      <c r="AH244">
        <f t="shared" si="76"/>
        <v>227099.98342100732</v>
      </c>
      <c r="AI244">
        <f t="shared" si="83"/>
        <v>228306.18982112181</v>
      </c>
    </row>
    <row r="245" spans="2:35" x14ac:dyDescent="0.3">
      <c r="B245">
        <v>202</v>
      </c>
      <c r="C245">
        <v>77041.018299999996</v>
      </c>
      <c r="D245">
        <v>76294.605200000005</v>
      </c>
      <c r="E245">
        <v>76753.913</v>
      </c>
      <c r="F245">
        <v>76780.477199999994</v>
      </c>
      <c r="G245">
        <v>77050.405299999999</v>
      </c>
      <c r="H245">
        <v>77470.350399999996</v>
      </c>
      <c r="I245">
        <v>10.678367227488353</v>
      </c>
      <c r="J245">
        <v>10.631324293960587</v>
      </c>
      <c r="K245">
        <v>10.601607260534267</v>
      </c>
      <c r="L245">
        <v>10.582969987629781</v>
      </c>
      <c r="M245">
        <v>10.555836951922121</v>
      </c>
      <c r="N245">
        <v>10.517263542479204</v>
      </c>
      <c r="P245">
        <f t="shared" si="65"/>
        <v>243309.99852465058</v>
      </c>
      <c r="Q245">
        <f t="shared" si="66"/>
        <v>242645.1236188176</v>
      </c>
      <c r="R245">
        <f t="shared" si="67"/>
        <v>241294.30481602805</v>
      </c>
      <c r="S245">
        <f t="shared" si="68"/>
        <v>240708.62242889343</v>
      </c>
      <c r="T245">
        <f t="shared" si="69"/>
        <v>239624.70325766364</v>
      </c>
      <c r="U245">
        <f t="shared" si="70"/>
        <v>238047.55587437615</v>
      </c>
      <c r="V245">
        <f t="shared" si="77"/>
        <v>1</v>
      </c>
      <c r="W245">
        <f t="shared" si="78"/>
        <v>0</v>
      </c>
      <c r="X245">
        <f t="shared" si="79"/>
        <v>0</v>
      </c>
      <c r="Y245">
        <f t="shared" si="80"/>
        <v>0</v>
      </c>
      <c r="Z245">
        <f t="shared" si="81"/>
        <v>0</v>
      </c>
      <c r="AA245">
        <f t="shared" si="82"/>
        <v>0</v>
      </c>
      <c r="AC245">
        <f t="shared" si="71"/>
        <v>243309.99852465058</v>
      </c>
      <c r="AD245">
        <f t="shared" si="72"/>
        <v>242645.1236188176</v>
      </c>
      <c r="AE245">
        <f t="shared" si="73"/>
        <v>241294.30481602805</v>
      </c>
      <c r="AF245">
        <f t="shared" si="74"/>
        <v>240708.62242889343</v>
      </c>
      <c r="AG245">
        <f t="shared" si="75"/>
        <v>239624.70325766364</v>
      </c>
      <c r="AH245">
        <f t="shared" si="76"/>
        <v>238047.55587437615</v>
      </c>
      <c r="AI245">
        <f t="shared" si="83"/>
        <v>243309.99852465058</v>
      </c>
    </row>
    <row r="246" spans="2:35" x14ac:dyDescent="0.3">
      <c r="B246">
        <v>203</v>
      </c>
      <c r="C246">
        <v>68609.672099999996</v>
      </c>
      <c r="D246">
        <v>67663.777100000007</v>
      </c>
      <c r="E246">
        <v>67977.769100000005</v>
      </c>
      <c r="F246">
        <v>67700.957699999999</v>
      </c>
      <c r="G246">
        <v>68128.433499999999</v>
      </c>
      <c r="H246">
        <v>68145.005600000004</v>
      </c>
      <c r="I246">
        <v>10.318947181952975</v>
      </c>
      <c r="J246">
        <v>10.31318279923671</v>
      </c>
      <c r="K246">
        <v>10.308685530240549</v>
      </c>
      <c r="L246">
        <v>10.304410385889122</v>
      </c>
      <c r="M246">
        <v>10.30148227861458</v>
      </c>
      <c r="N246">
        <v>10.291280726031388</v>
      </c>
      <c r="P246">
        <f t="shared" si="65"/>
        <v>240958.74335858927</v>
      </c>
      <c r="Q246">
        <f t="shared" si="66"/>
        <v>241731.70687710127</v>
      </c>
      <c r="R246">
        <f t="shared" si="67"/>
        <v>241282.79680721645</v>
      </c>
      <c r="S246">
        <f t="shared" si="68"/>
        <v>241431.35387667365</v>
      </c>
      <c r="T246">
        <f t="shared" si="69"/>
        <v>240916.03485843743</v>
      </c>
      <c r="U246">
        <f t="shared" si="70"/>
        <v>240593.41618094165</v>
      </c>
      <c r="V246">
        <f t="shared" si="77"/>
        <v>0</v>
      </c>
      <c r="W246">
        <f t="shared" si="78"/>
        <v>1</v>
      </c>
      <c r="X246">
        <f t="shared" si="79"/>
        <v>0</v>
      </c>
      <c r="Y246">
        <f t="shared" si="80"/>
        <v>0</v>
      </c>
      <c r="Z246">
        <f t="shared" si="81"/>
        <v>0</v>
      </c>
      <c r="AA246">
        <f t="shared" si="82"/>
        <v>0</v>
      </c>
      <c r="AC246">
        <f t="shared" si="71"/>
        <v>240958.74335858927</v>
      </c>
      <c r="AD246">
        <f t="shared" si="72"/>
        <v>241731.70687710127</v>
      </c>
      <c r="AE246">
        <f t="shared" si="73"/>
        <v>241282.79680721645</v>
      </c>
      <c r="AF246">
        <f t="shared" si="74"/>
        <v>241431.35387667365</v>
      </c>
      <c r="AG246">
        <f t="shared" si="75"/>
        <v>240916.03485843743</v>
      </c>
      <c r="AH246">
        <f t="shared" si="76"/>
        <v>240593.41618094165</v>
      </c>
      <c r="AI246">
        <f t="shared" si="83"/>
        <v>241731.70687710127</v>
      </c>
    </row>
    <row r="247" spans="2:35" x14ac:dyDescent="0.3">
      <c r="B247">
        <v>204</v>
      </c>
      <c r="C247">
        <v>82755.690199999997</v>
      </c>
      <c r="D247">
        <v>81858.010599999994</v>
      </c>
      <c r="E247">
        <v>82170.8076</v>
      </c>
      <c r="F247">
        <v>82051.604300000006</v>
      </c>
      <c r="G247">
        <v>82281.765799999994</v>
      </c>
      <c r="H247">
        <v>82537.5049</v>
      </c>
      <c r="I247">
        <v>10.114324429174408</v>
      </c>
      <c r="J247">
        <v>10.078609060853204</v>
      </c>
      <c r="K247">
        <v>10.036211479726671</v>
      </c>
      <c r="L247">
        <v>10.022294677435104</v>
      </c>
      <c r="M247">
        <v>9.9943490282517438</v>
      </c>
      <c r="N247">
        <v>9.9560283821952567</v>
      </c>
      <c r="P247">
        <f t="shared" si="65"/>
        <v>220674.04267523222</v>
      </c>
      <c r="Q247">
        <f t="shared" si="66"/>
        <v>220500.26122559613</v>
      </c>
      <c r="R247">
        <f t="shared" si="67"/>
        <v>218915.53679180011</v>
      </c>
      <c r="S247">
        <f t="shared" si="68"/>
        <v>218617.23602305312</v>
      </c>
      <c r="T247">
        <f t="shared" si="69"/>
        <v>217548.7050475523</v>
      </c>
      <c r="U247">
        <f t="shared" si="70"/>
        <v>216143.3465658577</v>
      </c>
      <c r="V247">
        <f t="shared" si="77"/>
        <v>1</v>
      </c>
      <c r="W247">
        <f t="shared" si="78"/>
        <v>0</v>
      </c>
      <c r="X247">
        <f t="shared" si="79"/>
        <v>0</v>
      </c>
      <c r="Y247">
        <f t="shared" si="80"/>
        <v>0</v>
      </c>
      <c r="Z247">
        <f t="shared" si="81"/>
        <v>0</v>
      </c>
      <c r="AA247">
        <f t="shared" si="82"/>
        <v>0</v>
      </c>
      <c r="AC247">
        <f t="shared" si="71"/>
        <v>220674.04267523222</v>
      </c>
      <c r="AD247">
        <f t="shared" si="72"/>
        <v>220500.26122559613</v>
      </c>
      <c r="AE247">
        <f t="shared" si="73"/>
        <v>218915.53679180011</v>
      </c>
      <c r="AF247">
        <f t="shared" si="74"/>
        <v>218617.23602305312</v>
      </c>
      <c r="AG247">
        <f t="shared" si="75"/>
        <v>217548.7050475523</v>
      </c>
      <c r="AH247">
        <f t="shared" si="76"/>
        <v>216143.3465658577</v>
      </c>
      <c r="AI247">
        <f t="shared" si="83"/>
        <v>220674.04267523222</v>
      </c>
    </row>
    <row r="248" spans="2:35" x14ac:dyDescent="0.3">
      <c r="B248">
        <v>205</v>
      </c>
      <c r="C248">
        <v>81122.365000000005</v>
      </c>
      <c r="D248">
        <v>80530.006200000003</v>
      </c>
      <c r="E248">
        <v>80884.241899999994</v>
      </c>
      <c r="F248">
        <v>80863.615099999995</v>
      </c>
      <c r="G248">
        <v>81202.043799999999</v>
      </c>
      <c r="H248">
        <v>81830.423899999994</v>
      </c>
      <c r="I248">
        <v>9.1447181204102872</v>
      </c>
      <c r="J248">
        <v>9.1165413397990012</v>
      </c>
      <c r="K248">
        <v>9.1045623222750418</v>
      </c>
      <c r="L248">
        <v>9.0957436135467251</v>
      </c>
      <c r="M248">
        <v>9.0733726521930258</v>
      </c>
      <c r="N248">
        <v>9.0575133550611628</v>
      </c>
      <c r="P248">
        <f t="shared" si="65"/>
        <v>193219.17861230863</v>
      </c>
      <c r="Q248">
        <f t="shared" si="66"/>
        <v>192966.23399397003</v>
      </c>
      <c r="R248">
        <f t="shared" si="67"/>
        <v>192252.62776825126</v>
      </c>
      <c r="S248">
        <f t="shared" si="68"/>
        <v>192008.69330640178</v>
      </c>
      <c r="T248">
        <f t="shared" si="69"/>
        <v>190999.13576579076</v>
      </c>
      <c r="U248">
        <f t="shared" si="70"/>
        <v>189894.97675183491</v>
      </c>
      <c r="V248">
        <f t="shared" si="77"/>
        <v>1</v>
      </c>
      <c r="W248">
        <f t="shared" si="78"/>
        <v>0</v>
      </c>
      <c r="X248">
        <f t="shared" si="79"/>
        <v>0</v>
      </c>
      <c r="Y248">
        <f t="shared" si="80"/>
        <v>0</v>
      </c>
      <c r="Z248">
        <f t="shared" si="81"/>
        <v>0</v>
      </c>
      <c r="AA248">
        <f t="shared" si="82"/>
        <v>0</v>
      </c>
      <c r="AC248">
        <f t="shared" si="71"/>
        <v>193219.17861230863</v>
      </c>
      <c r="AD248">
        <f t="shared" si="72"/>
        <v>192966.23399397003</v>
      </c>
      <c r="AE248">
        <f t="shared" si="73"/>
        <v>192252.62776825126</v>
      </c>
      <c r="AF248">
        <f t="shared" si="74"/>
        <v>192008.69330640178</v>
      </c>
      <c r="AG248">
        <f t="shared" si="75"/>
        <v>190999.13576579076</v>
      </c>
      <c r="AH248">
        <f t="shared" si="76"/>
        <v>189894.97675183491</v>
      </c>
      <c r="AI248">
        <f t="shared" si="83"/>
        <v>193219.17861230863</v>
      </c>
    </row>
    <row r="249" spans="2:35" x14ac:dyDescent="0.3">
      <c r="B249">
        <v>206</v>
      </c>
      <c r="C249">
        <v>82112.783899999995</v>
      </c>
      <c r="D249">
        <v>81293.356899999999</v>
      </c>
      <c r="E249">
        <v>81516.8698</v>
      </c>
      <c r="F249">
        <v>81540.495500000005</v>
      </c>
      <c r="G249">
        <v>81734.128100000002</v>
      </c>
      <c r="H249">
        <v>82221.927500000005</v>
      </c>
      <c r="I249">
        <v>9.65140111879324</v>
      </c>
      <c r="J249">
        <v>9.6433921115896073</v>
      </c>
      <c r="K249">
        <v>9.6378443671919261</v>
      </c>
      <c r="L249">
        <v>9.6348805543809473</v>
      </c>
      <c r="M249">
        <v>9.626572064069304</v>
      </c>
      <c r="N249">
        <v>9.6198971154934227</v>
      </c>
      <c r="P249">
        <f t="shared" si="65"/>
        <v>207429.24966379721</v>
      </c>
      <c r="Q249">
        <f t="shared" si="66"/>
        <v>208008.40644768823</v>
      </c>
      <c r="R249">
        <f t="shared" si="67"/>
        <v>207618.46121575782</v>
      </c>
      <c r="S249">
        <f t="shared" si="68"/>
        <v>207505.92113142839</v>
      </c>
      <c r="T249">
        <f t="shared" si="69"/>
        <v>207063.0338220791</v>
      </c>
      <c r="U249">
        <f t="shared" si="70"/>
        <v>206374.98596480268</v>
      </c>
      <c r="V249">
        <f t="shared" si="77"/>
        <v>0</v>
      </c>
      <c r="W249">
        <f t="shared" si="78"/>
        <v>1</v>
      </c>
      <c r="X249">
        <f t="shared" si="79"/>
        <v>0</v>
      </c>
      <c r="Y249">
        <f t="shared" si="80"/>
        <v>0</v>
      </c>
      <c r="Z249">
        <f t="shared" si="81"/>
        <v>0</v>
      </c>
      <c r="AA249">
        <f t="shared" si="82"/>
        <v>0</v>
      </c>
      <c r="AC249">
        <f t="shared" si="71"/>
        <v>207429.24966379721</v>
      </c>
      <c r="AD249">
        <f t="shared" si="72"/>
        <v>208008.40644768823</v>
      </c>
      <c r="AE249">
        <f t="shared" si="73"/>
        <v>207618.46121575782</v>
      </c>
      <c r="AF249">
        <f t="shared" si="74"/>
        <v>207505.92113142839</v>
      </c>
      <c r="AG249">
        <f t="shared" si="75"/>
        <v>207063.0338220791</v>
      </c>
      <c r="AH249">
        <f t="shared" si="76"/>
        <v>206374.98596480268</v>
      </c>
      <c r="AI249">
        <f t="shared" si="83"/>
        <v>208008.40644768823</v>
      </c>
    </row>
    <row r="250" spans="2:35" x14ac:dyDescent="0.3">
      <c r="B250">
        <v>207</v>
      </c>
      <c r="C250">
        <v>69628.485799999995</v>
      </c>
      <c r="D250">
        <v>68822.982999999993</v>
      </c>
      <c r="E250">
        <v>69156.272700000001</v>
      </c>
      <c r="F250">
        <v>69106.624100000001</v>
      </c>
      <c r="G250">
        <v>69405.717699999994</v>
      </c>
      <c r="H250">
        <v>69861.969100000002</v>
      </c>
      <c r="I250">
        <v>9.7375503546411011</v>
      </c>
      <c r="J250">
        <v>9.7013942682954948</v>
      </c>
      <c r="K250">
        <v>9.6757055745038318</v>
      </c>
      <c r="L250">
        <v>9.6594309298713554</v>
      </c>
      <c r="M250">
        <v>9.6385850868902931</v>
      </c>
      <c r="N250">
        <v>9.6085032593677173</v>
      </c>
      <c r="P250">
        <f t="shared" si="65"/>
        <v>222498.02483923305</v>
      </c>
      <c r="Q250">
        <f t="shared" si="66"/>
        <v>222218.84504886484</v>
      </c>
      <c r="R250">
        <f t="shared" si="67"/>
        <v>221114.89453511496</v>
      </c>
      <c r="S250">
        <f t="shared" si="68"/>
        <v>220676.30379614065</v>
      </c>
      <c r="T250">
        <f t="shared" si="69"/>
        <v>219751.8349067088</v>
      </c>
      <c r="U250">
        <f t="shared" si="70"/>
        <v>218393.12868103152</v>
      </c>
      <c r="V250">
        <f t="shared" si="77"/>
        <v>1</v>
      </c>
      <c r="W250">
        <f t="shared" si="78"/>
        <v>0</v>
      </c>
      <c r="X250">
        <f t="shared" si="79"/>
        <v>0</v>
      </c>
      <c r="Y250">
        <f t="shared" si="80"/>
        <v>0</v>
      </c>
      <c r="Z250">
        <f t="shared" si="81"/>
        <v>0</v>
      </c>
      <c r="AA250">
        <f t="shared" si="82"/>
        <v>0</v>
      </c>
      <c r="AC250">
        <f t="shared" si="71"/>
        <v>222498.02483923305</v>
      </c>
      <c r="AD250">
        <f t="shared" si="72"/>
        <v>222218.84504886484</v>
      </c>
      <c r="AE250">
        <f t="shared" si="73"/>
        <v>221114.89453511496</v>
      </c>
      <c r="AF250">
        <f t="shared" si="74"/>
        <v>220676.30379614065</v>
      </c>
      <c r="AG250">
        <f t="shared" si="75"/>
        <v>219751.8349067088</v>
      </c>
      <c r="AH250">
        <f t="shared" si="76"/>
        <v>218393.12868103152</v>
      </c>
      <c r="AI250">
        <f t="shared" si="83"/>
        <v>222498.02483923305</v>
      </c>
    </row>
    <row r="251" spans="2:35" x14ac:dyDescent="0.3">
      <c r="B251">
        <v>208</v>
      </c>
      <c r="C251">
        <v>72723.097899999993</v>
      </c>
      <c r="D251">
        <v>72896.267999999996</v>
      </c>
      <c r="E251">
        <v>74541.001399999994</v>
      </c>
      <c r="F251">
        <v>74777.317500000005</v>
      </c>
      <c r="G251">
        <v>76277.339500000002</v>
      </c>
      <c r="H251">
        <v>77680.024000000005</v>
      </c>
      <c r="I251">
        <v>10.290927254205037</v>
      </c>
      <c r="J251">
        <v>10.27063474835758</v>
      </c>
      <c r="K251">
        <v>10.247215029486298</v>
      </c>
      <c r="L251">
        <v>10.240225357515268</v>
      </c>
      <c r="M251">
        <v>10.218069256556435</v>
      </c>
      <c r="N251">
        <v>10.198626394493862</v>
      </c>
      <c r="P251">
        <f t="shared" si="65"/>
        <v>236004.71972615115</v>
      </c>
      <c r="Q251">
        <f t="shared" si="66"/>
        <v>235222.77445072739</v>
      </c>
      <c r="R251">
        <f t="shared" si="67"/>
        <v>232875.44948458893</v>
      </c>
      <c r="S251">
        <f t="shared" si="68"/>
        <v>232429.44322545803</v>
      </c>
      <c r="T251">
        <f t="shared" si="69"/>
        <v>230264.73819669301</v>
      </c>
      <c r="U251">
        <f t="shared" si="70"/>
        <v>228278.76783481587</v>
      </c>
      <c r="V251">
        <f t="shared" si="77"/>
        <v>1</v>
      </c>
      <c r="W251">
        <f t="shared" si="78"/>
        <v>0</v>
      </c>
      <c r="X251">
        <f t="shared" si="79"/>
        <v>0</v>
      </c>
      <c r="Y251">
        <f t="shared" si="80"/>
        <v>0</v>
      </c>
      <c r="Z251">
        <f t="shared" si="81"/>
        <v>0</v>
      </c>
      <c r="AA251">
        <f t="shared" si="82"/>
        <v>0</v>
      </c>
      <c r="AC251">
        <f t="shared" si="71"/>
        <v>236004.71972615115</v>
      </c>
      <c r="AD251">
        <f t="shared" si="72"/>
        <v>235222.77445072739</v>
      </c>
      <c r="AE251">
        <f t="shared" si="73"/>
        <v>232875.44948458893</v>
      </c>
      <c r="AF251">
        <f t="shared" si="74"/>
        <v>232429.44322545803</v>
      </c>
      <c r="AG251">
        <f t="shared" si="75"/>
        <v>230264.73819669301</v>
      </c>
      <c r="AH251">
        <f t="shared" si="76"/>
        <v>228278.76783481587</v>
      </c>
      <c r="AI251">
        <f t="shared" si="83"/>
        <v>236004.71972615115</v>
      </c>
    </row>
    <row r="252" spans="2:35" x14ac:dyDescent="0.3">
      <c r="B252">
        <v>209</v>
      </c>
      <c r="C252">
        <v>69625.138200000001</v>
      </c>
      <c r="D252">
        <v>69107.709300000002</v>
      </c>
      <c r="E252">
        <v>70179.848499999993</v>
      </c>
      <c r="F252">
        <v>69822.221399999995</v>
      </c>
      <c r="G252">
        <v>70618.631999999998</v>
      </c>
      <c r="H252">
        <v>71365.585500000001</v>
      </c>
      <c r="I252">
        <v>11.581621288074794</v>
      </c>
      <c r="J252">
        <v>11.551407471782317</v>
      </c>
      <c r="K252">
        <v>11.519646228070732</v>
      </c>
      <c r="L252">
        <v>11.518135177509297</v>
      </c>
      <c r="M252">
        <v>11.482840000444538</v>
      </c>
      <c r="N252">
        <v>11.455298263170082</v>
      </c>
      <c r="P252">
        <f t="shared" si="65"/>
        <v>277823.50044224382</v>
      </c>
      <c r="Q252">
        <f t="shared" si="66"/>
        <v>277434.51485346956</v>
      </c>
      <c r="R252">
        <f t="shared" si="67"/>
        <v>275409.53834212199</v>
      </c>
      <c r="S252">
        <f t="shared" si="68"/>
        <v>275721.83392527892</v>
      </c>
      <c r="T252">
        <f t="shared" si="69"/>
        <v>273866.56801333616</v>
      </c>
      <c r="U252">
        <f t="shared" si="70"/>
        <v>272293.36239510245</v>
      </c>
      <c r="V252">
        <f t="shared" si="77"/>
        <v>1</v>
      </c>
      <c r="W252">
        <f t="shared" si="78"/>
        <v>0</v>
      </c>
      <c r="X252">
        <f t="shared" si="79"/>
        <v>0</v>
      </c>
      <c r="Y252">
        <f t="shared" si="80"/>
        <v>0</v>
      </c>
      <c r="Z252">
        <f t="shared" si="81"/>
        <v>0</v>
      </c>
      <c r="AA252">
        <f t="shared" si="82"/>
        <v>0</v>
      </c>
      <c r="AC252">
        <f t="shared" si="71"/>
        <v>277823.50044224382</v>
      </c>
      <c r="AD252">
        <f t="shared" si="72"/>
        <v>277434.51485346956</v>
      </c>
      <c r="AE252">
        <f t="shared" si="73"/>
        <v>275409.53834212199</v>
      </c>
      <c r="AF252">
        <f t="shared" si="74"/>
        <v>275721.83392527892</v>
      </c>
      <c r="AG252">
        <f t="shared" si="75"/>
        <v>273866.56801333616</v>
      </c>
      <c r="AH252">
        <f t="shared" si="76"/>
        <v>272293.36239510245</v>
      </c>
      <c r="AI252">
        <f t="shared" si="83"/>
        <v>277823.50044224382</v>
      </c>
    </row>
    <row r="253" spans="2:35" x14ac:dyDescent="0.3">
      <c r="B253">
        <v>210</v>
      </c>
      <c r="C253">
        <v>74373.0236</v>
      </c>
      <c r="D253">
        <v>73318.789999999994</v>
      </c>
      <c r="E253">
        <v>73516.265100000004</v>
      </c>
      <c r="F253">
        <v>73241.38</v>
      </c>
      <c r="G253">
        <v>73409.483300000007</v>
      </c>
      <c r="H253">
        <v>73548.721999999994</v>
      </c>
      <c r="I253">
        <v>9.4633152044651219</v>
      </c>
      <c r="J253">
        <v>9.4336023118208931</v>
      </c>
      <c r="K253">
        <v>9.4141938209001275</v>
      </c>
      <c r="L253">
        <v>9.4094742285168742</v>
      </c>
      <c r="M253">
        <v>9.3890371356762117</v>
      </c>
      <c r="N253">
        <v>9.3699364566627388</v>
      </c>
      <c r="P253">
        <f t="shared" si="65"/>
        <v>209526.43253395363</v>
      </c>
      <c r="Q253">
        <f t="shared" si="66"/>
        <v>209689.27935462684</v>
      </c>
      <c r="R253">
        <f t="shared" si="67"/>
        <v>208909.54952700378</v>
      </c>
      <c r="S253">
        <f t="shared" si="68"/>
        <v>209042.84685550624</v>
      </c>
      <c r="T253">
        <f t="shared" si="69"/>
        <v>208261.63077028631</v>
      </c>
      <c r="U253">
        <f t="shared" si="70"/>
        <v>207549.37169988215</v>
      </c>
      <c r="V253">
        <f t="shared" si="77"/>
        <v>0</v>
      </c>
      <c r="W253">
        <f t="shared" si="78"/>
        <v>1</v>
      </c>
      <c r="X253">
        <f t="shared" si="79"/>
        <v>0</v>
      </c>
      <c r="Y253">
        <f t="shared" si="80"/>
        <v>0</v>
      </c>
      <c r="Z253">
        <f t="shared" si="81"/>
        <v>0</v>
      </c>
      <c r="AA253">
        <f t="shared" si="82"/>
        <v>0</v>
      </c>
      <c r="AC253">
        <f t="shared" si="71"/>
        <v>209526.43253395363</v>
      </c>
      <c r="AD253">
        <f t="shared" si="72"/>
        <v>209689.27935462684</v>
      </c>
      <c r="AE253">
        <f t="shared" si="73"/>
        <v>208909.54952700378</v>
      </c>
      <c r="AF253">
        <f t="shared" si="74"/>
        <v>209042.84685550624</v>
      </c>
      <c r="AG253">
        <f t="shared" si="75"/>
        <v>208261.63077028631</v>
      </c>
      <c r="AH253">
        <f t="shared" si="76"/>
        <v>207549.37169988215</v>
      </c>
      <c r="AI253">
        <f t="shared" si="83"/>
        <v>209689.27935462684</v>
      </c>
    </row>
    <row r="254" spans="2:35" x14ac:dyDescent="0.3">
      <c r="B254">
        <v>211</v>
      </c>
      <c r="C254">
        <v>84468.561400000006</v>
      </c>
      <c r="D254">
        <v>83735.339600000007</v>
      </c>
      <c r="E254">
        <v>84384.853300000002</v>
      </c>
      <c r="F254">
        <v>84446.759099999996</v>
      </c>
      <c r="G254">
        <v>84751.6198</v>
      </c>
      <c r="H254">
        <v>85453.703999999998</v>
      </c>
      <c r="I254">
        <v>9.7599418867030341</v>
      </c>
      <c r="J254">
        <v>9.7435149474457532</v>
      </c>
      <c r="K254">
        <v>9.7208704929039556</v>
      </c>
      <c r="L254">
        <v>9.7160723011852017</v>
      </c>
      <c r="M254">
        <v>9.7001421389145879</v>
      </c>
      <c r="N254">
        <v>9.6827481113568172</v>
      </c>
      <c r="P254">
        <f t="shared" si="65"/>
        <v>208329.695201091</v>
      </c>
      <c r="Q254">
        <f t="shared" si="66"/>
        <v>208570.10882337257</v>
      </c>
      <c r="R254">
        <f t="shared" si="67"/>
        <v>207241.26148711867</v>
      </c>
      <c r="S254">
        <f t="shared" si="68"/>
        <v>207035.40993555603</v>
      </c>
      <c r="T254">
        <f t="shared" si="69"/>
        <v>206252.64436743764</v>
      </c>
      <c r="U254">
        <f t="shared" si="70"/>
        <v>205028.73934070455</v>
      </c>
      <c r="V254">
        <f t="shared" si="77"/>
        <v>0</v>
      </c>
      <c r="W254">
        <f t="shared" si="78"/>
        <v>1</v>
      </c>
      <c r="X254">
        <f t="shared" si="79"/>
        <v>0</v>
      </c>
      <c r="Y254">
        <f t="shared" si="80"/>
        <v>0</v>
      </c>
      <c r="Z254">
        <f t="shared" si="81"/>
        <v>0</v>
      </c>
      <c r="AA254">
        <f t="shared" si="82"/>
        <v>0</v>
      </c>
      <c r="AC254">
        <f t="shared" si="71"/>
        <v>208329.695201091</v>
      </c>
      <c r="AD254">
        <f t="shared" si="72"/>
        <v>208570.10882337257</v>
      </c>
      <c r="AE254">
        <f t="shared" si="73"/>
        <v>207241.26148711867</v>
      </c>
      <c r="AF254">
        <f t="shared" si="74"/>
        <v>207035.40993555603</v>
      </c>
      <c r="AG254">
        <f t="shared" si="75"/>
        <v>206252.64436743764</v>
      </c>
      <c r="AH254">
        <f t="shared" si="76"/>
        <v>205028.73934070455</v>
      </c>
      <c r="AI254">
        <f t="shared" si="83"/>
        <v>208570.10882337257</v>
      </c>
    </row>
    <row r="255" spans="2:35" x14ac:dyDescent="0.3">
      <c r="B255">
        <v>212</v>
      </c>
      <c r="C255">
        <v>75973.290699999998</v>
      </c>
      <c r="D255">
        <v>75092.269899999999</v>
      </c>
      <c r="E255">
        <v>75438.521399999998</v>
      </c>
      <c r="F255">
        <v>75288.850099999996</v>
      </c>
      <c r="G255">
        <v>75629.265299999999</v>
      </c>
      <c r="H255">
        <v>75862.534899999999</v>
      </c>
      <c r="I255">
        <v>8.2699895868086468</v>
      </c>
      <c r="J255">
        <v>8.2522721973219699</v>
      </c>
      <c r="K255">
        <v>8.2402304536449265</v>
      </c>
      <c r="L255">
        <v>8.2337012941582959</v>
      </c>
      <c r="M255">
        <v>8.2212230172653715</v>
      </c>
      <c r="N255">
        <v>8.2109509264098346</v>
      </c>
      <c r="P255">
        <f t="shared" si="65"/>
        <v>172126.3969042594</v>
      </c>
      <c r="Q255">
        <f t="shared" si="66"/>
        <v>172475.89601965912</v>
      </c>
      <c r="R255">
        <f t="shared" si="67"/>
        <v>171768.3922093478</v>
      </c>
      <c r="S255">
        <f t="shared" si="68"/>
        <v>171722.18872474891</v>
      </c>
      <c r="T255">
        <f t="shared" si="69"/>
        <v>171007.42521796114</v>
      </c>
      <c r="U255">
        <f t="shared" si="70"/>
        <v>170465.99289229503</v>
      </c>
      <c r="V255">
        <f t="shared" si="77"/>
        <v>0</v>
      </c>
      <c r="W255">
        <f t="shared" si="78"/>
        <v>1</v>
      </c>
      <c r="X255">
        <f t="shared" si="79"/>
        <v>0</v>
      </c>
      <c r="Y255">
        <f t="shared" si="80"/>
        <v>0</v>
      </c>
      <c r="Z255">
        <f t="shared" si="81"/>
        <v>0</v>
      </c>
      <c r="AA255">
        <f t="shared" si="82"/>
        <v>0</v>
      </c>
      <c r="AC255">
        <f t="shared" si="71"/>
        <v>172126.3969042594</v>
      </c>
      <c r="AD255">
        <f t="shared" si="72"/>
        <v>172475.89601965912</v>
      </c>
      <c r="AE255">
        <f t="shared" si="73"/>
        <v>171768.3922093478</v>
      </c>
      <c r="AF255">
        <f t="shared" si="74"/>
        <v>171722.18872474891</v>
      </c>
      <c r="AG255">
        <f t="shared" si="75"/>
        <v>171007.42521796114</v>
      </c>
      <c r="AH255">
        <f t="shared" si="76"/>
        <v>170465.99289229503</v>
      </c>
      <c r="AI255">
        <f t="shared" si="83"/>
        <v>172475.89601965912</v>
      </c>
    </row>
    <row r="256" spans="2:35" x14ac:dyDescent="0.3">
      <c r="B256">
        <v>213</v>
      </c>
      <c r="C256">
        <v>79075.728199999998</v>
      </c>
      <c r="D256">
        <v>78789.720700000005</v>
      </c>
      <c r="E256">
        <v>79431.159299999999</v>
      </c>
      <c r="F256">
        <v>79446.195300000007</v>
      </c>
      <c r="G256">
        <v>80355.577999999994</v>
      </c>
      <c r="H256">
        <v>80996.094800000006</v>
      </c>
      <c r="I256">
        <v>10.577246065839358</v>
      </c>
      <c r="J256">
        <v>10.527754205027897</v>
      </c>
      <c r="K256">
        <v>10.501806943441915</v>
      </c>
      <c r="L256">
        <v>10.481509120652669</v>
      </c>
      <c r="M256">
        <v>10.440364914203563</v>
      </c>
      <c r="N256">
        <v>10.40241353751273</v>
      </c>
      <c r="P256">
        <f t="shared" si="65"/>
        <v>238241.65377518069</v>
      </c>
      <c r="Q256">
        <f t="shared" si="66"/>
        <v>237042.90545083687</v>
      </c>
      <c r="R256">
        <f t="shared" si="67"/>
        <v>235623.04900325747</v>
      </c>
      <c r="S256">
        <f t="shared" si="68"/>
        <v>234999.07831958006</v>
      </c>
      <c r="T256">
        <f t="shared" si="69"/>
        <v>232855.36942610692</v>
      </c>
      <c r="U256">
        <f t="shared" si="70"/>
        <v>231076.31132538192</v>
      </c>
      <c r="V256">
        <f t="shared" si="77"/>
        <v>1</v>
      </c>
      <c r="W256">
        <f t="shared" si="78"/>
        <v>0</v>
      </c>
      <c r="X256">
        <f t="shared" si="79"/>
        <v>0</v>
      </c>
      <c r="Y256">
        <f t="shared" si="80"/>
        <v>0</v>
      </c>
      <c r="Z256">
        <f t="shared" si="81"/>
        <v>0</v>
      </c>
      <c r="AA256">
        <f t="shared" si="82"/>
        <v>0</v>
      </c>
      <c r="AC256">
        <f t="shared" si="71"/>
        <v>238241.65377518069</v>
      </c>
      <c r="AD256">
        <f t="shared" si="72"/>
        <v>237042.90545083687</v>
      </c>
      <c r="AE256">
        <f t="shared" si="73"/>
        <v>235623.04900325747</v>
      </c>
      <c r="AF256">
        <f t="shared" si="74"/>
        <v>234999.07831958006</v>
      </c>
      <c r="AG256">
        <f t="shared" si="75"/>
        <v>232855.36942610692</v>
      </c>
      <c r="AH256">
        <f t="shared" si="76"/>
        <v>231076.31132538192</v>
      </c>
      <c r="AI256">
        <f t="shared" si="83"/>
        <v>238241.65377518069</v>
      </c>
    </row>
    <row r="257" spans="2:35" x14ac:dyDescent="0.3">
      <c r="B257">
        <v>214</v>
      </c>
      <c r="C257">
        <v>81691.735700000005</v>
      </c>
      <c r="D257">
        <v>80362.655100000004</v>
      </c>
      <c r="E257">
        <v>80134.715400000001</v>
      </c>
      <c r="F257">
        <v>80008.588199999998</v>
      </c>
      <c r="G257">
        <v>80038.230299999996</v>
      </c>
      <c r="H257">
        <v>79666.872300000003</v>
      </c>
      <c r="I257">
        <v>9.5495321141348786</v>
      </c>
      <c r="J257">
        <v>9.5192169183022415</v>
      </c>
      <c r="K257">
        <v>9.4938176139316202</v>
      </c>
      <c r="L257">
        <v>9.4866791680298466</v>
      </c>
      <c r="M257">
        <v>9.4583382707316623</v>
      </c>
      <c r="N257">
        <v>9.4256639800715281</v>
      </c>
      <c r="P257">
        <f t="shared" si="65"/>
        <v>204794.22772404633</v>
      </c>
      <c r="Q257">
        <f t="shared" si="66"/>
        <v>205213.85244906726</v>
      </c>
      <c r="R257">
        <f t="shared" si="67"/>
        <v>204679.81301794865</v>
      </c>
      <c r="S257">
        <f t="shared" si="68"/>
        <v>204591.78684089542</v>
      </c>
      <c r="T257">
        <f t="shared" si="69"/>
        <v>203711.91782194987</v>
      </c>
      <c r="U257">
        <f t="shared" si="70"/>
        <v>203103.04710214585</v>
      </c>
      <c r="V257">
        <f t="shared" si="77"/>
        <v>0</v>
      </c>
      <c r="W257">
        <f t="shared" si="78"/>
        <v>1</v>
      </c>
      <c r="X257">
        <f t="shared" si="79"/>
        <v>0</v>
      </c>
      <c r="Y257">
        <f t="shared" si="80"/>
        <v>0</v>
      </c>
      <c r="Z257">
        <f t="shared" si="81"/>
        <v>0</v>
      </c>
      <c r="AA257">
        <f t="shared" si="82"/>
        <v>0</v>
      </c>
      <c r="AC257">
        <f t="shared" si="71"/>
        <v>204794.22772404633</v>
      </c>
      <c r="AD257">
        <f t="shared" si="72"/>
        <v>205213.85244906726</v>
      </c>
      <c r="AE257">
        <f t="shared" si="73"/>
        <v>204679.81301794865</v>
      </c>
      <c r="AF257">
        <f t="shared" si="74"/>
        <v>204591.78684089542</v>
      </c>
      <c r="AG257">
        <f t="shared" si="75"/>
        <v>203711.91782194987</v>
      </c>
      <c r="AH257">
        <f t="shared" si="76"/>
        <v>203103.04710214585</v>
      </c>
      <c r="AI257">
        <f t="shared" si="83"/>
        <v>205213.85244906726</v>
      </c>
    </row>
    <row r="258" spans="2:35" x14ac:dyDescent="0.3">
      <c r="B258">
        <v>215</v>
      </c>
      <c r="C258">
        <v>75646.391900000002</v>
      </c>
      <c r="D258">
        <v>75635.531199999998</v>
      </c>
      <c r="E258">
        <v>76295.395799999998</v>
      </c>
      <c r="F258">
        <v>76315.3603</v>
      </c>
      <c r="G258">
        <v>77309.083499999993</v>
      </c>
      <c r="H258">
        <v>78236.185899999997</v>
      </c>
      <c r="I258">
        <v>10.34824848771037</v>
      </c>
      <c r="J258">
        <v>10.329459424515072</v>
      </c>
      <c r="K258">
        <v>10.317069748027144</v>
      </c>
      <c r="L258">
        <v>10.311894198544604</v>
      </c>
      <c r="M258">
        <v>10.296813789052317</v>
      </c>
      <c r="N258">
        <v>10.284046568342093</v>
      </c>
      <c r="P258">
        <f t="shared" si="65"/>
        <v>234801.06273131113</v>
      </c>
      <c r="Q258">
        <f t="shared" si="66"/>
        <v>234248.25153545217</v>
      </c>
      <c r="R258">
        <f t="shared" si="67"/>
        <v>233216.69664081431</v>
      </c>
      <c r="S258">
        <f t="shared" si="68"/>
        <v>233041.46565633808</v>
      </c>
      <c r="T258">
        <f t="shared" si="69"/>
        <v>231595.33017156948</v>
      </c>
      <c r="U258">
        <f t="shared" si="70"/>
        <v>230285.2111502628</v>
      </c>
      <c r="V258">
        <f t="shared" si="77"/>
        <v>1</v>
      </c>
      <c r="W258">
        <f t="shared" si="78"/>
        <v>0</v>
      </c>
      <c r="X258">
        <f t="shared" si="79"/>
        <v>0</v>
      </c>
      <c r="Y258">
        <f t="shared" si="80"/>
        <v>0</v>
      </c>
      <c r="Z258">
        <f t="shared" si="81"/>
        <v>0</v>
      </c>
      <c r="AA258">
        <f t="shared" si="82"/>
        <v>0</v>
      </c>
      <c r="AC258">
        <f t="shared" si="71"/>
        <v>234801.06273131113</v>
      </c>
      <c r="AD258">
        <f t="shared" si="72"/>
        <v>234248.25153545217</v>
      </c>
      <c r="AE258">
        <f t="shared" si="73"/>
        <v>233216.69664081431</v>
      </c>
      <c r="AF258">
        <f t="shared" si="74"/>
        <v>233041.46565633808</v>
      </c>
      <c r="AG258">
        <f t="shared" si="75"/>
        <v>231595.33017156948</v>
      </c>
      <c r="AH258">
        <f t="shared" si="76"/>
        <v>230285.2111502628</v>
      </c>
      <c r="AI258">
        <f t="shared" si="83"/>
        <v>234801.06273131113</v>
      </c>
    </row>
    <row r="259" spans="2:35" x14ac:dyDescent="0.3">
      <c r="B259">
        <v>216</v>
      </c>
      <c r="C259">
        <v>71733.9807</v>
      </c>
      <c r="D259">
        <v>70765.305699999997</v>
      </c>
      <c r="E259">
        <v>70880.604099999997</v>
      </c>
      <c r="F259">
        <v>70730.713699999993</v>
      </c>
      <c r="G259">
        <v>70881.149000000005</v>
      </c>
      <c r="H259">
        <v>71079.133400000006</v>
      </c>
      <c r="I259">
        <v>10.902125248426222</v>
      </c>
      <c r="J259">
        <v>10.874707355005231</v>
      </c>
      <c r="K259">
        <v>10.862497871606752</v>
      </c>
      <c r="L259">
        <v>10.85402367281554</v>
      </c>
      <c r="M259">
        <v>10.837980825405641</v>
      </c>
      <c r="N259">
        <v>10.813312053462129</v>
      </c>
      <c r="P259">
        <f t="shared" si="65"/>
        <v>255329.77675278665</v>
      </c>
      <c r="Q259">
        <f t="shared" si="66"/>
        <v>255475.91495015696</v>
      </c>
      <c r="R259">
        <f t="shared" si="67"/>
        <v>254994.33204820257</v>
      </c>
      <c r="S259">
        <f t="shared" si="68"/>
        <v>254889.99648446622</v>
      </c>
      <c r="T259">
        <f t="shared" si="69"/>
        <v>254258.27576216924</v>
      </c>
      <c r="U259">
        <f t="shared" si="70"/>
        <v>253320.2282038639</v>
      </c>
      <c r="V259">
        <f t="shared" si="77"/>
        <v>0</v>
      </c>
      <c r="W259">
        <f t="shared" si="78"/>
        <v>1</v>
      </c>
      <c r="X259">
        <f t="shared" si="79"/>
        <v>0</v>
      </c>
      <c r="Y259">
        <f t="shared" si="80"/>
        <v>0</v>
      </c>
      <c r="Z259">
        <f t="shared" si="81"/>
        <v>0</v>
      </c>
      <c r="AA259">
        <f t="shared" si="82"/>
        <v>0</v>
      </c>
      <c r="AC259">
        <f t="shared" si="71"/>
        <v>255329.77675278665</v>
      </c>
      <c r="AD259">
        <f t="shared" si="72"/>
        <v>255475.91495015696</v>
      </c>
      <c r="AE259">
        <f t="shared" si="73"/>
        <v>254994.33204820257</v>
      </c>
      <c r="AF259">
        <f t="shared" si="74"/>
        <v>254889.99648446622</v>
      </c>
      <c r="AG259">
        <f t="shared" si="75"/>
        <v>254258.27576216924</v>
      </c>
      <c r="AH259">
        <f t="shared" si="76"/>
        <v>253320.2282038639</v>
      </c>
      <c r="AI259">
        <f t="shared" si="83"/>
        <v>255475.91495015696</v>
      </c>
    </row>
    <row r="260" spans="2:35" x14ac:dyDescent="0.3">
      <c r="B260">
        <v>217</v>
      </c>
      <c r="C260">
        <v>76927.095499999996</v>
      </c>
      <c r="D260">
        <v>76020.929799999998</v>
      </c>
      <c r="E260">
        <v>76252.185200000007</v>
      </c>
      <c r="F260">
        <v>76141.093500000003</v>
      </c>
      <c r="G260">
        <v>76558.282300000006</v>
      </c>
      <c r="H260">
        <v>76696.790999999997</v>
      </c>
      <c r="I260">
        <v>10.782541997532448</v>
      </c>
      <c r="J260">
        <v>10.760877413565623</v>
      </c>
      <c r="K260">
        <v>10.743662723716428</v>
      </c>
      <c r="L260">
        <v>10.731169426251798</v>
      </c>
      <c r="M260">
        <v>10.713507259153323</v>
      </c>
      <c r="N260">
        <v>10.690073722328943</v>
      </c>
      <c r="P260">
        <f t="shared" si="65"/>
        <v>246549.16442597343</v>
      </c>
      <c r="Q260">
        <f t="shared" si="66"/>
        <v>246805.3926069687</v>
      </c>
      <c r="R260">
        <f t="shared" si="67"/>
        <v>246057.69651149283</v>
      </c>
      <c r="S260">
        <f t="shared" si="68"/>
        <v>245793.98928755394</v>
      </c>
      <c r="T260">
        <f t="shared" si="69"/>
        <v>244846.93547459965</v>
      </c>
      <c r="U260">
        <f t="shared" si="70"/>
        <v>244005.42066986833</v>
      </c>
      <c r="V260">
        <f t="shared" si="77"/>
        <v>0</v>
      </c>
      <c r="W260">
        <f t="shared" si="78"/>
        <v>1</v>
      </c>
      <c r="X260">
        <f t="shared" si="79"/>
        <v>0</v>
      </c>
      <c r="Y260">
        <f t="shared" si="80"/>
        <v>0</v>
      </c>
      <c r="Z260">
        <f t="shared" si="81"/>
        <v>0</v>
      </c>
      <c r="AA260">
        <f t="shared" si="82"/>
        <v>0</v>
      </c>
      <c r="AC260">
        <f t="shared" si="71"/>
        <v>246549.16442597343</v>
      </c>
      <c r="AD260">
        <f t="shared" si="72"/>
        <v>246805.3926069687</v>
      </c>
      <c r="AE260">
        <f t="shared" si="73"/>
        <v>246057.69651149283</v>
      </c>
      <c r="AF260">
        <f t="shared" si="74"/>
        <v>245793.98928755394</v>
      </c>
      <c r="AG260">
        <f t="shared" si="75"/>
        <v>244846.93547459965</v>
      </c>
      <c r="AH260">
        <f t="shared" si="76"/>
        <v>244005.42066986833</v>
      </c>
      <c r="AI260">
        <f t="shared" si="83"/>
        <v>246805.3926069687</v>
      </c>
    </row>
    <row r="261" spans="2:35" x14ac:dyDescent="0.3">
      <c r="B261">
        <v>218</v>
      </c>
      <c r="C261">
        <v>74316.381099999999</v>
      </c>
      <c r="D261">
        <v>73810.290999999997</v>
      </c>
      <c r="E261">
        <v>74289.442200000005</v>
      </c>
      <c r="F261">
        <v>74263.511499999993</v>
      </c>
      <c r="G261">
        <v>74774.906300000002</v>
      </c>
      <c r="H261">
        <v>75380.254499999995</v>
      </c>
      <c r="I261">
        <v>10.554660070094339</v>
      </c>
      <c r="J261">
        <v>10.503448812109824</v>
      </c>
      <c r="K261">
        <v>10.466364332603728</v>
      </c>
      <c r="L261">
        <v>10.458959786477985</v>
      </c>
      <c r="M261">
        <v>10.419017291141619</v>
      </c>
      <c r="N261">
        <v>10.380876162428487</v>
      </c>
      <c r="P261">
        <f t="shared" si="65"/>
        <v>242323.4210028302</v>
      </c>
      <c r="Q261">
        <f t="shared" si="66"/>
        <v>241293.17336329471</v>
      </c>
      <c r="R261">
        <f t="shared" si="67"/>
        <v>239701.48777811183</v>
      </c>
      <c r="S261">
        <f t="shared" si="68"/>
        <v>239505.28209433958</v>
      </c>
      <c r="T261">
        <f t="shared" si="69"/>
        <v>237795.61243424859</v>
      </c>
      <c r="U261">
        <f t="shared" si="70"/>
        <v>236046.03037285461</v>
      </c>
      <c r="V261">
        <f t="shared" si="77"/>
        <v>1</v>
      </c>
      <c r="W261">
        <f t="shared" si="78"/>
        <v>0</v>
      </c>
      <c r="X261">
        <f t="shared" si="79"/>
        <v>0</v>
      </c>
      <c r="Y261">
        <f t="shared" si="80"/>
        <v>0</v>
      </c>
      <c r="Z261">
        <f t="shared" si="81"/>
        <v>0</v>
      </c>
      <c r="AA261">
        <f t="shared" si="82"/>
        <v>0</v>
      </c>
      <c r="AC261">
        <f t="shared" si="71"/>
        <v>242323.4210028302</v>
      </c>
      <c r="AD261">
        <f t="shared" si="72"/>
        <v>241293.17336329471</v>
      </c>
      <c r="AE261">
        <f t="shared" si="73"/>
        <v>239701.48777811183</v>
      </c>
      <c r="AF261">
        <f t="shared" si="74"/>
        <v>239505.28209433958</v>
      </c>
      <c r="AG261">
        <f t="shared" si="75"/>
        <v>237795.61243424859</v>
      </c>
      <c r="AH261">
        <f t="shared" si="76"/>
        <v>236046.03037285461</v>
      </c>
      <c r="AI261">
        <f t="shared" si="83"/>
        <v>242323.4210028302</v>
      </c>
    </row>
    <row r="262" spans="2:35" x14ac:dyDescent="0.3">
      <c r="B262">
        <v>219</v>
      </c>
      <c r="C262">
        <v>72994.567800000004</v>
      </c>
      <c r="D262">
        <v>72029.456399999995</v>
      </c>
      <c r="E262">
        <v>72227.025699999998</v>
      </c>
      <c r="F262">
        <v>72134.130699999994</v>
      </c>
      <c r="G262">
        <v>72359.811199999996</v>
      </c>
      <c r="H262">
        <v>72410.208100000003</v>
      </c>
      <c r="I262">
        <v>9.9936620441039246</v>
      </c>
      <c r="J262">
        <v>9.9748955399912465</v>
      </c>
      <c r="K262">
        <v>9.9562118352620885</v>
      </c>
      <c r="L262">
        <v>9.951506789393644</v>
      </c>
      <c r="M262">
        <v>9.9333870547477634</v>
      </c>
      <c r="N262">
        <v>9.9114434185355371</v>
      </c>
      <c r="P262">
        <f t="shared" si="65"/>
        <v>226815.29352311773</v>
      </c>
      <c r="Q262">
        <f t="shared" si="66"/>
        <v>227217.40979973742</v>
      </c>
      <c r="R262">
        <f t="shared" si="67"/>
        <v>226459.32935786265</v>
      </c>
      <c r="S262">
        <f t="shared" si="68"/>
        <v>226411.07298180932</v>
      </c>
      <c r="T262">
        <f t="shared" si="69"/>
        <v>225641.80044243293</v>
      </c>
      <c r="U262">
        <f t="shared" si="70"/>
        <v>224933.09445606614</v>
      </c>
      <c r="V262">
        <f t="shared" si="77"/>
        <v>0</v>
      </c>
      <c r="W262">
        <f t="shared" si="78"/>
        <v>1</v>
      </c>
      <c r="X262">
        <f t="shared" si="79"/>
        <v>0</v>
      </c>
      <c r="Y262">
        <f t="shared" si="80"/>
        <v>0</v>
      </c>
      <c r="Z262">
        <f t="shared" si="81"/>
        <v>0</v>
      </c>
      <c r="AA262">
        <f t="shared" si="82"/>
        <v>0</v>
      </c>
      <c r="AC262">
        <f t="shared" si="71"/>
        <v>226815.29352311773</v>
      </c>
      <c r="AD262">
        <f t="shared" si="72"/>
        <v>227217.40979973742</v>
      </c>
      <c r="AE262">
        <f t="shared" si="73"/>
        <v>226459.32935786265</v>
      </c>
      <c r="AF262">
        <f t="shared" si="74"/>
        <v>226411.07298180932</v>
      </c>
      <c r="AG262">
        <f t="shared" si="75"/>
        <v>225641.80044243293</v>
      </c>
      <c r="AH262">
        <f t="shared" si="76"/>
        <v>224933.09445606614</v>
      </c>
      <c r="AI262">
        <f t="shared" si="83"/>
        <v>227217.40979973742</v>
      </c>
    </row>
    <row r="263" spans="2:35" x14ac:dyDescent="0.3">
      <c r="B263">
        <v>220</v>
      </c>
      <c r="C263">
        <v>71764.475099999996</v>
      </c>
      <c r="D263">
        <v>70961.082899999994</v>
      </c>
      <c r="E263">
        <v>71268.527799999996</v>
      </c>
      <c r="F263">
        <v>71167.702300000004</v>
      </c>
      <c r="G263">
        <v>71408.930500000002</v>
      </c>
      <c r="H263">
        <v>71788.306200000006</v>
      </c>
      <c r="I263">
        <v>9.9768617943306879</v>
      </c>
      <c r="J263">
        <v>9.943093946424538</v>
      </c>
      <c r="K263">
        <v>9.9154073960847988</v>
      </c>
      <c r="L263">
        <v>9.9020220333881781</v>
      </c>
      <c r="M263">
        <v>9.8814025466439759</v>
      </c>
      <c r="N263">
        <v>9.8531436450453196</v>
      </c>
      <c r="P263">
        <f t="shared" si="65"/>
        <v>227541.37872992066</v>
      </c>
      <c r="Q263">
        <f t="shared" si="66"/>
        <v>227331.73549273616</v>
      </c>
      <c r="R263">
        <f t="shared" si="67"/>
        <v>226193.69408254401</v>
      </c>
      <c r="S263">
        <f t="shared" si="68"/>
        <v>225892.95870164532</v>
      </c>
      <c r="T263">
        <f t="shared" si="69"/>
        <v>225033.14589931926</v>
      </c>
      <c r="U263">
        <f t="shared" si="70"/>
        <v>223806.00315135962</v>
      </c>
      <c r="V263">
        <f t="shared" si="77"/>
        <v>1</v>
      </c>
      <c r="W263">
        <f t="shared" si="78"/>
        <v>0</v>
      </c>
      <c r="X263">
        <f t="shared" si="79"/>
        <v>0</v>
      </c>
      <c r="Y263">
        <f t="shared" si="80"/>
        <v>0</v>
      </c>
      <c r="Z263">
        <f t="shared" si="81"/>
        <v>0</v>
      </c>
      <c r="AA263">
        <f t="shared" si="82"/>
        <v>0</v>
      </c>
      <c r="AC263">
        <f t="shared" si="71"/>
        <v>227541.37872992066</v>
      </c>
      <c r="AD263">
        <f t="shared" si="72"/>
        <v>227331.73549273616</v>
      </c>
      <c r="AE263">
        <f t="shared" si="73"/>
        <v>226193.69408254401</v>
      </c>
      <c r="AF263">
        <f t="shared" si="74"/>
        <v>225892.95870164532</v>
      </c>
      <c r="AG263">
        <f t="shared" si="75"/>
        <v>225033.14589931926</v>
      </c>
      <c r="AH263">
        <f t="shared" si="76"/>
        <v>223806.00315135962</v>
      </c>
      <c r="AI263">
        <f t="shared" si="83"/>
        <v>227541.37872992066</v>
      </c>
    </row>
    <row r="264" spans="2:35" x14ac:dyDescent="0.3">
      <c r="B264">
        <v>221</v>
      </c>
      <c r="C264">
        <v>84793.811300000001</v>
      </c>
      <c r="D264">
        <v>83936.700500000006</v>
      </c>
      <c r="E264">
        <v>84037.886899999998</v>
      </c>
      <c r="F264">
        <v>83971.865999999995</v>
      </c>
      <c r="G264">
        <v>84093.149300000005</v>
      </c>
      <c r="H264">
        <v>84519.159</v>
      </c>
      <c r="I264">
        <v>11.47376590260232</v>
      </c>
      <c r="J264">
        <v>11.415518415414923</v>
      </c>
      <c r="K264">
        <v>11.369656955856426</v>
      </c>
      <c r="L264">
        <v>11.353482046251989</v>
      </c>
      <c r="M264">
        <v>11.309247223060371</v>
      </c>
      <c r="N264">
        <v>11.257906577541551</v>
      </c>
      <c r="P264">
        <f t="shared" si="65"/>
        <v>259419.16577806958</v>
      </c>
      <c r="Q264">
        <f t="shared" si="66"/>
        <v>258528.85196244766</v>
      </c>
      <c r="R264">
        <f t="shared" si="67"/>
        <v>257051.82177569281</v>
      </c>
      <c r="S264">
        <f t="shared" si="68"/>
        <v>256632.59538755968</v>
      </c>
      <c r="T264">
        <f t="shared" si="69"/>
        <v>255184.26739181112</v>
      </c>
      <c r="U264">
        <f t="shared" si="70"/>
        <v>253218.03832624655</v>
      </c>
      <c r="V264">
        <f t="shared" si="77"/>
        <v>1</v>
      </c>
      <c r="W264">
        <f t="shared" si="78"/>
        <v>0</v>
      </c>
      <c r="X264">
        <f t="shared" si="79"/>
        <v>0</v>
      </c>
      <c r="Y264">
        <f t="shared" si="80"/>
        <v>0</v>
      </c>
      <c r="Z264">
        <f t="shared" si="81"/>
        <v>0</v>
      </c>
      <c r="AA264">
        <f t="shared" si="82"/>
        <v>0</v>
      </c>
      <c r="AC264">
        <f t="shared" si="71"/>
        <v>259419.16577806958</v>
      </c>
      <c r="AD264">
        <f t="shared" si="72"/>
        <v>258528.85196244766</v>
      </c>
      <c r="AE264">
        <f t="shared" si="73"/>
        <v>257051.82177569281</v>
      </c>
      <c r="AF264">
        <f t="shared" si="74"/>
        <v>256632.59538755968</v>
      </c>
      <c r="AG264">
        <f t="shared" si="75"/>
        <v>255184.26739181112</v>
      </c>
      <c r="AH264">
        <f t="shared" si="76"/>
        <v>253218.03832624655</v>
      </c>
      <c r="AI264">
        <f t="shared" si="83"/>
        <v>259419.16577806958</v>
      </c>
    </row>
    <row r="265" spans="2:35" x14ac:dyDescent="0.3">
      <c r="B265">
        <v>222</v>
      </c>
      <c r="C265">
        <v>95579.395000000004</v>
      </c>
      <c r="D265">
        <v>94573.893200000006</v>
      </c>
      <c r="E265">
        <v>94683.993700000006</v>
      </c>
      <c r="F265">
        <v>94721.173500000004</v>
      </c>
      <c r="G265">
        <v>94781.987599999993</v>
      </c>
      <c r="H265">
        <v>94965.800700000007</v>
      </c>
      <c r="I265">
        <v>10.322942623466801</v>
      </c>
      <c r="J265">
        <v>10.266001836326641</v>
      </c>
      <c r="K265">
        <v>10.230927980427595</v>
      </c>
      <c r="L265">
        <v>10.210536212168954</v>
      </c>
      <c r="M265">
        <v>10.176058025655495</v>
      </c>
      <c r="N265">
        <v>10.129752260684086</v>
      </c>
      <c r="P265">
        <f t="shared" si="65"/>
        <v>214108.88370400399</v>
      </c>
      <c r="Q265">
        <f t="shared" si="66"/>
        <v>213406.16188979923</v>
      </c>
      <c r="R265">
        <f t="shared" si="67"/>
        <v>212243.84571282787</v>
      </c>
      <c r="S265">
        <f t="shared" si="68"/>
        <v>211594.91286506862</v>
      </c>
      <c r="T265">
        <f t="shared" si="69"/>
        <v>210499.75316966488</v>
      </c>
      <c r="U265">
        <f t="shared" si="70"/>
        <v>208926.76712052256</v>
      </c>
      <c r="V265">
        <f t="shared" si="77"/>
        <v>1</v>
      </c>
      <c r="W265">
        <f t="shared" si="78"/>
        <v>0</v>
      </c>
      <c r="X265">
        <f t="shared" si="79"/>
        <v>0</v>
      </c>
      <c r="Y265">
        <f t="shared" si="80"/>
        <v>0</v>
      </c>
      <c r="Z265">
        <f t="shared" si="81"/>
        <v>0</v>
      </c>
      <c r="AA265">
        <f t="shared" si="82"/>
        <v>0</v>
      </c>
      <c r="AC265">
        <f t="shared" si="71"/>
        <v>214108.88370400399</v>
      </c>
      <c r="AD265">
        <f t="shared" si="72"/>
        <v>213406.16188979923</v>
      </c>
      <c r="AE265">
        <f t="shared" si="73"/>
        <v>212243.84571282787</v>
      </c>
      <c r="AF265">
        <f t="shared" si="74"/>
        <v>211594.91286506862</v>
      </c>
      <c r="AG265">
        <f t="shared" si="75"/>
        <v>210499.75316966488</v>
      </c>
      <c r="AH265">
        <f t="shared" si="76"/>
        <v>208926.76712052256</v>
      </c>
      <c r="AI265">
        <f t="shared" si="83"/>
        <v>214108.88370400399</v>
      </c>
    </row>
    <row r="266" spans="2:35" x14ac:dyDescent="0.3">
      <c r="B266">
        <v>223</v>
      </c>
      <c r="C266">
        <v>75489.636799999993</v>
      </c>
      <c r="D266">
        <v>74334.161300000007</v>
      </c>
      <c r="E266">
        <v>74393.318499999994</v>
      </c>
      <c r="F266">
        <v>74206.312300000005</v>
      </c>
      <c r="G266">
        <v>74125.445800000001</v>
      </c>
      <c r="H266">
        <v>74290.352700000003</v>
      </c>
      <c r="I266">
        <v>8.8191214882788493</v>
      </c>
      <c r="J266">
        <v>8.8044624767154449</v>
      </c>
      <c r="K266">
        <v>8.796353571132661</v>
      </c>
      <c r="L266">
        <v>8.788648114670476</v>
      </c>
      <c r="M266">
        <v>8.777933462547832</v>
      </c>
      <c r="N266">
        <v>8.770406351031852</v>
      </c>
      <c r="P266">
        <f t="shared" si="65"/>
        <v>189084.00784836552</v>
      </c>
      <c r="Q266">
        <f t="shared" si="66"/>
        <v>189799.71300146336</v>
      </c>
      <c r="R266">
        <f t="shared" si="67"/>
        <v>189497.28863397986</v>
      </c>
      <c r="S266">
        <f t="shared" si="68"/>
        <v>189453.13114011427</v>
      </c>
      <c r="T266">
        <f t="shared" si="69"/>
        <v>189212.558076435</v>
      </c>
      <c r="U266">
        <f t="shared" si="70"/>
        <v>188821.83783095557</v>
      </c>
      <c r="V266">
        <f t="shared" si="77"/>
        <v>0</v>
      </c>
      <c r="W266">
        <f t="shared" si="78"/>
        <v>1</v>
      </c>
      <c r="X266">
        <f t="shared" si="79"/>
        <v>0</v>
      </c>
      <c r="Y266">
        <f t="shared" si="80"/>
        <v>0</v>
      </c>
      <c r="Z266">
        <f t="shared" si="81"/>
        <v>0</v>
      </c>
      <c r="AA266">
        <f t="shared" si="82"/>
        <v>0</v>
      </c>
      <c r="AC266">
        <f t="shared" si="71"/>
        <v>189084.00784836552</v>
      </c>
      <c r="AD266">
        <f t="shared" si="72"/>
        <v>189799.71300146336</v>
      </c>
      <c r="AE266">
        <f t="shared" si="73"/>
        <v>189497.28863397986</v>
      </c>
      <c r="AF266">
        <f t="shared" si="74"/>
        <v>189453.13114011427</v>
      </c>
      <c r="AG266">
        <f t="shared" si="75"/>
        <v>189212.558076435</v>
      </c>
      <c r="AH266">
        <f t="shared" si="76"/>
        <v>188821.83783095557</v>
      </c>
      <c r="AI266">
        <f t="shared" si="83"/>
        <v>189799.71300146336</v>
      </c>
    </row>
    <row r="267" spans="2:35" x14ac:dyDescent="0.3">
      <c r="B267">
        <v>224</v>
      </c>
      <c r="C267">
        <v>70866.559399999998</v>
      </c>
      <c r="D267">
        <v>70526.408200000005</v>
      </c>
      <c r="E267">
        <v>71658.539399999994</v>
      </c>
      <c r="F267">
        <v>71827.971300000005</v>
      </c>
      <c r="G267">
        <v>72106.1731</v>
      </c>
      <c r="H267">
        <v>73164.170299999998</v>
      </c>
      <c r="I267">
        <v>10.534562236286821</v>
      </c>
      <c r="J267">
        <v>10.498708090082953</v>
      </c>
      <c r="K267">
        <v>10.473638922725915</v>
      </c>
      <c r="L267">
        <v>10.457521824604807</v>
      </c>
      <c r="M267">
        <v>10.44229276887007</v>
      </c>
      <c r="N267">
        <v>10.409871645808186</v>
      </c>
      <c r="P267">
        <f t="shared" si="65"/>
        <v>245170.3076886046</v>
      </c>
      <c r="Q267">
        <f t="shared" si="66"/>
        <v>244434.83450248861</v>
      </c>
      <c r="R267">
        <f t="shared" si="67"/>
        <v>242550.62828177743</v>
      </c>
      <c r="S267">
        <f t="shared" si="68"/>
        <v>241897.68343814425</v>
      </c>
      <c r="T267">
        <f t="shared" si="69"/>
        <v>241162.60996610206</v>
      </c>
      <c r="U267">
        <f t="shared" si="70"/>
        <v>239131.97907424561</v>
      </c>
      <c r="V267">
        <f t="shared" si="77"/>
        <v>1</v>
      </c>
      <c r="W267">
        <f t="shared" si="78"/>
        <v>0</v>
      </c>
      <c r="X267">
        <f t="shared" si="79"/>
        <v>0</v>
      </c>
      <c r="Y267">
        <f t="shared" si="80"/>
        <v>0</v>
      </c>
      <c r="Z267">
        <f t="shared" si="81"/>
        <v>0</v>
      </c>
      <c r="AA267">
        <f t="shared" si="82"/>
        <v>0</v>
      </c>
      <c r="AC267">
        <f t="shared" si="71"/>
        <v>245170.3076886046</v>
      </c>
      <c r="AD267">
        <f t="shared" si="72"/>
        <v>244434.83450248861</v>
      </c>
      <c r="AE267">
        <f t="shared" si="73"/>
        <v>242550.62828177743</v>
      </c>
      <c r="AF267">
        <f t="shared" si="74"/>
        <v>241897.68343814425</v>
      </c>
      <c r="AG267">
        <f t="shared" si="75"/>
        <v>241162.60996610206</v>
      </c>
      <c r="AH267">
        <f t="shared" si="76"/>
        <v>239131.97907424561</v>
      </c>
      <c r="AI267">
        <f t="shared" si="83"/>
        <v>245170.3076886046</v>
      </c>
    </row>
    <row r="268" spans="2:35" x14ac:dyDescent="0.3">
      <c r="B268">
        <v>225</v>
      </c>
      <c r="C268">
        <v>75491.822499999995</v>
      </c>
      <c r="D268">
        <v>74638.508900000001</v>
      </c>
      <c r="E268">
        <v>75188.633900000001</v>
      </c>
      <c r="F268">
        <v>75171.835699999996</v>
      </c>
      <c r="G268">
        <v>75566.828500000003</v>
      </c>
      <c r="H268">
        <v>76041.603199999998</v>
      </c>
      <c r="I268">
        <v>10.768756938149147</v>
      </c>
      <c r="J268">
        <v>10.741089220059946</v>
      </c>
      <c r="K268">
        <v>10.712143894536291</v>
      </c>
      <c r="L268">
        <v>10.704897829597293</v>
      </c>
      <c r="M268">
        <v>10.677728213065336</v>
      </c>
      <c r="N268">
        <v>10.649253967048757</v>
      </c>
      <c r="P268">
        <f t="shared" si="65"/>
        <v>247570.88564447442</v>
      </c>
      <c r="Q268">
        <f t="shared" si="66"/>
        <v>247594.16770179837</v>
      </c>
      <c r="R268">
        <f t="shared" si="67"/>
        <v>246175.68293608871</v>
      </c>
      <c r="S268">
        <f t="shared" si="68"/>
        <v>245975.09918791876</v>
      </c>
      <c r="T268">
        <f t="shared" si="69"/>
        <v>244765.0178919601</v>
      </c>
      <c r="U268">
        <f t="shared" si="70"/>
        <v>243436.01581146271</v>
      </c>
      <c r="V268">
        <f t="shared" si="77"/>
        <v>0</v>
      </c>
      <c r="W268">
        <f t="shared" si="78"/>
        <v>1</v>
      </c>
      <c r="X268">
        <f t="shared" si="79"/>
        <v>0</v>
      </c>
      <c r="Y268">
        <f t="shared" si="80"/>
        <v>0</v>
      </c>
      <c r="Z268">
        <f t="shared" si="81"/>
        <v>0</v>
      </c>
      <c r="AA268">
        <f t="shared" si="82"/>
        <v>0</v>
      </c>
      <c r="AC268">
        <f t="shared" si="71"/>
        <v>247570.88564447442</v>
      </c>
      <c r="AD268">
        <f t="shared" si="72"/>
        <v>247594.16770179837</v>
      </c>
      <c r="AE268">
        <f t="shared" si="73"/>
        <v>246175.68293608871</v>
      </c>
      <c r="AF268">
        <f t="shared" si="74"/>
        <v>245975.09918791876</v>
      </c>
      <c r="AG268">
        <f t="shared" si="75"/>
        <v>244765.0178919601</v>
      </c>
      <c r="AH268">
        <f t="shared" si="76"/>
        <v>243436.01581146271</v>
      </c>
      <c r="AI268">
        <f t="shared" si="83"/>
        <v>247594.16770179837</v>
      </c>
    </row>
    <row r="269" spans="2:35" x14ac:dyDescent="0.3">
      <c r="B269">
        <v>226</v>
      </c>
      <c r="C269">
        <v>69972.115600000005</v>
      </c>
      <c r="D269">
        <v>68791.000799999994</v>
      </c>
      <c r="E269">
        <v>68814.251799999998</v>
      </c>
      <c r="F269">
        <v>68578.121899999998</v>
      </c>
      <c r="G269">
        <v>68657.865999999995</v>
      </c>
      <c r="H269">
        <v>68835.311100000006</v>
      </c>
      <c r="I269">
        <v>11.056961573657826</v>
      </c>
      <c r="J269">
        <v>11.022274666294672</v>
      </c>
      <c r="K269">
        <v>10.996239869704715</v>
      </c>
      <c r="L269">
        <v>10.984812964361895</v>
      </c>
      <c r="M269">
        <v>10.956509392720186</v>
      </c>
      <c r="N269">
        <v>10.923161188885988</v>
      </c>
      <c r="P269">
        <f t="shared" si="65"/>
        <v>261736.73160973476</v>
      </c>
      <c r="Q269">
        <f t="shared" si="66"/>
        <v>261877.23918884021</v>
      </c>
      <c r="R269">
        <f t="shared" si="67"/>
        <v>261072.94429114144</v>
      </c>
      <c r="S269">
        <f t="shared" si="68"/>
        <v>260966.26703085683</v>
      </c>
      <c r="T269">
        <f t="shared" si="69"/>
        <v>260037.41578160558</v>
      </c>
      <c r="U269">
        <f t="shared" si="70"/>
        <v>258859.52456657967</v>
      </c>
      <c r="V269">
        <f t="shared" si="77"/>
        <v>0</v>
      </c>
      <c r="W269">
        <f t="shared" si="78"/>
        <v>1</v>
      </c>
      <c r="X269">
        <f t="shared" si="79"/>
        <v>0</v>
      </c>
      <c r="Y269">
        <f t="shared" si="80"/>
        <v>0</v>
      </c>
      <c r="Z269">
        <f t="shared" si="81"/>
        <v>0</v>
      </c>
      <c r="AA269">
        <f t="shared" si="82"/>
        <v>0</v>
      </c>
      <c r="AC269">
        <f t="shared" si="71"/>
        <v>261736.73160973476</v>
      </c>
      <c r="AD269">
        <f t="shared" si="72"/>
        <v>261877.23918884021</v>
      </c>
      <c r="AE269">
        <f t="shared" si="73"/>
        <v>261072.94429114144</v>
      </c>
      <c r="AF269">
        <f t="shared" si="74"/>
        <v>260966.26703085683</v>
      </c>
      <c r="AG269">
        <f t="shared" si="75"/>
        <v>260037.41578160558</v>
      </c>
      <c r="AH269">
        <f t="shared" si="76"/>
        <v>258859.52456657967</v>
      </c>
      <c r="AI269">
        <f t="shared" si="83"/>
        <v>261877.23918884021</v>
      </c>
    </row>
    <row r="270" spans="2:35" x14ac:dyDescent="0.3">
      <c r="B270">
        <v>227</v>
      </c>
      <c r="C270">
        <v>71523.686199999996</v>
      </c>
      <c r="D270">
        <v>70683.240300000005</v>
      </c>
      <c r="E270">
        <v>70954.453800000003</v>
      </c>
      <c r="F270">
        <v>70762.766399999993</v>
      </c>
      <c r="G270">
        <v>71117.327099999995</v>
      </c>
      <c r="H270">
        <v>71385.941900000005</v>
      </c>
      <c r="I270">
        <v>10.343694587171937</v>
      </c>
      <c r="J270">
        <v>10.308374896979275</v>
      </c>
      <c r="K270">
        <v>10.282026511902325</v>
      </c>
      <c r="L270">
        <v>10.273105407974924</v>
      </c>
      <c r="M270">
        <v>10.250058541167325</v>
      </c>
      <c r="N270">
        <v>10.215545168186184</v>
      </c>
      <c r="P270">
        <f t="shared" si="65"/>
        <v>238787.15141515812</v>
      </c>
      <c r="Q270">
        <f t="shared" si="66"/>
        <v>238568.00660937827</v>
      </c>
      <c r="R270">
        <f t="shared" si="67"/>
        <v>237506.34155706974</v>
      </c>
      <c r="S270">
        <f t="shared" si="68"/>
        <v>237430.39583924771</v>
      </c>
      <c r="T270">
        <f t="shared" si="69"/>
        <v>236384.42913501977</v>
      </c>
      <c r="U270">
        <f t="shared" si="70"/>
        <v>235080.41314558548</v>
      </c>
      <c r="V270">
        <f t="shared" si="77"/>
        <v>1</v>
      </c>
      <c r="W270">
        <f t="shared" si="78"/>
        <v>0</v>
      </c>
      <c r="X270">
        <f t="shared" si="79"/>
        <v>0</v>
      </c>
      <c r="Y270">
        <f t="shared" si="80"/>
        <v>0</v>
      </c>
      <c r="Z270">
        <f t="shared" si="81"/>
        <v>0</v>
      </c>
      <c r="AA270">
        <f t="shared" si="82"/>
        <v>0</v>
      </c>
      <c r="AC270">
        <f t="shared" si="71"/>
        <v>238787.15141515812</v>
      </c>
      <c r="AD270">
        <f t="shared" si="72"/>
        <v>238568.00660937827</v>
      </c>
      <c r="AE270">
        <f t="shared" si="73"/>
        <v>237506.34155706974</v>
      </c>
      <c r="AF270">
        <f t="shared" si="74"/>
        <v>237430.39583924771</v>
      </c>
      <c r="AG270">
        <f t="shared" si="75"/>
        <v>236384.42913501977</v>
      </c>
      <c r="AH270">
        <f t="shared" si="76"/>
        <v>235080.41314558548</v>
      </c>
      <c r="AI270">
        <f t="shared" si="83"/>
        <v>238787.15141515812</v>
      </c>
    </row>
    <row r="271" spans="2:35" x14ac:dyDescent="0.3">
      <c r="B271">
        <v>228</v>
      </c>
      <c r="C271">
        <v>86627.9323</v>
      </c>
      <c r="D271">
        <v>84766.866699999999</v>
      </c>
      <c r="E271">
        <v>84262.153000000006</v>
      </c>
      <c r="F271">
        <v>83890.998600000006</v>
      </c>
      <c r="G271">
        <v>83462.973199999993</v>
      </c>
      <c r="H271">
        <v>83126.718399999998</v>
      </c>
      <c r="I271">
        <v>10.025658466041358</v>
      </c>
      <c r="J271">
        <v>10.000851673523112</v>
      </c>
      <c r="K271">
        <v>9.9819604630367103</v>
      </c>
      <c r="L271">
        <v>9.9725733994807833</v>
      </c>
      <c r="M271">
        <v>9.9528324775088173</v>
      </c>
      <c r="N271">
        <v>9.9352988772711246</v>
      </c>
      <c r="P271">
        <f t="shared" si="65"/>
        <v>214141.82168124075</v>
      </c>
      <c r="Q271">
        <f t="shared" si="66"/>
        <v>215258.68350569333</v>
      </c>
      <c r="R271">
        <f t="shared" si="67"/>
        <v>215196.66089110129</v>
      </c>
      <c r="S271">
        <f t="shared" si="68"/>
        <v>215286.20338442351</v>
      </c>
      <c r="T271">
        <f t="shared" si="69"/>
        <v>215122.00112526451</v>
      </c>
      <c r="U271">
        <f t="shared" si="70"/>
        <v>214932.24791813374</v>
      </c>
      <c r="V271">
        <f t="shared" si="77"/>
        <v>0</v>
      </c>
      <c r="W271">
        <f t="shared" si="78"/>
        <v>0</v>
      </c>
      <c r="X271">
        <f t="shared" si="79"/>
        <v>0</v>
      </c>
      <c r="Y271">
        <f t="shared" si="80"/>
        <v>1</v>
      </c>
      <c r="Z271">
        <f t="shared" si="81"/>
        <v>0</v>
      </c>
      <c r="AA271">
        <f t="shared" si="82"/>
        <v>0</v>
      </c>
      <c r="AC271">
        <f t="shared" si="71"/>
        <v>214141.82168124075</v>
      </c>
      <c r="AD271">
        <f t="shared" si="72"/>
        <v>215258.68350569333</v>
      </c>
      <c r="AE271">
        <f t="shared" si="73"/>
        <v>215196.66089110129</v>
      </c>
      <c r="AF271">
        <f t="shared" si="74"/>
        <v>215286.20338442351</v>
      </c>
      <c r="AG271">
        <f t="shared" si="75"/>
        <v>215122.00112526451</v>
      </c>
      <c r="AH271">
        <f t="shared" si="76"/>
        <v>214932.24791813374</v>
      </c>
      <c r="AI271">
        <f t="shared" si="83"/>
        <v>215286.20338442351</v>
      </c>
    </row>
    <row r="272" spans="2:35" x14ac:dyDescent="0.3">
      <c r="B272">
        <v>229</v>
      </c>
      <c r="C272">
        <v>74188.506599999993</v>
      </c>
      <c r="D272">
        <v>72728.994300000006</v>
      </c>
      <c r="E272">
        <v>72605.231499999994</v>
      </c>
      <c r="F272">
        <v>72368.923299999995</v>
      </c>
      <c r="G272">
        <v>72211.852499999994</v>
      </c>
      <c r="H272">
        <v>72196.175900000002</v>
      </c>
      <c r="I272">
        <v>9.9150590171680353</v>
      </c>
      <c r="J272">
        <v>9.9000093607254804</v>
      </c>
      <c r="K272">
        <v>9.8828507251093427</v>
      </c>
      <c r="L272">
        <v>9.8782949911272837</v>
      </c>
      <c r="M272">
        <v>9.8681096046500425</v>
      </c>
      <c r="N272">
        <v>9.8519257739515265</v>
      </c>
      <c r="P272">
        <f t="shared" si="65"/>
        <v>223263.26391504108</v>
      </c>
      <c r="Q272">
        <f t="shared" si="66"/>
        <v>224271.28652176441</v>
      </c>
      <c r="R272">
        <f t="shared" si="67"/>
        <v>223880.29025328031</v>
      </c>
      <c r="S272">
        <f t="shared" si="68"/>
        <v>223979.9264338185</v>
      </c>
      <c r="T272">
        <f t="shared" si="69"/>
        <v>223831.43563950132</v>
      </c>
      <c r="U272">
        <f t="shared" si="70"/>
        <v>223361.59731854577</v>
      </c>
      <c r="V272">
        <f t="shared" si="77"/>
        <v>0</v>
      </c>
      <c r="W272">
        <f t="shared" si="78"/>
        <v>1</v>
      </c>
      <c r="X272">
        <f t="shared" si="79"/>
        <v>0</v>
      </c>
      <c r="Y272">
        <f t="shared" si="80"/>
        <v>0</v>
      </c>
      <c r="Z272">
        <f t="shared" si="81"/>
        <v>0</v>
      </c>
      <c r="AA272">
        <f t="shared" si="82"/>
        <v>0</v>
      </c>
      <c r="AC272">
        <f t="shared" si="71"/>
        <v>223263.26391504108</v>
      </c>
      <c r="AD272">
        <f t="shared" si="72"/>
        <v>224271.28652176441</v>
      </c>
      <c r="AE272">
        <f t="shared" si="73"/>
        <v>223880.29025328031</v>
      </c>
      <c r="AF272">
        <f t="shared" si="74"/>
        <v>223979.9264338185</v>
      </c>
      <c r="AG272">
        <f t="shared" si="75"/>
        <v>223831.43563950132</v>
      </c>
      <c r="AH272">
        <f t="shared" si="76"/>
        <v>223361.59731854577</v>
      </c>
      <c r="AI272">
        <f t="shared" si="83"/>
        <v>224271.28652176441</v>
      </c>
    </row>
    <row r="273" spans="2:35" x14ac:dyDescent="0.3">
      <c r="B273">
        <v>230</v>
      </c>
      <c r="C273">
        <v>83544.53</v>
      </c>
      <c r="D273">
        <v>82379.733699999997</v>
      </c>
      <c r="E273">
        <v>82432.6535</v>
      </c>
      <c r="F273">
        <v>82258.529500000004</v>
      </c>
      <c r="G273">
        <v>82358.243300000002</v>
      </c>
      <c r="H273">
        <v>82525.230299999996</v>
      </c>
      <c r="I273">
        <v>9.8520203486636966</v>
      </c>
      <c r="J273">
        <v>9.8177748264920748</v>
      </c>
      <c r="K273">
        <v>9.7845186028304578</v>
      </c>
      <c r="L273">
        <v>9.7708833625172478</v>
      </c>
      <c r="M273">
        <v>9.7496260170210167</v>
      </c>
      <c r="N273">
        <v>9.7195204701359632</v>
      </c>
      <c r="P273">
        <f t="shared" si="65"/>
        <v>212016.08045991088</v>
      </c>
      <c r="Q273">
        <f t="shared" si="66"/>
        <v>212153.51109476225</v>
      </c>
      <c r="R273">
        <f t="shared" si="67"/>
        <v>211102.90458491375</v>
      </c>
      <c r="S273">
        <f t="shared" si="68"/>
        <v>210867.97137551743</v>
      </c>
      <c r="T273">
        <f t="shared" si="69"/>
        <v>210130.53721063051</v>
      </c>
      <c r="U273">
        <f t="shared" si="70"/>
        <v>209060.38380407891</v>
      </c>
      <c r="V273">
        <f t="shared" si="77"/>
        <v>0</v>
      </c>
      <c r="W273">
        <f t="shared" si="78"/>
        <v>1</v>
      </c>
      <c r="X273">
        <f t="shared" si="79"/>
        <v>0</v>
      </c>
      <c r="Y273">
        <f t="shared" si="80"/>
        <v>0</v>
      </c>
      <c r="Z273">
        <f t="shared" si="81"/>
        <v>0</v>
      </c>
      <c r="AA273">
        <f t="shared" si="82"/>
        <v>0</v>
      </c>
      <c r="AC273">
        <f t="shared" si="71"/>
        <v>212016.08045991088</v>
      </c>
      <c r="AD273">
        <f t="shared" si="72"/>
        <v>212153.51109476225</v>
      </c>
      <c r="AE273">
        <f t="shared" si="73"/>
        <v>211102.90458491375</v>
      </c>
      <c r="AF273">
        <f t="shared" si="74"/>
        <v>210867.97137551743</v>
      </c>
      <c r="AG273">
        <f t="shared" si="75"/>
        <v>210130.53721063051</v>
      </c>
      <c r="AH273">
        <f t="shared" si="76"/>
        <v>209060.38380407891</v>
      </c>
      <c r="AI273">
        <f t="shared" si="83"/>
        <v>212153.51109476225</v>
      </c>
    </row>
    <row r="274" spans="2:35" x14ac:dyDescent="0.3">
      <c r="B274">
        <v>231</v>
      </c>
      <c r="C274">
        <v>80370.682100000005</v>
      </c>
      <c r="D274">
        <v>78896.5524</v>
      </c>
      <c r="E274">
        <v>78639.366399999999</v>
      </c>
      <c r="F274">
        <v>78181.054399999994</v>
      </c>
      <c r="G274">
        <v>77865.5003</v>
      </c>
      <c r="H274">
        <v>77657.5144</v>
      </c>
      <c r="I274">
        <v>10.76200762166305</v>
      </c>
      <c r="J274">
        <v>10.743146962769094</v>
      </c>
      <c r="K274">
        <v>10.725691728517134</v>
      </c>
      <c r="L274">
        <v>10.71612258073154</v>
      </c>
      <c r="M274">
        <v>10.699635594646445</v>
      </c>
      <c r="N274">
        <v>10.682179390612401</v>
      </c>
      <c r="P274">
        <f t="shared" si="65"/>
        <v>242489.5465498915</v>
      </c>
      <c r="Q274">
        <f t="shared" si="66"/>
        <v>243397.85648307286</v>
      </c>
      <c r="R274">
        <f t="shared" si="67"/>
        <v>243131.38545551401</v>
      </c>
      <c r="S274">
        <f t="shared" si="68"/>
        <v>243302.6230219462</v>
      </c>
      <c r="T274">
        <f t="shared" si="69"/>
        <v>243123.56753939332</v>
      </c>
      <c r="U274">
        <f t="shared" si="70"/>
        <v>242807.86731837201</v>
      </c>
      <c r="V274">
        <f t="shared" si="77"/>
        <v>0</v>
      </c>
      <c r="W274">
        <f t="shared" si="78"/>
        <v>1</v>
      </c>
      <c r="X274">
        <f t="shared" si="79"/>
        <v>0</v>
      </c>
      <c r="Y274">
        <f t="shared" si="80"/>
        <v>0</v>
      </c>
      <c r="Z274">
        <f t="shared" si="81"/>
        <v>0</v>
      </c>
      <c r="AA274">
        <f t="shared" si="82"/>
        <v>0</v>
      </c>
      <c r="AC274">
        <f t="shared" si="71"/>
        <v>242489.5465498915</v>
      </c>
      <c r="AD274">
        <f t="shared" si="72"/>
        <v>243397.85648307286</v>
      </c>
      <c r="AE274">
        <f t="shared" si="73"/>
        <v>243131.38545551401</v>
      </c>
      <c r="AF274">
        <f t="shared" si="74"/>
        <v>243302.6230219462</v>
      </c>
      <c r="AG274">
        <f t="shared" si="75"/>
        <v>243123.56753939332</v>
      </c>
      <c r="AH274">
        <f t="shared" si="76"/>
        <v>242807.86731837201</v>
      </c>
      <c r="AI274">
        <f t="shared" si="83"/>
        <v>243397.85648307286</v>
      </c>
    </row>
    <row r="275" spans="2:35" x14ac:dyDescent="0.3">
      <c r="B275">
        <v>232</v>
      </c>
      <c r="C275">
        <v>76477.400299999994</v>
      </c>
      <c r="D275">
        <v>75683.620800000004</v>
      </c>
      <c r="E275">
        <v>76262.698300000004</v>
      </c>
      <c r="F275">
        <v>76288.635699999999</v>
      </c>
      <c r="G275">
        <v>76564.418799999999</v>
      </c>
      <c r="H275">
        <v>77008.613800000006</v>
      </c>
      <c r="I275">
        <v>9.4718398981069249</v>
      </c>
      <c r="J275">
        <v>9.4385191334101091</v>
      </c>
      <c r="K275">
        <v>9.4168783632642459</v>
      </c>
      <c r="L275">
        <v>9.4056617647932992</v>
      </c>
      <c r="M275">
        <v>9.3852723470737249</v>
      </c>
      <c r="N275">
        <v>9.3497783546301427</v>
      </c>
      <c r="P275">
        <f t="shared" si="65"/>
        <v>207677.79664320778</v>
      </c>
      <c r="Q275">
        <f t="shared" si="66"/>
        <v>207471.9532023033</v>
      </c>
      <c r="R275">
        <f t="shared" si="67"/>
        <v>206243.65259792737</v>
      </c>
      <c r="S275">
        <f t="shared" si="68"/>
        <v>205881.21724379901</v>
      </c>
      <c r="T275">
        <f t="shared" si="69"/>
        <v>204993.75161221175</v>
      </c>
      <c r="U275">
        <f t="shared" si="70"/>
        <v>203484.73683890427</v>
      </c>
      <c r="V275">
        <f t="shared" si="77"/>
        <v>1</v>
      </c>
      <c r="W275">
        <f t="shared" si="78"/>
        <v>0</v>
      </c>
      <c r="X275">
        <f t="shared" si="79"/>
        <v>0</v>
      </c>
      <c r="Y275">
        <f t="shared" si="80"/>
        <v>0</v>
      </c>
      <c r="Z275">
        <f t="shared" si="81"/>
        <v>0</v>
      </c>
      <c r="AA275">
        <f t="shared" si="82"/>
        <v>0</v>
      </c>
      <c r="AC275">
        <f t="shared" si="71"/>
        <v>207677.79664320778</v>
      </c>
      <c r="AD275">
        <f t="shared" si="72"/>
        <v>207471.9532023033</v>
      </c>
      <c r="AE275">
        <f t="shared" si="73"/>
        <v>206243.65259792737</v>
      </c>
      <c r="AF275">
        <f t="shared" si="74"/>
        <v>205881.21724379901</v>
      </c>
      <c r="AG275">
        <f t="shared" si="75"/>
        <v>204993.75161221175</v>
      </c>
      <c r="AH275">
        <f t="shared" si="76"/>
        <v>203484.73683890427</v>
      </c>
      <c r="AI275">
        <f t="shared" si="83"/>
        <v>207677.79664320778</v>
      </c>
    </row>
    <row r="276" spans="2:35" x14ac:dyDescent="0.3">
      <c r="B276">
        <v>233</v>
      </c>
      <c r="C276">
        <v>69973.683999999994</v>
      </c>
      <c r="D276">
        <v>68757.040500000003</v>
      </c>
      <c r="E276">
        <v>68726.848299999998</v>
      </c>
      <c r="F276">
        <v>68568.018700000001</v>
      </c>
      <c r="G276">
        <v>68657.644400000005</v>
      </c>
      <c r="H276">
        <v>68581.256200000003</v>
      </c>
      <c r="I276">
        <v>8.7654719554615408</v>
      </c>
      <c r="J276">
        <v>8.729421538411211</v>
      </c>
      <c r="K276">
        <v>8.7039239945100242</v>
      </c>
      <c r="L276">
        <v>8.6916702171042139</v>
      </c>
      <c r="M276">
        <v>8.6662687211456824</v>
      </c>
      <c r="N276">
        <v>8.6397803477244448</v>
      </c>
      <c r="P276">
        <f t="shared" si="65"/>
        <v>192990.47466384619</v>
      </c>
      <c r="Q276">
        <f t="shared" si="66"/>
        <v>193125.60565233632</v>
      </c>
      <c r="R276">
        <f t="shared" si="67"/>
        <v>192390.87153530074</v>
      </c>
      <c r="S276">
        <f t="shared" si="68"/>
        <v>192182.08781312639</v>
      </c>
      <c r="T276">
        <f t="shared" si="69"/>
        <v>191330.41723437048</v>
      </c>
      <c r="U276">
        <f t="shared" si="70"/>
        <v>190612.15423173335</v>
      </c>
      <c r="V276">
        <f t="shared" si="77"/>
        <v>0</v>
      </c>
      <c r="W276">
        <f t="shared" si="78"/>
        <v>1</v>
      </c>
      <c r="X276">
        <f t="shared" si="79"/>
        <v>0</v>
      </c>
      <c r="Y276">
        <f t="shared" si="80"/>
        <v>0</v>
      </c>
      <c r="Z276">
        <f t="shared" si="81"/>
        <v>0</v>
      </c>
      <c r="AA276">
        <f t="shared" si="82"/>
        <v>0</v>
      </c>
      <c r="AC276">
        <f t="shared" si="71"/>
        <v>192990.47466384619</v>
      </c>
      <c r="AD276">
        <f t="shared" si="72"/>
        <v>193125.60565233632</v>
      </c>
      <c r="AE276">
        <f t="shared" si="73"/>
        <v>192390.87153530074</v>
      </c>
      <c r="AF276">
        <f t="shared" si="74"/>
        <v>192182.08781312639</v>
      </c>
      <c r="AG276">
        <f t="shared" si="75"/>
        <v>191330.41723437048</v>
      </c>
      <c r="AH276">
        <f t="shared" si="76"/>
        <v>190612.15423173335</v>
      </c>
      <c r="AI276">
        <f t="shared" si="83"/>
        <v>193125.60565233632</v>
      </c>
    </row>
    <row r="277" spans="2:35" x14ac:dyDescent="0.3">
      <c r="B277">
        <v>234</v>
      </c>
      <c r="C277">
        <v>79974.431899999996</v>
      </c>
      <c r="D277">
        <v>79898.447700000004</v>
      </c>
      <c r="E277">
        <v>80593.657399999996</v>
      </c>
      <c r="F277">
        <v>80697.895799999998</v>
      </c>
      <c r="G277">
        <v>81602.832299999995</v>
      </c>
      <c r="H277">
        <v>82702.106799999994</v>
      </c>
      <c r="I277">
        <v>9.8946736575045389</v>
      </c>
      <c r="J277">
        <v>9.8713251226952252</v>
      </c>
      <c r="K277">
        <v>9.8559412428391138</v>
      </c>
      <c r="L277">
        <v>9.8456504903760109</v>
      </c>
      <c r="M277">
        <v>9.8280450496875389</v>
      </c>
      <c r="N277">
        <v>9.8118276632916661</v>
      </c>
      <c r="P277">
        <f t="shared" si="65"/>
        <v>216865.77782513617</v>
      </c>
      <c r="Q277">
        <f t="shared" si="66"/>
        <v>216241.30598085676</v>
      </c>
      <c r="R277">
        <f t="shared" si="67"/>
        <v>215084.57988517344</v>
      </c>
      <c r="S277">
        <f t="shared" si="68"/>
        <v>214671.61891128035</v>
      </c>
      <c r="T277">
        <f t="shared" si="69"/>
        <v>213238.51919062616</v>
      </c>
      <c r="U277">
        <f t="shared" si="70"/>
        <v>211652.72309874999</v>
      </c>
      <c r="V277">
        <f t="shared" si="77"/>
        <v>1</v>
      </c>
      <c r="W277">
        <f t="shared" si="78"/>
        <v>0</v>
      </c>
      <c r="X277">
        <f t="shared" si="79"/>
        <v>0</v>
      </c>
      <c r="Y277">
        <f t="shared" si="80"/>
        <v>0</v>
      </c>
      <c r="Z277">
        <f t="shared" si="81"/>
        <v>0</v>
      </c>
      <c r="AA277">
        <f t="shared" si="82"/>
        <v>0</v>
      </c>
      <c r="AC277">
        <f t="shared" si="71"/>
        <v>216865.77782513617</v>
      </c>
      <c r="AD277">
        <f t="shared" si="72"/>
        <v>216241.30598085676</v>
      </c>
      <c r="AE277">
        <f t="shared" si="73"/>
        <v>215084.57988517344</v>
      </c>
      <c r="AF277">
        <f t="shared" si="74"/>
        <v>214671.61891128035</v>
      </c>
      <c r="AG277">
        <f t="shared" si="75"/>
        <v>213238.51919062616</v>
      </c>
      <c r="AH277">
        <f t="shared" si="76"/>
        <v>211652.72309874999</v>
      </c>
      <c r="AI277">
        <f t="shared" si="83"/>
        <v>216865.77782513617</v>
      </c>
    </row>
    <row r="278" spans="2:35" x14ac:dyDescent="0.3">
      <c r="B278">
        <v>235</v>
      </c>
      <c r="C278">
        <v>75582.248500000002</v>
      </c>
      <c r="D278">
        <v>74905.709400000007</v>
      </c>
      <c r="E278">
        <v>75519.183399999994</v>
      </c>
      <c r="F278">
        <v>75303.194300000003</v>
      </c>
      <c r="G278">
        <v>75922.039999999994</v>
      </c>
      <c r="H278">
        <v>76521.445699999997</v>
      </c>
      <c r="I278">
        <v>11.635457477345144</v>
      </c>
      <c r="J278">
        <v>11.608680714429967</v>
      </c>
      <c r="K278">
        <v>11.583163498213338</v>
      </c>
      <c r="L278">
        <v>11.577803290973717</v>
      </c>
      <c r="M278">
        <v>11.557608644594159</v>
      </c>
      <c r="N278">
        <v>11.531188289651819</v>
      </c>
      <c r="P278">
        <f t="shared" si="65"/>
        <v>273481.4758203543</v>
      </c>
      <c r="Q278">
        <f t="shared" si="66"/>
        <v>273354.71203289903</v>
      </c>
      <c r="R278">
        <f t="shared" si="67"/>
        <v>271975.72154640016</v>
      </c>
      <c r="S278">
        <f t="shared" si="68"/>
        <v>272030.90442921151</v>
      </c>
      <c r="T278">
        <f t="shared" si="69"/>
        <v>270806.21933782479</v>
      </c>
      <c r="U278">
        <f t="shared" si="70"/>
        <v>269414.20298955461</v>
      </c>
      <c r="V278">
        <f t="shared" si="77"/>
        <v>1</v>
      </c>
      <c r="W278">
        <f t="shared" si="78"/>
        <v>0</v>
      </c>
      <c r="X278">
        <f t="shared" si="79"/>
        <v>0</v>
      </c>
      <c r="Y278">
        <f t="shared" si="80"/>
        <v>0</v>
      </c>
      <c r="Z278">
        <f t="shared" si="81"/>
        <v>0</v>
      </c>
      <c r="AA278">
        <f t="shared" si="82"/>
        <v>0</v>
      </c>
      <c r="AC278">
        <f t="shared" si="71"/>
        <v>273481.4758203543</v>
      </c>
      <c r="AD278">
        <f t="shared" si="72"/>
        <v>273354.71203289903</v>
      </c>
      <c r="AE278">
        <f t="shared" si="73"/>
        <v>271975.72154640016</v>
      </c>
      <c r="AF278">
        <f t="shared" si="74"/>
        <v>272030.90442921151</v>
      </c>
      <c r="AG278">
        <f t="shared" si="75"/>
        <v>270806.21933782479</v>
      </c>
      <c r="AH278">
        <f t="shared" si="76"/>
        <v>269414.20298955461</v>
      </c>
      <c r="AI278">
        <f t="shared" si="83"/>
        <v>273481.4758203543</v>
      </c>
    </row>
    <row r="279" spans="2:35" x14ac:dyDescent="0.3">
      <c r="B279">
        <v>236</v>
      </c>
      <c r="C279">
        <v>81435.506699999998</v>
      </c>
      <c r="D279">
        <v>80727.202499999999</v>
      </c>
      <c r="E279">
        <v>81115.001300000004</v>
      </c>
      <c r="F279">
        <v>80917.520799999998</v>
      </c>
      <c r="G279">
        <v>81374.849400000006</v>
      </c>
      <c r="H279">
        <v>81686.874299999996</v>
      </c>
      <c r="I279">
        <v>10.291678504355696</v>
      </c>
      <c r="J279">
        <v>10.253602913626878</v>
      </c>
      <c r="K279">
        <v>10.225075605674466</v>
      </c>
      <c r="L279">
        <v>10.219131332106908</v>
      </c>
      <c r="M279">
        <v>10.18982886048572</v>
      </c>
      <c r="N279">
        <v>10.167359535794827</v>
      </c>
      <c r="P279">
        <f t="shared" si="65"/>
        <v>227314.84843067089</v>
      </c>
      <c r="Q279">
        <f t="shared" si="66"/>
        <v>226880.8849088063</v>
      </c>
      <c r="R279">
        <f t="shared" si="67"/>
        <v>225637.26687023399</v>
      </c>
      <c r="S279">
        <f t="shared" si="68"/>
        <v>225656.41916320723</v>
      </c>
      <c r="T279">
        <f t="shared" si="69"/>
        <v>224320.01641457161</v>
      </c>
      <c r="U279">
        <f t="shared" si="70"/>
        <v>223333.91177384483</v>
      </c>
      <c r="V279">
        <f t="shared" si="77"/>
        <v>1</v>
      </c>
      <c r="W279">
        <f t="shared" si="78"/>
        <v>0</v>
      </c>
      <c r="X279">
        <f t="shared" si="79"/>
        <v>0</v>
      </c>
      <c r="Y279">
        <f t="shared" si="80"/>
        <v>0</v>
      </c>
      <c r="Z279">
        <f t="shared" si="81"/>
        <v>0</v>
      </c>
      <c r="AA279">
        <f t="shared" si="82"/>
        <v>0</v>
      </c>
      <c r="AC279">
        <f t="shared" si="71"/>
        <v>227314.84843067089</v>
      </c>
      <c r="AD279">
        <f t="shared" si="72"/>
        <v>226880.8849088063</v>
      </c>
      <c r="AE279">
        <f t="shared" si="73"/>
        <v>225637.26687023399</v>
      </c>
      <c r="AF279">
        <f t="shared" si="74"/>
        <v>225656.41916320723</v>
      </c>
      <c r="AG279">
        <f t="shared" si="75"/>
        <v>224320.01641457161</v>
      </c>
      <c r="AH279">
        <f t="shared" si="76"/>
        <v>223333.91177384483</v>
      </c>
      <c r="AI279">
        <f t="shared" si="83"/>
        <v>227314.84843067089</v>
      </c>
    </row>
    <row r="280" spans="2:35" x14ac:dyDescent="0.3">
      <c r="B280">
        <v>237</v>
      </c>
      <c r="C280">
        <v>85105.434399999998</v>
      </c>
      <c r="D280">
        <v>82859.170499999993</v>
      </c>
      <c r="E280">
        <v>81931.773400000005</v>
      </c>
      <c r="F280">
        <v>81362.265799999994</v>
      </c>
      <c r="G280">
        <v>80651.250100000005</v>
      </c>
      <c r="H280">
        <v>79678.000799999994</v>
      </c>
      <c r="I280">
        <v>11.423157238685071</v>
      </c>
      <c r="J280">
        <v>11.399035409599659</v>
      </c>
      <c r="K280">
        <v>11.376422684956047</v>
      </c>
      <c r="L280">
        <v>11.366275928269374</v>
      </c>
      <c r="M280">
        <v>11.351511607492663</v>
      </c>
      <c r="N280">
        <v>11.3248826950097</v>
      </c>
      <c r="P280">
        <f t="shared" si="65"/>
        <v>257589.28276055216</v>
      </c>
      <c r="Q280">
        <f t="shared" si="66"/>
        <v>259111.89178798976</v>
      </c>
      <c r="R280">
        <f t="shared" si="67"/>
        <v>259360.90714868141</v>
      </c>
      <c r="S280">
        <f t="shared" si="68"/>
        <v>259626.0120480812</v>
      </c>
      <c r="T280">
        <f t="shared" si="69"/>
        <v>259894.09812477988</v>
      </c>
      <c r="U280">
        <f t="shared" si="70"/>
        <v>260068.48005029105</v>
      </c>
      <c r="V280">
        <f t="shared" si="77"/>
        <v>0</v>
      </c>
      <c r="W280">
        <f t="shared" si="78"/>
        <v>0</v>
      </c>
      <c r="X280">
        <f t="shared" si="79"/>
        <v>0</v>
      </c>
      <c r="Y280">
        <f t="shared" si="80"/>
        <v>0</v>
      </c>
      <c r="Z280">
        <f t="shared" si="81"/>
        <v>0</v>
      </c>
      <c r="AA280">
        <f t="shared" si="82"/>
        <v>1</v>
      </c>
      <c r="AC280">
        <f t="shared" si="71"/>
        <v>257589.28276055216</v>
      </c>
      <c r="AD280">
        <f t="shared" si="72"/>
        <v>259111.89178798976</v>
      </c>
      <c r="AE280">
        <f t="shared" si="73"/>
        <v>259360.90714868141</v>
      </c>
      <c r="AF280">
        <f t="shared" si="74"/>
        <v>259626.0120480812</v>
      </c>
      <c r="AG280">
        <f t="shared" si="75"/>
        <v>259894.09812477988</v>
      </c>
      <c r="AH280">
        <f t="shared" si="76"/>
        <v>260068.48005029105</v>
      </c>
      <c r="AI280">
        <f t="shared" si="83"/>
        <v>260068.48005029105</v>
      </c>
    </row>
    <row r="281" spans="2:35" x14ac:dyDescent="0.3">
      <c r="B281">
        <v>238</v>
      </c>
      <c r="C281">
        <v>71873.372300000003</v>
      </c>
      <c r="D281">
        <v>71266.681299999997</v>
      </c>
      <c r="E281">
        <v>71892.588000000003</v>
      </c>
      <c r="F281">
        <v>71816.844599999997</v>
      </c>
      <c r="G281">
        <v>72325.823499999999</v>
      </c>
      <c r="H281">
        <v>72943.109100000001</v>
      </c>
      <c r="I281">
        <v>10.167376383383647</v>
      </c>
      <c r="J281">
        <v>10.148952662915919</v>
      </c>
      <c r="K281">
        <v>10.134141371256771</v>
      </c>
      <c r="L281">
        <v>10.129904353074735</v>
      </c>
      <c r="M281">
        <v>10.11699832267816</v>
      </c>
      <c r="N281">
        <v>10.101223104799516</v>
      </c>
      <c r="P281">
        <f t="shared" si="65"/>
        <v>233147.91920150944</v>
      </c>
      <c r="Q281">
        <f t="shared" si="66"/>
        <v>233201.89858747757</v>
      </c>
      <c r="R281">
        <f t="shared" si="67"/>
        <v>232131.65313770314</v>
      </c>
      <c r="S281">
        <f t="shared" si="68"/>
        <v>232080.28599224205</v>
      </c>
      <c r="T281">
        <f t="shared" si="69"/>
        <v>231184.12618034479</v>
      </c>
      <c r="U281">
        <f t="shared" si="70"/>
        <v>230093.58404398547</v>
      </c>
      <c r="V281">
        <f t="shared" si="77"/>
        <v>0</v>
      </c>
      <c r="W281">
        <f t="shared" si="78"/>
        <v>1</v>
      </c>
      <c r="X281">
        <f t="shared" si="79"/>
        <v>0</v>
      </c>
      <c r="Y281">
        <f t="shared" si="80"/>
        <v>0</v>
      </c>
      <c r="Z281">
        <f t="shared" si="81"/>
        <v>0</v>
      </c>
      <c r="AA281">
        <f t="shared" si="82"/>
        <v>0</v>
      </c>
      <c r="AC281">
        <f t="shared" si="71"/>
        <v>233147.91920150944</v>
      </c>
      <c r="AD281">
        <f t="shared" si="72"/>
        <v>233201.89858747757</v>
      </c>
      <c r="AE281">
        <f t="shared" si="73"/>
        <v>232131.65313770314</v>
      </c>
      <c r="AF281">
        <f t="shared" si="74"/>
        <v>232080.28599224205</v>
      </c>
      <c r="AG281">
        <f t="shared" si="75"/>
        <v>231184.12618034479</v>
      </c>
      <c r="AH281">
        <f t="shared" si="76"/>
        <v>230093.58404398547</v>
      </c>
      <c r="AI281">
        <f t="shared" si="83"/>
        <v>233201.89858747757</v>
      </c>
    </row>
    <row r="282" spans="2:35" x14ac:dyDescent="0.3">
      <c r="B282">
        <v>239</v>
      </c>
      <c r="C282">
        <v>69535.616800000003</v>
      </c>
      <c r="D282">
        <v>68207.715700000001</v>
      </c>
      <c r="E282">
        <v>68202.455300000001</v>
      </c>
      <c r="F282">
        <v>68007.401299999998</v>
      </c>
      <c r="G282">
        <v>67955.1149</v>
      </c>
      <c r="H282">
        <v>68068.199200000003</v>
      </c>
      <c r="I282">
        <v>12.698952840405429</v>
      </c>
      <c r="J282">
        <v>12.673539574348814</v>
      </c>
      <c r="K282">
        <v>12.652226915088093</v>
      </c>
      <c r="L282">
        <v>12.651000971192733</v>
      </c>
      <c r="M282">
        <v>12.632250699081908</v>
      </c>
      <c r="N282">
        <v>12.602997308762458</v>
      </c>
      <c r="P282">
        <f t="shared" si="65"/>
        <v>311432.96841216285</v>
      </c>
      <c r="Q282">
        <f t="shared" si="66"/>
        <v>311998.47153046442</v>
      </c>
      <c r="R282">
        <f t="shared" si="67"/>
        <v>311364.35215264279</v>
      </c>
      <c r="S282">
        <f t="shared" si="68"/>
        <v>311522.62783578201</v>
      </c>
      <c r="T282">
        <f t="shared" si="69"/>
        <v>311012.40607245726</v>
      </c>
      <c r="U282">
        <f t="shared" si="70"/>
        <v>310021.72006287368</v>
      </c>
      <c r="V282">
        <f t="shared" si="77"/>
        <v>0</v>
      </c>
      <c r="W282">
        <f t="shared" si="78"/>
        <v>1</v>
      </c>
      <c r="X282">
        <f t="shared" si="79"/>
        <v>0</v>
      </c>
      <c r="Y282">
        <f t="shared" si="80"/>
        <v>0</v>
      </c>
      <c r="Z282">
        <f t="shared" si="81"/>
        <v>0</v>
      </c>
      <c r="AA282">
        <f t="shared" si="82"/>
        <v>0</v>
      </c>
      <c r="AC282">
        <f t="shared" si="71"/>
        <v>311432.96841216285</v>
      </c>
      <c r="AD282">
        <f t="shared" si="72"/>
        <v>311998.47153046442</v>
      </c>
      <c r="AE282">
        <f t="shared" si="73"/>
        <v>311364.35215264279</v>
      </c>
      <c r="AF282">
        <f t="shared" si="74"/>
        <v>311522.62783578201</v>
      </c>
      <c r="AG282">
        <f t="shared" si="75"/>
        <v>311012.40607245726</v>
      </c>
      <c r="AH282">
        <f t="shared" si="76"/>
        <v>310021.72006287368</v>
      </c>
      <c r="AI282">
        <f t="shared" si="83"/>
        <v>311998.47153046442</v>
      </c>
    </row>
    <row r="283" spans="2:35" x14ac:dyDescent="0.3">
      <c r="B283">
        <v>240</v>
      </c>
      <c r="C283">
        <v>86254.928</v>
      </c>
      <c r="D283">
        <v>86207.682799999995</v>
      </c>
      <c r="E283">
        <v>87260.231299999999</v>
      </c>
      <c r="F283">
        <v>87092.226800000004</v>
      </c>
      <c r="G283">
        <v>88640.229800000001</v>
      </c>
      <c r="H283">
        <v>89396.868799999997</v>
      </c>
      <c r="I283">
        <v>11.271474986382612</v>
      </c>
      <c r="J283">
        <v>11.248768104791845</v>
      </c>
      <c r="K283">
        <v>11.231617554930574</v>
      </c>
      <c r="L283">
        <v>11.229845248443834</v>
      </c>
      <c r="M283">
        <v>11.20657674569529</v>
      </c>
      <c r="N283">
        <v>11.189716230160125</v>
      </c>
      <c r="P283">
        <f t="shared" si="65"/>
        <v>251889.32159147837</v>
      </c>
      <c r="Q283">
        <f t="shared" si="66"/>
        <v>251255.36034375534</v>
      </c>
      <c r="R283">
        <f t="shared" si="67"/>
        <v>249688.29534791724</v>
      </c>
      <c r="S283">
        <f t="shared" si="68"/>
        <v>249803.13065331499</v>
      </c>
      <c r="T283">
        <f t="shared" si="69"/>
        <v>247557.07257085873</v>
      </c>
      <c r="U283">
        <f t="shared" si="70"/>
        <v>246294.61810480373</v>
      </c>
      <c r="V283">
        <f t="shared" si="77"/>
        <v>1</v>
      </c>
      <c r="W283">
        <f t="shared" si="78"/>
        <v>0</v>
      </c>
      <c r="X283">
        <f t="shared" si="79"/>
        <v>0</v>
      </c>
      <c r="Y283">
        <f t="shared" si="80"/>
        <v>0</v>
      </c>
      <c r="Z283">
        <f t="shared" si="81"/>
        <v>0</v>
      </c>
      <c r="AA283">
        <f t="shared" si="82"/>
        <v>0</v>
      </c>
      <c r="AC283">
        <f t="shared" si="71"/>
        <v>251889.32159147837</v>
      </c>
      <c r="AD283">
        <f t="shared" si="72"/>
        <v>251255.36034375534</v>
      </c>
      <c r="AE283">
        <f t="shared" si="73"/>
        <v>249688.29534791724</v>
      </c>
      <c r="AF283">
        <f t="shared" si="74"/>
        <v>249803.13065331499</v>
      </c>
      <c r="AG283">
        <f t="shared" si="75"/>
        <v>247557.07257085873</v>
      </c>
      <c r="AH283">
        <f t="shared" si="76"/>
        <v>246294.61810480373</v>
      </c>
      <c r="AI283">
        <f t="shared" si="83"/>
        <v>251889.32159147837</v>
      </c>
    </row>
    <row r="284" spans="2:35" x14ac:dyDescent="0.3">
      <c r="B284">
        <v>241</v>
      </c>
      <c r="C284">
        <v>78322.4899</v>
      </c>
      <c r="D284">
        <v>78007.824999999997</v>
      </c>
      <c r="E284">
        <v>78919.334400000007</v>
      </c>
      <c r="F284">
        <v>79064.717900000003</v>
      </c>
      <c r="G284">
        <v>79920.345000000001</v>
      </c>
      <c r="H284">
        <v>80593.684500000003</v>
      </c>
      <c r="I284">
        <v>8.9496796693787051</v>
      </c>
      <c r="J284">
        <v>8.9290416597139561</v>
      </c>
      <c r="K284">
        <v>8.9067070273072773</v>
      </c>
      <c r="L284">
        <v>8.9012859341339983</v>
      </c>
      <c r="M284">
        <v>8.8808386730048365</v>
      </c>
      <c r="N284">
        <v>8.8645580364802132</v>
      </c>
      <c r="P284">
        <f t="shared" si="65"/>
        <v>190167.90018136118</v>
      </c>
      <c r="Q284">
        <f t="shared" si="66"/>
        <v>189863.42479141866</v>
      </c>
      <c r="R284">
        <f t="shared" si="67"/>
        <v>188281.87641921832</v>
      </c>
      <c r="S284">
        <f t="shared" si="68"/>
        <v>187973.86012401996</v>
      </c>
      <c r="T284">
        <f t="shared" si="69"/>
        <v>186504.81519014508</v>
      </c>
      <c r="U284">
        <f t="shared" si="70"/>
        <v>185343.0565944064</v>
      </c>
      <c r="V284">
        <f t="shared" si="77"/>
        <v>1</v>
      </c>
      <c r="W284">
        <f t="shared" si="78"/>
        <v>0</v>
      </c>
      <c r="X284">
        <f t="shared" si="79"/>
        <v>0</v>
      </c>
      <c r="Y284">
        <f t="shared" si="80"/>
        <v>0</v>
      </c>
      <c r="Z284">
        <f t="shared" si="81"/>
        <v>0</v>
      </c>
      <c r="AA284">
        <f t="shared" si="82"/>
        <v>0</v>
      </c>
      <c r="AC284">
        <f t="shared" si="71"/>
        <v>190167.90018136118</v>
      </c>
      <c r="AD284">
        <f t="shared" si="72"/>
        <v>189863.42479141866</v>
      </c>
      <c r="AE284">
        <f t="shared" si="73"/>
        <v>188281.87641921832</v>
      </c>
      <c r="AF284">
        <f t="shared" si="74"/>
        <v>187973.86012401996</v>
      </c>
      <c r="AG284">
        <f t="shared" si="75"/>
        <v>186504.81519014508</v>
      </c>
      <c r="AH284">
        <f t="shared" si="76"/>
        <v>185343.0565944064</v>
      </c>
      <c r="AI284">
        <f t="shared" si="83"/>
        <v>190167.90018136118</v>
      </c>
    </row>
    <row r="285" spans="2:35" x14ac:dyDescent="0.3">
      <c r="B285">
        <v>242</v>
      </c>
      <c r="C285">
        <v>69112.170700000002</v>
      </c>
      <c r="D285">
        <v>67939.228700000007</v>
      </c>
      <c r="E285">
        <v>68213.382299999997</v>
      </c>
      <c r="F285">
        <v>67997.690100000007</v>
      </c>
      <c r="G285">
        <v>68142.818199999994</v>
      </c>
      <c r="H285">
        <v>68277.215700000001</v>
      </c>
      <c r="I285">
        <v>8.8958542021947284</v>
      </c>
      <c r="J285">
        <v>8.8698926807231153</v>
      </c>
      <c r="K285">
        <v>8.8592583326829377</v>
      </c>
      <c r="L285">
        <v>8.8516014593074086</v>
      </c>
      <c r="M285">
        <v>8.8299112697842173</v>
      </c>
      <c r="N285">
        <v>8.8109877202841957</v>
      </c>
      <c r="P285">
        <f t="shared" si="65"/>
        <v>197763.45536584186</v>
      </c>
      <c r="Q285">
        <f t="shared" si="66"/>
        <v>198157.55172169345</v>
      </c>
      <c r="R285">
        <f t="shared" si="67"/>
        <v>197564.36768048815</v>
      </c>
      <c r="S285">
        <f t="shared" si="68"/>
        <v>197550.35367922223</v>
      </c>
      <c r="T285">
        <f t="shared" si="69"/>
        <v>196754.51989352657</v>
      </c>
      <c r="U285">
        <f t="shared" si="70"/>
        <v>196052.41590852587</v>
      </c>
      <c r="V285">
        <f t="shared" si="77"/>
        <v>0</v>
      </c>
      <c r="W285">
        <f t="shared" si="78"/>
        <v>1</v>
      </c>
      <c r="X285">
        <f t="shared" si="79"/>
        <v>0</v>
      </c>
      <c r="Y285">
        <f t="shared" si="80"/>
        <v>0</v>
      </c>
      <c r="Z285">
        <f t="shared" si="81"/>
        <v>0</v>
      </c>
      <c r="AA285">
        <f t="shared" si="82"/>
        <v>0</v>
      </c>
      <c r="AC285">
        <f t="shared" si="71"/>
        <v>197763.45536584186</v>
      </c>
      <c r="AD285">
        <f t="shared" si="72"/>
        <v>198157.55172169345</v>
      </c>
      <c r="AE285">
        <f t="shared" si="73"/>
        <v>197564.36768048815</v>
      </c>
      <c r="AF285">
        <f t="shared" si="74"/>
        <v>197550.35367922223</v>
      </c>
      <c r="AG285">
        <f t="shared" si="75"/>
        <v>196754.51989352657</v>
      </c>
      <c r="AH285">
        <f t="shared" si="76"/>
        <v>196052.41590852587</v>
      </c>
      <c r="AI285">
        <f t="shared" si="83"/>
        <v>198157.55172169345</v>
      </c>
    </row>
    <row r="286" spans="2:35" x14ac:dyDescent="0.3">
      <c r="B286">
        <v>243</v>
      </c>
      <c r="C286">
        <v>79055.323300000004</v>
      </c>
      <c r="D286">
        <v>78454.534199999995</v>
      </c>
      <c r="E286">
        <v>79387.5484</v>
      </c>
      <c r="F286">
        <v>79401.766300000003</v>
      </c>
      <c r="G286">
        <v>80203.298899999994</v>
      </c>
      <c r="H286">
        <v>80765.019100000005</v>
      </c>
      <c r="I286">
        <v>10.27762998382514</v>
      </c>
      <c r="J286">
        <v>10.26280858367452</v>
      </c>
      <c r="K286">
        <v>10.252668936774633</v>
      </c>
      <c r="L286">
        <v>10.24974893868831</v>
      </c>
      <c r="M286">
        <v>10.239093956633802</v>
      </c>
      <c r="N286">
        <v>10.226083405115361</v>
      </c>
      <c r="P286">
        <f t="shared" si="65"/>
        <v>229273.5762147542</v>
      </c>
      <c r="Q286">
        <f t="shared" si="66"/>
        <v>229429.7233102356</v>
      </c>
      <c r="R286">
        <f t="shared" si="67"/>
        <v>228192.519703239</v>
      </c>
      <c r="S286">
        <f t="shared" si="68"/>
        <v>228090.70186064928</v>
      </c>
      <c r="T286">
        <f t="shared" si="69"/>
        <v>226969.51979901409</v>
      </c>
      <c r="U286">
        <f t="shared" si="70"/>
        <v>226017.4830534608</v>
      </c>
      <c r="V286">
        <f t="shared" si="77"/>
        <v>0</v>
      </c>
      <c r="W286">
        <f t="shared" si="78"/>
        <v>1</v>
      </c>
      <c r="X286">
        <f t="shared" si="79"/>
        <v>0</v>
      </c>
      <c r="Y286">
        <f t="shared" si="80"/>
        <v>0</v>
      </c>
      <c r="Z286">
        <f t="shared" si="81"/>
        <v>0</v>
      </c>
      <c r="AA286">
        <f t="shared" si="82"/>
        <v>0</v>
      </c>
      <c r="AC286">
        <f t="shared" si="71"/>
        <v>229273.5762147542</v>
      </c>
      <c r="AD286">
        <f t="shared" si="72"/>
        <v>229429.7233102356</v>
      </c>
      <c r="AE286">
        <f t="shared" si="73"/>
        <v>228192.519703239</v>
      </c>
      <c r="AF286">
        <f t="shared" si="74"/>
        <v>228090.70186064928</v>
      </c>
      <c r="AG286">
        <f t="shared" si="75"/>
        <v>226969.51979901409</v>
      </c>
      <c r="AH286">
        <f t="shared" si="76"/>
        <v>226017.4830534608</v>
      </c>
      <c r="AI286">
        <f t="shared" si="83"/>
        <v>229429.7233102356</v>
      </c>
    </row>
    <row r="287" spans="2:35" x14ac:dyDescent="0.3">
      <c r="B287">
        <v>244</v>
      </c>
      <c r="C287">
        <v>75136.554099999994</v>
      </c>
      <c r="D287">
        <v>74051.379100000006</v>
      </c>
      <c r="E287">
        <v>74238.673200000005</v>
      </c>
      <c r="F287">
        <v>74041.913400000005</v>
      </c>
      <c r="G287">
        <v>74387.365600000005</v>
      </c>
      <c r="H287">
        <v>74300.232600000003</v>
      </c>
      <c r="I287">
        <v>9.5025562707848525</v>
      </c>
      <c r="J287">
        <v>9.4775041968967901</v>
      </c>
      <c r="K287">
        <v>9.4599481766342723</v>
      </c>
      <c r="L287">
        <v>9.4477551595555465</v>
      </c>
      <c r="M287">
        <v>9.43241040734463</v>
      </c>
      <c r="N287">
        <v>9.4041761544466773</v>
      </c>
      <c r="P287">
        <f t="shared" si="65"/>
        <v>209940.13402354554</v>
      </c>
      <c r="Q287">
        <f t="shared" si="66"/>
        <v>210273.74680690368</v>
      </c>
      <c r="R287">
        <f t="shared" si="67"/>
        <v>209559.77209902817</v>
      </c>
      <c r="S287">
        <f t="shared" si="68"/>
        <v>209390.74138666637</v>
      </c>
      <c r="T287">
        <f t="shared" si="69"/>
        <v>208584.94662033889</v>
      </c>
      <c r="U287">
        <f t="shared" si="70"/>
        <v>207825.05203340034</v>
      </c>
      <c r="V287">
        <f t="shared" si="77"/>
        <v>0</v>
      </c>
      <c r="W287">
        <f t="shared" si="78"/>
        <v>1</v>
      </c>
      <c r="X287">
        <f t="shared" si="79"/>
        <v>0</v>
      </c>
      <c r="Y287">
        <f t="shared" si="80"/>
        <v>0</v>
      </c>
      <c r="Z287">
        <f t="shared" si="81"/>
        <v>0</v>
      </c>
      <c r="AA287">
        <f t="shared" si="82"/>
        <v>0</v>
      </c>
      <c r="AC287">
        <f t="shared" si="71"/>
        <v>209940.13402354554</v>
      </c>
      <c r="AD287">
        <f t="shared" si="72"/>
        <v>210273.74680690368</v>
      </c>
      <c r="AE287">
        <f t="shared" si="73"/>
        <v>209559.77209902817</v>
      </c>
      <c r="AF287">
        <f t="shared" si="74"/>
        <v>209390.74138666637</v>
      </c>
      <c r="AG287">
        <f t="shared" si="75"/>
        <v>208584.94662033889</v>
      </c>
      <c r="AH287">
        <f t="shared" si="76"/>
        <v>207825.05203340034</v>
      </c>
      <c r="AI287">
        <f t="shared" si="83"/>
        <v>210273.74680690368</v>
      </c>
    </row>
    <row r="288" spans="2:35" x14ac:dyDescent="0.3">
      <c r="B288">
        <v>245</v>
      </c>
      <c r="C288">
        <v>69310.698199999999</v>
      </c>
      <c r="D288">
        <v>68920.584900000002</v>
      </c>
      <c r="E288">
        <v>69672.372600000002</v>
      </c>
      <c r="F288">
        <v>69811.483200000002</v>
      </c>
      <c r="G288">
        <v>70248.6584</v>
      </c>
      <c r="H288">
        <v>71169.080400000006</v>
      </c>
      <c r="I288">
        <v>9.5895413878752276</v>
      </c>
      <c r="J288">
        <v>9.5703711935420124</v>
      </c>
      <c r="K288">
        <v>9.5569108948139547</v>
      </c>
      <c r="L288">
        <v>9.5476108797349131</v>
      </c>
      <c r="M288">
        <v>9.5349653519126694</v>
      </c>
      <c r="N288">
        <v>9.5196894549821938</v>
      </c>
      <c r="P288">
        <f t="shared" si="65"/>
        <v>218375.54343625682</v>
      </c>
      <c r="Q288">
        <f t="shared" si="66"/>
        <v>218190.55090626038</v>
      </c>
      <c r="R288">
        <f t="shared" si="67"/>
        <v>217034.95424441865</v>
      </c>
      <c r="S288">
        <f t="shared" si="68"/>
        <v>216616.84319204738</v>
      </c>
      <c r="T288">
        <f t="shared" si="69"/>
        <v>215800.30215738009</v>
      </c>
      <c r="U288">
        <f t="shared" si="70"/>
        <v>214421.60324946578</v>
      </c>
      <c r="V288">
        <f t="shared" si="77"/>
        <v>1</v>
      </c>
      <c r="W288">
        <f t="shared" si="78"/>
        <v>0</v>
      </c>
      <c r="X288">
        <f t="shared" si="79"/>
        <v>0</v>
      </c>
      <c r="Y288">
        <f t="shared" si="80"/>
        <v>0</v>
      </c>
      <c r="Z288">
        <f t="shared" si="81"/>
        <v>0</v>
      </c>
      <c r="AA288">
        <f t="shared" si="82"/>
        <v>0</v>
      </c>
      <c r="AC288">
        <f t="shared" si="71"/>
        <v>218375.54343625682</v>
      </c>
      <c r="AD288">
        <f t="shared" si="72"/>
        <v>218190.55090626038</v>
      </c>
      <c r="AE288">
        <f t="shared" si="73"/>
        <v>217034.95424441865</v>
      </c>
      <c r="AF288">
        <f t="shared" si="74"/>
        <v>216616.84319204738</v>
      </c>
      <c r="AG288">
        <f t="shared" si="75"/>
        <v>215800.30215738009</v>
      </c>
      <c r="AH288">
        <f t="shared" si="76"/>
        <v>214421.60324946578</v>
      </c>
      <c r="AI288">
        <f t="shared" si="83"/>
        <v>218375.54343625682</v>
      </c>
    </row>
    <row r="289" spans="2:35" x14ac:dyDescent="0.3">
      <c r="B289">
        <v>246</v>
      </c>
      <c r="C289">
        <v>79038.014200000005</v>
      </c>
      <c r="D289">
        <v>79222.259699999995</v>
      </c>
      <c r="E289">
        <v>79815.856899999999</v>
      </c>
      <c r="F289">
        <v>79837.529800000004</v>
      </c>
      <c r="G289">
        <v>81187.5628</v>
      </c>
      <c r="H289">
        <v>82065.782800000001</v>
      </c>
      <c r="I289">
        <v>10.9205346428929</v>
      </c>
      <c r="J289">
        <v>10.899667446892412</v>
      </c>
      <c r="K289">
        <v>10.893114060054263</v>
      </c>
      <c r="L289">
        <v>10.887893920348432</v>
      </c>
      <c r="M289">
        <v>10.87095714728035</v>
      </c>
      <c r="N289">
        <v>10.8547520601456</v>
      </c>
      <c r="P289">
        <f t="shared" si="65"/>
        <v>248578.02508678698</v>
      </c>
      <c r="Q289">
        <f t="shared" si="66"/>
        <v>247767.76370677236</v>
      </c>
      <c r="R289">
        <f t="shared" si="67"/>
        <v>246977.56490162789</v>
      </c>
      <c r="S289">
        <f t="shared" si="68"/>
        <v>246799.28781045292</v>
      </c>
      <c r="T289">
        <f t="shared" si="69"/>
        <v>244941.15161841048</v>
      </c>
      <c r="U289">
        <f t="shared" si="70"/>
        <v>243576.779004368</v>
      </c>
      <c r="V289">
        <f t="shared" si="77"/>
        <v>1</v>
      </c>
      <c r="W289">
        <f t="shared" si="78"/>
        <v>0</v>
      </c>
      <c r="X289">
        <f t="shared" si="79"/>
        <v>0</v>
      </c>
      <c r="Y289">
        <f t="shared" si="80"/>
        <v>0</v>
      </c>
      <c r="Z289">
        <f t="shared" si="81"/>
        <v>0</v>
      </c>
      <c r="AA289">
        <f t="shared" si="82"/>
        <v>0</v>
      </c>
      <c r="AC289">
        <f t="shared" si="71"/>
        <v>248578.02508678698</v>
      </c>
      <c r="AD289">
        <f t="shared" si="72"/>
        <v>247767.76370677236</v>
      </c>
      <c r="AE289">
        <f t="shared" si="73"/>
        <v>246977.56490162789</v>
      </c>
      <c r="AF289">
        <f t="shared" si="74"/>
        <v>246799.28781045292</v>
      </c>
      <c r="AG289">
        <f t="shared" si="75"/>
        <v>244941.15161841048</v>
      </c>
      <c r="AH289">
        <f t="shared" si="76"/>
        <v>243576.779004368</v>
      </c>
      <c r="AI289">
        <f t="shared" si="83"/>
        <v>248578.02508678698</v>
      </c>
    </row>
    <row r="290" spans="2:35" x14ac:dyDescent="0.3">
      <c r="B290">
        <v>247</v>
      </c>
      <c r="C290">
        <v>77993.581200000001</v>
      </c>
      <c r="D290">
        <v>77947.353400000007</v>
      </c>
      <c r="E290">
        <v>78717.721999999994</v>
      </c>
      <c r="F290">
        <v>78898.278200000001</v>
      </c>
      <c r="G290">
        <v>79698.7111</v>
      </c>
      <c r="H290">
        <v>80248.283599999995</v>
      </c>
      <c r="I290">
        <v>9.5243568872181452</v>
      </c>
      <c r="J290">
        <v>9.5035629639327528</v>
      </c>
      <c r="K290">
        <v>9.4911150412746341</v>
      </c>
      <c r="L290">
        <v>9.4815495058599435</v>
      </c>
      <c r="M290">
        <v>9.4772823575424887</v>
      </c>
      <c r="N290">
        <v>9.4536871394808539</v>
      </c>
      <c r="P290">
        <f t="shared" si="65"/>
        <v>207737.12541654432</v>
      </c>
      <c r="Q290">
        <f t="shared" si="66"/>
        <v>207159.53551798256</v>
      </c>
      <c r="R290">
        <f t="shared" si="67"/>
        <v>206015.729238239</v>
      </c>
      <c r="S290">
        <f t="shared" si="68"/>
        <v>205548.2069757983</v>
      </c>
      <c r="T290">
        <f t="shared" si="69"/>
        <v>204619.75962627464</v>
      </c>
      <c r="U290">
        <f t="shared" si="70"/>
        <v>203362.33058442562</v>
      </c>
      <c r="V290">
        <f t="shared" si="77"/>
        <v>1</v>
      </c>
      <c r="W290">
        <f t="shared" si="78"/>
        <v>0</v>
      </c>
      <c r="X290">
        <f t="shared" si="79"/>
        <v>0</v>
      </c>
      <c r="Y290">
        <f t="shared" si="80"/>
        <v>0</v>
      </c>
      <c r="Z290">
        <f t="shared" si="81"/>
        <v>0</v>
      </c>
      <c r="AA290">
        <f t="shared" si="82"/>
        <v>0</v>
      </c>
      <c r="AC290">
        <f t="shared" si="71"/>
        <v>207737.12541654432</v>
      </c>
      <c r="AD290">
        <f t="shared" si="72"/>
        <v>207159.53551798256</v>
      </c>
      <c r="AE290">
        <f t="shared" si="73"/>
        <v>206015.729238239</v>
      </c>
      <c r="AF290">
        <f t="shared" si="74"/>
        <v>205548.2069757983</v>
      </c>
      <c r="AG290">
        <f t="shared" si="75"/>
        <v>204619.75962627464</v>
      </c>
      <c r="AH290">
        <f t="shared" si="76"/>
        <v>203362.33058442562</v>
      </c>
      <c r="AI290">
        <f t="shared" si="83"/>
        <v>207737.12541654432</v>
      </c>
    </row>
    <row r="291" spans="2:35" x14ac:dyDescent="0.3">
      <c r="B291">
        <v>248</v>
      </c>
      <c r="C291">
        <v>80426.637300000002</v>
      </c>
      <c r="D291">
        <v>79600.723899999997</v>
      </c>
      <c r="E291">
        <v>79984.919299999994</v>
      </c>
      <c r="F291">
        <v>79760.489000000001</v>
      </c>
      <c r="G291">
        <v>80263.556299999997</v>
      </c>
      <c r="H291">
        <v>80560.516300000003</v>
      </c>
      <c r="I291">
        <v>9.6046131164822999</v>
      </c>
      <c r="J291">
        <v>9.5827941551449989</v>
      </c>
      <c r="K291">
        <v>9.5682078587069785</v>
      </c>
      <c r="L291">
        <v>9.559798677103208</v>
      </c>
      <c r="M291">
        <v>9.5478754491466287</v>
      </c>
      <c r="N291">
        <v>9.5336505809972376</v>
      </c>
      <c r="P291">
        <f t="shared" si="65"/>
        <v>207711.756194469</v>
      </c>
      <c r="Q291">
        <f t="shared" si="66"/>
        <v>207883.10075434996</v>
      </c>
      <c r="R291">
        <f t="shared" si="67"/>
        <v>207061.31646120932</v>
      </c>
      <c r="S291">
        <f t="shared" si="68"/>
        <v>207033.47131309623</v>
      </c>
      <c r="T291">
        <f t="shared" si="69"/>
        <v>206172.70717439888</v>
      </c>
      <c r="U291">
        <f t="shared" si="70"/>
        <v>205449.0011299171</v>
      </c>
      <c r="V291">
        <f t="shared" si="77"/>
        <v>0</v>
      </c>
      <c r="W291">
        <f t="shared" si="78"/>
        <v>1</v>
      </c>
      <c r="X291">
        <f t="shared" si="79"/>
        <v>0</v>
      </c>
      <c r="Y291">
        <f t="shared" si="80"/>
        <v>0</v>
      </c>
      <c r="Z291">
        <f t="shared" si="81"/>
        <v>0</v>
      </c>
      <c r="AA291">
        <f t="shared" si="82"/>
        <v>0</v>
      </c>
      <c r="AC291">
        <f t="shared" si="71"/>
        <v>207711.756194469</v>
      </c>
      <c r="AD291">
        <f t="shared" si="72"/>
        <v>207883.10075434996</v>
      </c>
      <c r="AE291">
        <f t="shared" si="73"/>
        <v>207061.31646120932</v>
      </c>
      <c r="AF291">
        <f t="shared" si="74"/>
        <v>207033.47131309623</v>
      </c>
      <c r="AG291">
        <f t="shared" si="75"/>
        <v>206172.70717439888</v>
      </c>
      <c r="AH291">
        <f t="shared" si="76"/>
        <v>205449.0011299171</v>
      </c>
      <c r="AI291">
        <f t="shared" si="83"/>
        <v>207883.10075434996</v>
      </c>
    </row>
    <row r="292" spans="2:35" x14ac:dyDescent="0.3">
      <c r="B292">
        <v>249</v>
      </c>
      <c r="C292">
        <v>73405.965299999996</v>
      </c>
      <c r="D292">
        <v>72982.8649</v>
      </c>
      <c r="E292">
        <v>73410.686000000002</v>
      </c>
      <c r="F292">
        <v>73651.390799999994</v>
      </c>
      <c r="G292">
        <v>73960.852299999999</v>
      </c>
      <c r="H292">
        <v>74466.602799999993</v>
      </c>
      <c r="I292">
        <v>8.7472126643239818</v>
      </c>
      <c r="J292">
        <v>8.7174539891669731</v>
      </c>
      <c r="K292">
        <v>8.699302081995226</v>
      </c>
      <c r="L292">
        <v>8.6828475669545711</v>
      </c>
      <c r="M292">
        <v>8.6706736925947894</v>
      </c>
      <c r="N292">
        <v>8.6457924042703169</v>
      </c>
      <c r="P292">
        <f t="shared" si="65"/>
        <v>189010.41462971945</v>
      </c>
      <c r="Q292">
        <f t="shared" si="66"/>
        <v>188540.75477500918</v>
      </c>
      <c r="R292">
        <f t="shared" si="67"/>
        <v>187568.37645985675</v>
      </c>
      <c r="S292">
        <f t="shared" si="68"/>
        <v>186834.03620863715</v>
      </c>
      <c r="T292">
        <f t="shared" si="69"/>
        <v>186159.35847784369</v>
      </c>
      <c r="U292">
        <f t="shared" si="70"/>
        <v>184907.16932810951</v>
      </c>
      <c r="V292">
        <f t="shared" si="77"/>
        <v>1</v>
      </c>
      <c r="W292">
        <f t="shared" si="78"/>
        <v>0</v>
      </c>
      <c r="X292">
        <f t="shared" si="79"/>
        <v>0</v>
      </c>
      <c r="Y292">
        <f t="shared" si="80"/>
        <v>0</v>
      </c>
      <c r="Z292">
        <f t="shared" si="81"/>
        <v>0</v>
      </c>
      <c r="AA292">
        <f t="shared" si="82"/>
        <v>0</v>
      </c>
      <c r="AC292">
        <f t="shared" si="71"/>
        <v>189010.41462971945</v>
      </c>
      <c r="AD292">
        <f t="shared" si="72"/>
        <v>188540.75477500918</v>
      </c>
      <c r="AE292">
        <f t="shared" si="73"/>
        <v>187568.37645985675</v>
      </c>
      <c r="AF292">
        <f t="shared" si="74"/>
        <v>186834.03620863715</v>
      </c>
      <c r="AG292">
        <f t="shared" si="75"/>
        <v>186159.35847784369</v>
      </c>
      <c r="AH292">
        <f t="shared" si="76"/>
        <v>184907.16932810951</v>
      </c>
      <c r="AI292">
        <f t="shared" si="83"/>
        <v>189010.41462971945</v>
      </c>
    </row>
    <row r="293" spans="2:35" x14ac:dyDescent="0.3">
      <c r="B293">
        <v>250</v>
      </c>
      <c r="C293">
        <v>74963.752399999998</v>
      </c>
      <c r="D293">
        <v>74133.057199999996</v>
      </c>
      <c r="E293">
        <v>74382.203699999998</v>
      </c>
      <c r="F293">
        <v>74276.636199999994</v>
      </c>
      <c r="G293">
        <v>74731.145099999994</v>
      </c>
      <c r="H293">
        <v>75171.537599999996</v>
      </c>
      <c r="I293">
        <v>9.0254452750904566</v>
      </c>
      <c r="J293">
        <v>8.9984010974701985</v>
      </c>
      <c r="K293">
        <v>8.9819332178144897</v>
      </c>
      <c r="L293">
        <v>8.9722897084165254</v>
      </c>
      <c r="M293">
        <v>8.9594080221212131</v>
      </c>
      <c r="N293">
        <v>8.9402428433044445</v>
      </c>
      <c r="P293">
        <f t="shared" si="65"/>
        <v>195799.60585271369</v>
      </c>
      <c r="Q293">
        <f t="shared" si="66"/>
        <v>195818.97572410596</v>
      </c>
      <c r="R293">
        <f t="shared" si="67"/>
        <v>195075.79283443466</v>
      </c>
      <c r="S293">
        <f t="shared" si="68"/>
        <v>194892.05505249574</v>
      </c>
      <c r="T293">
        <f t="shared" si="69"/>
        <v>194051.09556363642</v>
      </c>
      <c r="U293">
        <f t="shared" si="70"/>
        <v>193035.74769913335</v>
      </c>
      <c r="V293">
        <f t="shared" si="77"/>
        <v>0</v>
      </c>
      <c r="W293">
        <f t="shared" si="78"/>
        <v>1</v>
      </c>
      <c r="X293">
        <f t="shared" si="79"/>
        <v>0</v>
      </c>
      <c r="Y293">
        <f t="shared" si="80"/>
        <v>0</v>
      </c>
      <c r="Z293">
        <f t="shared" si="81"/>
        <v>0</v>
      </c>
      <c r="AA293">
        <f t="shared" si="82"/>
        <v>0</v>
      </c>
      <c r="AC293">
        <f t="shared" si="71"/>
        <v>195799.60585271369</v>
      </c>
      <c r="AD293">
        <f t="shared" si="72"/>
        <v>195818.97572410596</v>
      </c>
      <c r="AE293">
        <f t="shared" si="73"/>
        <v>195075.79283443466</v>
      </c>
      <c r="AF293">
        <f t="shared" si="74"/>
        <v>194892.05505249574</v>
      </c>
      <c r="AG293">
        <f t="shared" si="75"/>
        <v>194051.09556363642</v>
      </c>
      <c r="AH293">
        <f t="shared" si="76"/>
        <v>193035.74769913335</v>
      </c>
      <c r="AI293">
        <f t="shared" si="83"/>
        <v>195818.97572410596</v>
      </c>
    </row>
    <row r="294" spans="2:35" x14ac:dyDescent="0.3">
      <c r="B294">
        <v>251</v>
      </c>
      <c r="C294">
        <v>82632.829100000003</v>
      </c>
      <c r="D294">
        <v>82430.359200000006</v>
      </c>
      <c r="E294">
        <v>83710.293799999999</v>
      </c>
      <c r="F294">
        <v>83980.259300000005</v>
      </c>
      <c r="G294">
        <v>84767.922900000005</v>
      </c>
      <c r="H294">
        <v>85628.766300000003</v>
      </c>
      <c r="I294">
        <v>11.481404814699555</v>
      </c>
      <c r="J294">
        <v>11.463266442442736</v>
      </c>
      <c r="K294">
        <v>11.44372014696277</v>
      </c>
      <c r="L294">
        <v>11.435746164609416</v>
      </c>
      <c r="M294">
        <v>11.421285357515968</v>
      </c>
      <c r="N294">
        <v>11.406983743630967</v>
      </c>
      <c r="P294">
        <f t="shared" si="65"/>
        <v>261809.31534098668</v>
      </c>
      <c r="Q294">
        <f t="shared" si="66"/>
        <v>261467.63407328207</v>
      </c>
      <c r="R294">
        <f t="shared" si="67"/>
        <v>259601.3106088831</v>
      </c>
      <c r="S294">
        <f t="shared" si="68"/>
        <v>259092.12563828248</v>
      </c>
      <c r="T294">
        <f t="shared" si="69"/>
        <v>257870.63782547903</v>
      </c>
      <c r="U294">
        <f t="shared" si="70"/>
        <v>256580.74600892898</v>
      </c>
      <c r="V294">
        <f t="shared" si="77"/>
        <v>1</v>
      </c>
      <c r="W294">
        <f t="shared" si="78"/>
        <v>0</v>
      </c>
      <c r="X294">
        <f t="shared" si="79"/>
        <v>0</v>
      </c>
      <c r="Y294">
        <f t="shared" si="80"/>
        <v>0</v>
      </c>
      <c r="Z294">
        <f t="shared" si="81"/>
        <v>0</v>
      </c>
      <c r="AA294">
        <f t="shared" si="82"/>
        <v>0</v>
      </c>
      <c r="AC294">
        <f t="shared" si="71"/>
        <v>261809.31534098668</v>
      </c>
      <c r="AD294">
        <f t="shared" si="72"/>
        <v>261467.63407328207</v>
      </c>
      <c r="AE294">
        <f t="shared" si="73"/>
        <v>259601.3106088831</v>
      </c>
      <c r="AF294">
        <f t="shared" si="74"/>
        <v>259092.12563828248</v>
      </c>
      <c r="AG294">
        <f t="shared" si="75"/>
        <v>257870.63782547903</v>
      </c>
      <c r="AH294">
        <f t="shared" si="76"/>
        <v>256580.74600892898</v>
      </c>
      <c r="AI294">
        <f t="shared" si="83"/>
        <v>261809.31534098668</v>
      </c>
    </row>
    <row r="295" spans="2:35" x14ac:dyDescent="0.3">
      <c r="B295">
        <v>252</v>
      </c>
      <c r="C295">
        <v>73001.443599999999</v>
      </c>
      <c r="D295">
        <v>72181.596799999999</v>
      </c>
      <c r="E295">
        <v>72593.005799999999</v>
      </c>
      <c r="F295">
        <v>72419.245899999994</v>
      </c>
      <c r="G295">
        <v>72683.196100000001</v>
      </c>
      <c r="H295">
        <v>73313.263600000006</v>
      </c>
      <c r="I295">
        <v>10.171484761945612</v>
      </c>
      <c r="J295">
        <v>10.128721218176382</v>
      </c>
      <c r="K295">
        <v>10.096849320165687</v>
      </c>
      <c r="L295">
        <v>10.093314819998007</v>
      </c>
      <c r="M295">
        <v>10.058092523594086</v>
      </c>
      <c r="N295">
        <v>10.018761874168021</v>
      </c>
      <c r="P295">
        <f t="shared" si="65"/>
        <v>232143.09925836837</v>
      </c>
      <c r="Q295">
        <f t="shared" si="66"/>
        <v>231680.03974529146</v>
      </c>
      <c r="R295">
        <f t="shared" si="67"/>
        <v>230312.47380497062</v>
      </c>
      <c r="S295">
        <f t="shared" si="68"/>
        <v>230380.19869994023</v>
      </c>
      <c r="T295">
        <f t="shared" si="69"/>
        <v>229059.57960782258</v>
      </c>
      <c r="U295">
        <f t="shared" si="70"/>
        <v>227249.59262504062</v>
      </c>
      <c r="V295">
        <f t="shared" si="77"/>
        <v>1</v>
      </c>
      <c r="W295">
        <f t="shared" si="78"/>
        <v>0</v>
      </c>
      <c r="X295">
        <f t="shared" si="79"/>
        <v>0</v>
      </c>
      <c r="Y295">
        <f t="shared" si="80"/>
        <v>0</v>
      </c>
      <c r="Z295">
        <f t="shared" si="81"/>
        <v>0</v>
      </c>
      <c r="AA295">
        <f t="shared" si="82"/>
        <v>0</v>
      </c>
      <c r="AC295">
        <f t="shared" si="71"/>
        <v>232143.09925836837</v>
      </c>
      <c r="AD295">
        <f t="shared" si="72"/>
        <v>231680.03974529146</v>
      </c>
      <c r="AE295">
        <f t="shared" si="73"/>
        <v>230312.47380497062</v>
      </c>
      <c r="AF295">
        <f t="shared" si="74"/>
        <v>230380.19869994023</v>
      </c>
      <c r="AG295">
        <f t="shared" si="75"/>
        <v>229059.57960782258</v>
      </c>
      <c r="AH295">
        <f t="shared" si="76"/>
        <v>227249.59262504062</v>
      </c>
      <c r="AI295">
        <f t="shared" si="83"/>
        <v>232143.09925836837</v>
      </c>
    </row>
    <row r="296" spans="2:35" x14ac:dyDescent="0.3">
      <c r="B296">
        <v>253</v>
      </c>
      <c r="C296">
        <v>74254.284299999999</v>
      </c>
      <c r="D296">
        <v>73044.328999999998</v>
      </c>
      <c r="E296">
        <v>72979.575200000007</v>
      </c>
      <c r="F296">
        <v>73049.129400000005</v>
      </c>
      <c r="G296">
        <v>72847.242700000003</v>
      </c>
      <c r="H296">
        <v>72974.609200000006</v>
      </c>
      <c r="I296">
        <v>9.7154412479163277</v>
      </c>
      <c r="J296">
        <v>9.6916016135593814</v>
      </c>
      <c r="K296">
        <v>9.6748265475772524</v>
      </c>
      <c r="L296">
        <v>9.6702356965802547</v>
      </c>
      <c r="M296">
        <v>9.6495806184119566</v>
      </c>
      <c r="N296">
        <v>9.6314908089797822</v>
      </c>
      <c r="P296">
        <f t="shared" si="65"/>
        <v>217208.95313748985</v>
      </c>
      <c r="Q296">
        <f t="shared" si="66"/>
        <v>217703.71940678146</v>
      </c>
      <c r="R296">
        <f t="shared" si="67"/>
        <v>217265.22122731752</v>
      </c>
      <c r="S296">
        <f t="shared" si="68"/>
        <v>217057.94149740765</v>
      </c>
      <c r="T296">
        <f t="shared" si="69"/>
        <v>216640.17585235869</v>
      </c>
      <c r="U296">
        <f t="shared" si="70"/>
        <v>215970.11506939348</v>
      </c>
      <c r="V296">
        <f t="shared" si="77"/>
        <v>0</v>
      </c>
      <c r="W296">
        <f t="shared" si="78"/>
        <v>1</v>
      </c>
      <c r="X296">
        <f t="shared" si="79"/>
        <v>0</v>
      </c>
      <c r="Y296">
        <f t="shared" si="80"/>
        <v>0</v>
      </c>
      <c r="Z296">
        <f t="shared" si="81"/>
        <v>0</v>
      </c>
      <c r="AA296">
        <f t="shared" si="82"/>
        <v>0</v>
      </c>
      <c r="AC296">
        <f t="shared" si="71"/>
        <v>217208.95313748985</v>
      </c>
      <c r="AD296">
        <f t="shared" si="72"/>
        <v>217703.71940678146</v>
      </c>
      <c r="AE296">
        <f t="shared" si="73"/>
        <v>217265.22122731752</v>
      </c>
      <c r="AF296">
        <f t="shared" si="74"/>
        <v>217057.94149740765</v>
      </c>
      <c r="AG296">
        <f t="shared" si="75"/>
        <v>216640.17585235869</v>
      </c>
      <c r="AH296">
        <f t="shared" si="76"/>
        <v>215970.11506939348</v>
      </c>
      <c r="AI296">
        <f t="shared" si="83"/>
        <v>217703.71940678146</v>
      </c>
    </row>
    <row r="297" spans="2:35" x14ac:dyDescent="0.3">
      <c r="B297">
        <v>254</v>
      </c>
      <c r="C297">
        <v>72442.153600000005</v>
      </c>
      <c r="D297">
        <v>72598.522400000002</v>
      </c>
      <c r="E297">
        <v>73233.683499999999</v>
      </c>
      <c r="F297">
        <v>73358.241299999994</v>
      </c>
      <c r="G297">
        <v>74525.309500000003</v>
      </c>
      <c r="H297">
        <v>75134.598400000003</v>
      </c>
      <c r="I297">
        <v>9.9939903603714839</v>
      </c>
      <c r="J297">
        <v>9.9682286226723509</v>
      </c>
      <c r="K297">
        <v>9.9518052027954162</v>
      </c>
      <c r="L297">
        <v>9.9467407503250538</v>
      </c>
      <c r="M297">
        <v>9.9267325243236773</v>
      </c>
      <c r="N297">
        <v>9.9047034929090305</v>
      </c>
      <c r="P297">
        <f t="shared" si="65"/>
        <v>227377.55721114448</v>
      </c>
      <c r="Q297">
        <f t="shared" si="66"/>
        <v>226448.33628017054</v>
      </c>
      <c r="R297">
        <f t="shared" si="67"/>
        <v>225320.47258386249</v>
      </c>
      <c r="S297">
        <f t="shared" si="68"/>
        <v>225043.98120975163</v>
      </c>
      <c r="T297">
        <f t="shared" si="69"/>
        <v>223276.6662297103</v>
      </c>
      <c r="U297">
        <f t="shared" si="70"/>
        <v>222006.50638727087</v>
      </c>
      <c r="V297">
        <f t="shared" si="77"/>
        <v>1</v>
      </c>
      <c r="W297">
        <f t="shared" si="78"/>
        <v>0</v>
      </c>
      <c r="X297">
        <f t="shared" si="79"/>
        <v>0</v>
      </c>
      <c r="Y297">
        <f t="shared" si="80"/>
        <v>0</v>
      </c>
      <c r="Z297">
        <f t="shared" si="81"/>
        <v>0</v>
      </c>
      <c r="AA297">
        <f t="shared" si="82"/>
        <v>0</v>
      </c>
      <c r="AC297">
        <f t="shared" si="71"/>
        <v>227377.55721114448</v>
      </c>
      <c r="AD297">
        <f t="shared" si="72"/>
        <v>226448.33628017054</v>
      </c>
      <c r="AE297">
        <f t="shared" si="73"/>
        <v>225320.47258386249</v>
      </c>
      <c r="AF297">
        <f t="shared" si="74"/>
        <v>225043.98120975163</v>
      </c>
      <c r="AG297">
        <f t="shared" si="75"/>
        <v>223276.6662297103</v>
      </c>
      <c r="AH297">
        <f t="shared" si="76"/>
        <v>222006.50638727087</v>
      </c>
      <c r="AI297">
        <f t="shared" si="83"/>
        <v>227377.55721114448</v>
      </c>
    </row>
    <row r="298" spans="2:35" x14ac:dyDescent="0.3">
      <c r="B298">
        <v>255</v>
      </c>
      <c r="C298">
        <v>94006.507700000002</v>
      </c>
      <c r="D298">
        <v>92665.097999999998</v>
      </c>
      <c r="E298">
        <v>92744.121199999994</v>
      </c>
      <c r="F298">
        <v>92604.684599999993</v>
      </c>
      <c r="G298">
        <v>92639.363500000007</v>
      </c>
      <c r="H298">
        <v>92505.657600000006</v>
      </c>
      <c r="I298">
        <v>9.7336276177732817</v>
      </c>
      <c r="J298">
        <v>9.7198018893553577</v>
      </c>
      <c r="K298">
        <v>9.7147330361247732</v>
      </c>
      <c r="L298">
        <v>9.7093377404982082</v>
      </c>
      <c r="M298">
        <v>9.704349320363912</v>
      </c>
      <c r="N298">
        <v>9.691548497538367</v>
      </c>
      <c r="P298">
        <f t="shared" si="65"/>
        <v>198002.32083319844</v>
      </c>
      <c r="Q298">
        <f t="shared" si="66"/>
        <v>198928.95868066075</v>
      </c>
      <c r="R298">
        <f t="shared" si="67"/>
        <v>198697.86988374323</v>
      </c>
      <c r="S298">
        <f t="shared" si="68"/>
        <v>198675.44761494629</v>
      </c>
      <c r="T298">
        <f t="shared" si="69"/>
        <v>198491.11611091733</v>
      </c>
      <c r="U298">
        <f t="shared" si="70"/>
        <v>198240.79732615102</v>
      </c>
      <c r="V298">
        <f t="shared" si="77"/>
        <v>0</v>
      </c>
      <c r="W298">
        <f t="shared" si="78"/>
        <v>1</v>
      </c>
      <c r="X298">
        <f t="shared" si="79"/>
        <v>0</v>
      </c>
      <c r="Y298">
        <f t="shared" si="80"/>
        <v>0</v>
      </c>
      <c r="Z298">
        <f t="shared" si="81"/>
        <v>0</v>
      </c>
      <c r="AA298">
        <f t="shared" si="82"/>
        <v>0</v>
      </c>
      <c r="AC298">
        <f t="shared" si="71"/>
        <v>198002.32083319844</v>
      </c>
      <c r="AD298">
        <f t="shared" si="72"/>
        <v>198928.95868066075</v>
      </c>
      <c r="AE298">
        <f t="shared" si="73"/>
        <v>198697.86988374323</v>
      </c>
      <c r="AF298">
        <f t="shared" si="74"/>
        <v>198675.44761494629</v>
      </c>
      <c r="AG298">
        <f t="shared" si="75"/>
        <v>198491.11611091733</v>
      </c>
      <c r="AH298">
        <f t="shared" si="76"/>
        <v>198240.79732615102</v>
      </c>
      <c r="AI298">
        <f t="shared" si="83"/>
        <v>198928.95868066075</v>
      </c>
    </row>
    <row r="299" spans="2:35" x14ac:dyDescent="0.3">
      <c r="B299">
        <v>256</v>
      </c>
      <c r="C299">
        <v>79357.006399999998</v>
      </c>
      <c r="D299">
        <v>78786.1486</v>
      </c>
      <c r="E299">
        <v>79342.575899999996</v>
      </c>
      <c r="F299">
        <v>78989.710600000006</v>
      </c>
      <c r="G299">
        <v>79692.309800000003</v>
      </c>
      <c r="H299">
        <v>80404.736300000004</v>
      </c>
      <c r="I299">
        <v>10.667177776294061</v>
      </c>
      <c r="J299">
        <v>10.641862439916709</v>
      </c>
      <c r="K299">
        <v>10.624873023172817</v>
      </c>
      <c r="L299">
        <v>10.618263096720764</v>
      </c>
      <c r="M299">
        <v>10.596557806448795</v>
      </c>
      <c r="N299">
        <v>10.567913193644628</v>
      </c>
      <c r="P299">
        <f t="shared" si="65"/>
        <v>240658.32688882179</v>
      </c>
      <c r="Q299">
        <f t="shared" si="66"/>
        <v>240469.72459750128</v>
      </c>
      <c r="R299">
        <f t="shared" si="67"/>
        <v>239403.61479518452</v>
      </c>
      <c r="S299">
        <f t="shared" si="68"/>
        <v>239558.18230162293</v>
      </c>
      <c r="T299">
        <f t="shared" si="69"/>
        <v>238204.42439346388</v>
      </c>
      <c r="U299">
        <f t="shared" si="70"/>
        <v>236632.65950933885</v>
      </c>
      <c r="V299">
        <f t="shared" si="77"/>
        <v>1</v>
      </c>
      <c r="W299">
        <f t="shared" si="78"/>
        <v>0</v>
      </c>
      <c r="X299">
        <f t="shared" si="79"/>
        <v>0</v>
      </c>
      <c r="Y299">
        <f t="shared" si="80"/>
        <v>0</v>
      </c>
      <c r="Z299">
        <f t="shared" si="81"/>
        <v>0</v>
      </c>
      <c r="AA299">
        <f t="shared" si="82"/>
        <v>0</v>
      </c>
      <c r="AC299">
        <f t="shared" si="71"/>
        <v>240658.32688882179</v>
      </c>
      <c r="AD299">
        <f t="shared" si="72"/>
        <v>240469.72459750128</v>
      </c>
      <c r="AE299">
        <f t="shared" si="73"/>
        <v>239403.61479518452</v>
      </c>
      <c r="AF299">
        <f t="shared" si="74"/>
        <v>239558.18230162293</v>
      </c>
      <c r="AG299">
        <f t="shared" si="75"/>
        <v>238204.42439346388</v>
      </c>
      <c r="AH299">
        <f t="shared" si="76"/>
        <v>236632.65950933885</v>
      </c>
      <c r="AI299">
        <f t="shared" si="83"/>
        <v>240658.32688882179</v>
      </c>
    </row>
    <row r="300" spans="2:35" x14ac:dyDescent="0.3">
      <c r="B300">
        <v>257</v>
      </c>
      <c r="C300">
        <v>80447.868600000002</v>
      </c>
      <c r="D300">
        <v>80532.466199999995</v>
      </c>
      <c r="E300">
        <v>81561.585900000005</v>
      </c>
      <c r="F300">
        <v>81449.141300000003</v>
      </c>
      <c r="G300">
        <v>82766.919200000004</v>
      </c>
      <c r="H300">
        <v>83602.164399999994</v>
      </c>
      <c r="I300">
        <v>11.506393529893142</v>
      </c>
      <c r="J300">
        <v>11.446302839214123</v>
      </c>
      <c r="K300">
        <v>11.400289900436485</v>
      </c>
      <c r="L300">
        <v>11.389722902089089</v>
      </c>
      <c r="M300">
        <v>11.333315665378382</v>
      </c>
      <c r="N300">
        <v>11.302661870946819</v>
      </c>
      <c r="P300">
        <f t="shared" ref="P300:P363" si="84">Threshold*I300-C300</f>
        <v>264743.93729679426</v>
      </c>
      <c r="Q300">
        <f t="shared" ref="Q300:Q363" si="85">Threshold*J300-D300</f>
        <v>262856.61897642375</v>
      </c>
      <c r="R300">
        <f t="shared" ref="R300:R363" si="86">Threshold*K300-E300</f>
        <v>260447.11111309455</v>
      </c>
      <c r="S300">
        <f t="shared" ref="S300:S363" si="87">Threshold*L300-F300</f>
        <v>260242.54576267267</v>
      </c>
      <c r="T300">
        <f t="shared" ref="T300:T363" si="88">Threshold*M300-G300</f>
        <v>257232.55076135148</v>
      </c>
      <c r="U300">
        <f t="shared" ref="U300:U363" si="89">Threshold*N300-H300</f>
        <v>255477.69172840455</v>
      </c>
      <c r="V300">
        <f t="shared" si="77"/>
        <v>1</v>
      </c>
      <c r="W300">
        <f t="shared" si="78"/>
        <v>0</v>
      </c>
      <c r="X300">
        <f t="shared" si="79"/>
        <v>0</v>
      </c>
      <c r="Y300">
        <f t="shared" si="80"/>
        <v>0</v>
      </c>
      <c r="Z300">
        <f t="shared" si="81"/>
        <v>0</v>
      </c>
      <c r="AA300">
        <f t="shared" si="82"/>
        <v>0</v>
      </c>
      <c r="AC300">
        <f t="shared" ref="AC300:AC363" si="90">Threshold*I300-C300</f>
        <v>264743.93729679426</v>
      </c>
      <c r="AD300">
        <f t="shared" ref="AD300:AD363" si="91">Threshold*J300-D300</f>
        <v>262856.61897642375</v>
      </c>
      <c r="AE300">
        <f t="shared" ref="AE300:AE363" si="92">Threshold*K300-E300</f>
        <v>260447.11111309455</v>
      </c>
      <c r="AF300">
        <f t="shared" ref="AF300:AF363" si="93">Threshold*L300-F300</f>
        <v>260242.54576267267</v>
      </c>
      <c r="AG300">
        <f t="shared" ref="AG300:AG363" si="94">Threshold*M300-G300</f>
        <v>257232.55076135148</v>
      </c>
      <c r="AH300">
        <f t="shared" ref="AH300:AH363" si="95">Threshold*N300-H300</f>
        <v>255477.69172840455</v>
      </c>
      <c r="AI300">
        <f t="shared" si="83"/>
        <v>264743.93729679426</v>
      </c>
    </row>
    <row r="301" spans="2:35" x14ac:dyDescent="0.3">
      <c r="B301">
        <v>258</v>
      </c>
      <c r="C301">
        <v>68791.272400000002</v>
      </c>
      <c r="D301">
        <v>67205.344700000001</v>
      </c>
      <c r="E301">
        <v>67070.923899999994</v>
      </c>
      <c r="F301">
        <v>66654.315300000002</v>
      </c>
      <c r="G301">
        <v>66434.082299999995</v>
      </c>
      <c r="H301">
        <v>66278.070200000002</v>
      </c>
      <c r="I301">
        <v>9.357115472109907</v>
      </c>
      <c r="J301">
        <v>9.3290009174681821</v>
      </c>
      <c r="K301">
        <v>9.3143369027783844</v>
      </c>
      <c r="L301">
        <v>9.297527045743804</v>
      </c>
      <c r="M301">
        <v>9.2802780529428688</v>
      </c>
      <c r="N301">
        <v>9.2577626914379625</v>
      </c>
      <c r="P301">
        <f t="shared" si="84"/>
        <v>211922.19176329719</v>
      </c>
      <c r="Q301">
        <f t="shared" si="85"/>
        <v>212664.68282404542</v>
      </c>
      <c r="R301">
        <f t="shared" si="86"/>
        <v>212359.18318335153</v>
      </c>
      <c r="S301">
        <f t="shared" si="87"/>
        <v>212271.4960723141</v>
      </c>
      <c r="T301">
        <f t="shared" si="88"/>
        <v>211974.25928828603</v>
      </c>
      <c r="U301">
        <f t="shared" si="89"/>
        <v>211454.81054313888</v>
      </c>
      <c r="V301">
        <f t="shared" ref="V301:V364" si="96">IF(MAX(P301:U301)=P301, 1, 0)</f>
        <v>0</v>
      </c>
      <c r="W301">
        <f t="shared" ref="W301:W364" si="97">IF(MAX(P301:U301)=Q301, 1, 0)</f>
        <v>1</v>
      </c>
      <c r="X301">
        <f t="shared" ref="X301:X364" si="98">IF(MAX(P301:U301)=R301, 1, 0)</f>
        <v>0</v>
      </c>
      <c r="Y301">
        <f t="shared" ref="Y301:Y364" si="99">IF(MAX(P301:U301)=S301, 1, 0)</f>
        <v>0</v>
      </c>
      <c r="Z301">
        <f t="shared" ref="Z301:Z364" si="100">IF(MAX(P301:U301)=T301, 1, 0)</f>
        <v>0</v>
      </c>
      <c r="AA301">
        <f t="shared" ref="AA301:AA364" si="101">IF(MAX(P301:U301)=U301, 1, 0)</f>
        <v>0</v>
      </c>
      <c r="AC301">
        <f t="shared" si="90"/>
        <v>211922.19176329719</v>
      </c>
      <c r="AD301">
        <f t="shared" si="91"/>
        <v>212664.68282404542</v>
      </c>
      <c r="AE301">
        <f t="shared" si="92"/>
        <v>212359.18318335153</v>
      </c>
      <c r="AF301">
        <f t="shared" si="93"/>
        <v>212271.4960723141</v>
      </c>
      <c r="AG301">
        <f t="shared" si="94"/>
        <v>211974.25928828603</v>
      </c>
      <c r="AH301">
        <f t="shared" si="95"/>
        <v>211454.81054313888</v>
      </c>
      <c r="AI301">
        <f t="shared" ref="AI301:AI364" si="102">MAX(AC301:AH301)</f>
        <v>212664.68282404542</v>
      </c>
    </row>
    <row r="302" spans="2:35" x14ac:dyDescent="0.3">
      <c r="B302">
        <v>259</v>
      </c>
      <c r="C302">
        <v>72303.295100000003</v>
      </c>
      <c r="D302">
        <v>71472.048899999994</v>
      </c>
      <c r="E302">
        <v>71696.078399999999</v>
      </c>
      <c r="F302">
        <v>71683.731</v>
      </c>
      <c r="G302">
        <v>71795.948999999993</v>
      </c>
      <c r="H302">
        <v>72202.540500000003</v>
      </c>
      <c r="I302">
        <v>10.111732189107606</v>
      </c>
      <c r="J302">
        <v>10.085739417595176</v>
      </c>
      <c r="K302">
        <v>10.064604900632128</v>
      </c>
      <c r="L302">
        <v>10.053781128037636</v>
      </c>
      <c r="M302">
        <v>10.035892874460771</v>
      </c>
      <c r="N302">
        <v>10.015110876653548</v>
      </c>
      <c r="P302">
        <f t="shared" si="84"/>
        <v>231048.67057322821</v>
      </c>
      <c r="Q302">
        <f t="shared" si="85"/>
        <v>231100.13362785528</v>
      </c>
      <c r="R302">
        <f t="shared" si="86"/>
        <v>230242.06861896382</v>
      </c>
      <c r="S302">
        <f t="shared" si="87"/>
        <v>229929.70284112907</v>
      </c>
      <c r="T302">
        <f t="shared" si="88"/>
        <v>229280.83723382311</v>
      </c>
      <c r="U302">
        <f t="shared" si="89"/>
        <v>228250.78579960641</v>
      </c>
      <c r="V302">
        <f t="shared" si="96"/>
        <v>0</v>
      </c>
      <c r="W302">
        <f t="shared" si="97"/>
        <v>1</v>
      </c>
      <c r="X302">
        <f t="shared" si="98"/>
        <v>0</v>
      </c>
      <c r="Y302">
        <f t="shared" si="99"/>
        <v>0</v>
      </c>
      <c r="Z302">
        <f t="shared" si="100"/>
        <v>0</v>
      </c>
      <c r="AA302">
        <f t="shared" si="101"/>
        <v>0</v>
      </c>
      <c r="AC302">
        <f t="shared" si="90"/>
        <v>231048.67057322821</v>
      </c>
      <c r="AD302">
        <f t="shared" si="91"/>
        <v>231100.13362785528</v>
      </c>
      <c r="AE302">
        <f t="shared" si="92"/>
        <v>230242.06861896382</v>
      </c>
      <c r="AF302">
        <f t="shared" si="93"/>
        <v>229929.70284112907</v>
      </c>
      <c r="AG302">
        <f t="shared" si="94"/>
        <v>229280.83723382311</v>
      </c>
      <c r="AH302">
        <f t="shared" si="95"/>
        <v>228250.78579960641</v>
      </c>
      <c r="AI302">
        <f t="shared" si="102"/>
        <v>231100.13362785528</v>
      </c>
    </row>
    <row r="303" spans="2:35" x14ac:dyDescent="0.3">
      <c r="B303">
        <v>260</v>
      </c>
      <c r="C303">
        <v>79458.696599999996</v>
      </c>
      <c r="D303">
        <v>77636.5726</v>
      </c>
      <c r="E303">
        <v>77470.949099999998</v>
      </c>
      <c r="F303">
        <v>77134.658500000005</v>
      </c>
      <c r="G303">
        <v>76917.580900000001</v>
      </c>
      <c r="H303">
        <v>76357.562999999995</v>
      </c>
      <c r="I303">
        <v>9.9474287152506573</v>
      </c>
      <c r="J303">
        <v>9.9228354755632697</v>
      </c>
      <c r="K303">
        <v>9.9094757252930883</v>
      </c>
      <c r="L303">
        <v>9.9017368361826446</v>
      </c>
      <c r="M303">
        <v>9.8921508183505207</v>
      </c>
      <c r="N303">
        <v>9.8657108864298895</v>
      </c>
      <c r="P303">
        <f t="shared" si="84"/>
        <v>218964.1648575197</v>
      </c>
      <c r="Q303">
        <f t="shared" si="85"/>
        <v>220048.49166689807</v>
      </c>
      <c r="R303">
        <f t="shared" si="86"/>
        <v>219813.32265879263</v>
      </c>
      <c r="S303">
        <f t="shared" si="87"/>
        <v>219917.44658547931</v>
      </c>
      <c r="T303">
        <f t="shared" si="88"/>
        <v>219846.94365051563</v>
      </c>
      <c r="U303">
        <f t="shared" si="89"/>
        <v>219613.76359289666</v>
      </c>
      <c r="V303">
        <f t="shared" si="96"/>
        <v>0</v>
      </c>
      <c r="W303">
        <f t="shared" si="97"/>
        <v>1</v>
      </c>
      <c r="X303">
        <f t="shared" si="98"/>
        <v>0</v>
      </c>
      <c r="Y303">
        <f t="shared" si="99"/>
        <v>0</v>
      </c>
      <c r="Z303">
        <f t="shared" si="100"/>
        <v>0</v>
      </c>
      <c r="AA303">
        <f t="shared" si="101"/>
        <v>0</v>
      </c>
      <c r="AC303">
        <f t="shared" si="90"/>
        <v>218964.1648575197</v>
      </c>
      <c r="AD303">
        <f t="shared" si="91"/>
        <v>220048.49166689807</v>
      </c>
      <c r="AE303">
        <f t="shared" si="92"/>
        <v>219813.32265879263</v>
      </c>
      <c r="AF303">
        <f t="shared" si="93"/>
        <v>219917.44658547931</v>
      </c>
      <c r="AG303">
        <f t="shared" si="94"/>
        <v>219846.94365051563</v>
      </c>
      <c r="AH303">
        <f t="shared" si="95"/>
        <v>219613.76359289666</v>
      </c>
      <c r="AI303">
        <f t="shared" si="102"/>
        <v>220048.49166689807</v>
      </c>
    </row>
    <row r="304" spans="2:35" x14ac:dyDescent="0.3">
      <c r="B304">
        <v>261</v>
      </c>
      <c r="C304">
        <v>88460.028000000006</v>
      </c>
      <c r="D304">
        <v>87662.005600000004</v>
      </c>
      <c r="E304">
        <v>87986.578500000003</v>
      </c>
      <c r="F304">
        <v>88024.154200000004</v>
      </c>
      <c r="G304">
        <v>88298.061400000006</v>
      </c>
      <c r="H304">
        <v>88823.38</v>
      </c>
      <c r="I304">
        <v>9.7504772868639247</v>
      </c>
      <c r="J304">
        <v>9.7278969152816597</v>
      </c>
      <c r="K304">
        <v>9.7095770305180817</v>
      </c>
      <c r="L304">
        <v>9.6937081470214714</v>
      </c>
      <c r="M304">
        <v>9.6764537235646166</v>
      </c>
      <c r="N304">
        <v>9.6543557957219441</v>
      </c>
      <c r="P304">
        <f t="shared" si="84"/>
        <v>204054.29060591775</v>
      </c>
      <c r="Q304">
        <f t="shared" si="85"/>
        <v>204174.90185844977</v>
      </c>
      <c r="R304">
        <f t="shared" si="86"/>
        <v>203300.73241554247</v>
      </c>
      <c r="S304">
        <f t="shared" si="87"/>
        <v>202787.09021064418</v>
      </c>
      <c r="T304">
        <f t="shared" si="88"/>
        <v>201995.55030693847</v>
      </c>
      <c r="U304">
        <f t="shared" si="89"/>
        <v>200807.29387165833</v>
      </c>
      <c r="V304">
        <f t="shared" si="96"/>
        <v>0</v>
      </c>
      <c r="W304">
        <f t="shared" si="97"/>
        <v>1</v>
      </c>
      <c r="X304">
        <f t="shared" si="98"/>
        <v>0</v>
      </c>
      <c r="Y304">
        <f t="shared" si="99"/>
        <v>0</v>
      </c>
      <c r="Z304">
        <f t="shared" si="100"/>
        <v>0</v>
      </c>
      <c r="AA304">
        <f t="shared" si="101"/>
        <v>0</v>
      </c>
      <c r="AC304">
        <f t="shared" si="90"/>
        <v>204054.29060591775</v>
      </c>
      <c r="AD304">
        <f t="shared" si="91"/>
        <v>204174.90185844977</v>
      </c>
      <c r="AE304">
        <f t="shared" si="92"/>
        <v>203300.73241554247</v>
      </c>
      <c r="AF304">
        <f t="shared" si="93"/>
        <v>202787.09021064418</v>
      </c>
      <c r="AG304">
        <f t="shared" si="94"/>
        <v>201995.55030693847</v>
      </c>
      <c r="AH304">
        <f t="shared" si="95"/>
        <v>200807.29387165833</v>
      </c>
      <c r="AI304">
        <f t="shared" si="102"/>
        <v>204174.90185844977</v>
      </c>
    </row>
    <row r="305" spans="2:35" x14ac:dyDescent="0.3">
      <c r="B305">
        <v>262</v>
      </c>
      <c r="C305">
        <v>79296.557499999995</v>
      </c>
      <c r="D305">
        <v>78883.570900000006</v>
      </c>
      <c r="E305">
        <v>79665.623000000007</v>
      </c>
      <c r="F305">
        <v>79893.307100000005</v>
      </c>
      <c r="G305">
        <v>80312.609100000001</v>
      </c>
      <c r="H305">
        <v>81091.2454</v>
      </c>
      <c r="I305">
        <v>7.6624560635698353</v>
      </c>
      <c r="J305">
        <v>7.6509344282155318</v>
      </c>
      <c r="K305">
        <v>7.6351965630665202</v>
      </c>
      <c r="L305">
        <v>7.6259787273326261</v>
      </c>
      <c r="M305">
        <v>7.6144578686130631</v>
      </c>
      <c r="N305">
        <v>7.594967144076497</v>
      </c>
      <c r="P305">
        <f t="shared" si="84"/>
        <v>150577.12440709508</v>
      </c>
      <c r="Q305">
        <f t="shared" si="85"/>
        <v>150644.46194646595</v>
      </c>
      <c r="R305">
        <f t="shared" si="86"/>
        <v>149390.2738919956</v>
      </c>
      <c r="S305">
        <f t="shared" si="87"/>
        <v>148886.05471997877</v>
      </c>
      <c r="T305">
        <f t="shared" si="88"/>
        <v>148121.12695839189</v>
      </c>
      <c r="U305">
        <f t="shared" si="89"/>
        <v>146757.7689222949</v>
      </c>
      <c r="V305">
        <f t="shared" si="96"/>
        <v>0</v>
      </c>
      <c r="W305">
        <f t="shared" si="97"/>
        <v>1</v>
      </c>
      <c r="X305">
        <f t="shared" si="98"/>
        <v>0</v>
      </c>
      <c r="Y305">
        <f t="shared" si="99"/>
        <v>0</v>
      </c>
      <c r="Z305">
        <f t="shared" si="100"/>
        <v>0</v>
      </c>
      <c r="AA305">
        <f t="shared" si="101"/>
        <v>0</v>
      </c>
      <c r="AC305">
        <f t="shared" si="90"/>
        <v>150577.12440709508</v>
      </c>
      <c r="AD305">
        <f t="shared" si="91"/>
        <v>150644.46194646595</v>
      </c>
      <c r="AE305">
        <f t="shared" si="92"/>
        <v>149390.2738919956</v>
      </c>
      <c r="AF305">
        <f t="shared" si="93"/>
        <v>148886.05471997877</v>
      </c>
      <c r="AG305">
        <f t="shared" si="94"/>
        <v>148121.12695839189</v>
      </c>
      <c r="AH305">
        <f t="shared" si="95"/>
        <v>146757.7689222949</v>
      </c>
      <c r="AI305">
        <f t="shared" si="102"/>
        <v>150644.46194646595</v>
      </c>
    </row>
    <row r="306" spans="2:35" x14ac:dyDescent="0.3">
      <c r="B306">
        <v>263</v>
      </c>
      <c r="C306">
        <v>82630.763800000001</v>
      </c>
      <c r="D306">
        <v>80967.571299999996</v>
      </c>
      <c r="E306">
        <v>80819.294500000004</v>
      </c>
      <c r="F306">
        <v>80380.759600000005</v>
      </c>
      <c r="G306">
        <v>80127.972800000003</v>
      </c>
      <c r="H306">
        <v>79881.819199999998</v>
      </c>
      <c r="I306">
        <v>10.810395143182989</v>
      </c>
      <c r="J306">
        <v>10.764383893591218</v>
      </c>
      <c r="K306">
        <v>10.7226998142526</v>
      </c>
      <c r="L306">
        <v>10.711094031523951</v>
      </c>
      <c r="M306">
        <v>10.653992653986567</v>
      </c>
      <c r="N306">
        <v>10.621240385232703</v>
      </c>
      <c r="P306">
        <f t="shared" si="84"/>
        <v>241681.09049548965</v>
      </c>
      <c r="Q306">
        <f t="shared" si="85"/>
        <v>241963.94550773653</v>
      </c>
      <c r="R306">
        <f t="shared" si="86"/>
        <v>240861.69992757798</v>
      </c>
      <c r="S306">
        <f t="shared" si="87"/>
        <v>240952.06134571851</v>
      </c>
      <c r="T306">
        <f t="shared" si="88"/>
        <v>239491.80681959703</v>
      </c>
      <c r="U306">
        <f t="shared" si="89"/>
        <v>238755.39235698109</v>
      </c>
      <c r="V306">
        <f t="shared" si="96"/>
        <v>0</v>
      </c>
      <c r="W306">
        <f t="shared" si="97"/>
        <v>1</v>
      </c>
      <c r="X306">
        <f t="shared" si="98"/>
        <v>0</v>
      </c>
      <c r="Y306">
        <f t="shared" si="99"/>
        <v>0</v>
      </c>
      <c r="Z306">
        <f t="shared" si="100"/>
        <v>0</v>
      </c>
      <c r="AA306">
        <f t="shared" si="101"/>
        <v>0</v>
      </c>
      <c r="AC306">
        <f t="shared" si="90"/>
        <v>241681.09049548965</v>
      </c>
      <c r="AD306">
        <f t="shared" si="91"/>
        <v>241963.94550773653</v>
      </c>
      <c r="AE306">
        <f t="shared" si="92"/>
        <v>240861.69992757798</v>
      </c>
      <c r="AF306">
        <f t="shared" si="93"/>
        <v>240952.06134571851</v>
      </c>
      <c r="AG306">
        <f t="shared" si="94"/>
        <v>239491.80681959703</v>
      </c>
      <c r="AH306">
        <f t="shared" si="95"/>
        <v>238755.39235698109</v>
      </c>
      <c r="AI306">
        <f t="shared" si="102"/>
        <v>241963.94550773653</v>
      </c>
    </row>
    <row r="307" spans="2:35" x14ac:dyDescent="0.3">
      <c r="B307">
        <v>264</v>
      </c>
      <c r="C307">
        <v>76804.534</v>
      </c>
      <c r="D307">
        <v>75163.539199999999</v>
      </c>
      <c r="E307">
        <v>74728.6149</v>
      </c>
      <c r="F307">
        <v>74311.007599999997</v>
      </c>
      <c r="G307">
        <v>74034.044999999998</v>
      </c>
      <c r="H307">
        <v>73830.409799999994</v>
      </c>
      <c r="I307">
        <v>10.680177018791699</v>
      </c>
      <c r="J307">
        <v>10.653300350582937</v>
      </c>
      <c r="K307">
        <v>10.61841293151814</v>
      </c>
      <c r="L307">
        <v>10.606211190835285</v>
      </c>
      <c r="M307">
        <v>10.583256169255744</v>
      </c>
      <c r="N307">
        <v>10.560364803568701</v>
      </c>
      <c r="P307">
        <f t="shared" si="84"/>
        <v>243600.77656375099</v>
      </c>
      <c r="Q307">
        <f t="shared" si="85"/>
        <v>244435.47131748812</v>
      </c>
      <c r="R307">
        <f t="shared" si="86"/>
        <v>243823.77304554422</v>
      </c>
      <c r="S307">
        <f t="shared" si="87"/>
        <v>243875.32812505856</v>
      </c>
      <c r="T307">
        <f t="shared" si="88"/>
        <v>243463.64007767232</v>
      </c>
      <c r="U307">
        <f t="shared" si="89"/>
        <v>242980.53430706103</v>
      </c>
      <c r="V307">
        <f t="shared" si="96"/>
        <v>0</v>
      </c>
      <c r="W307">
        <f t="shared" si="97"/>
        <v>1</v>
      </c>
      <c r="X307">
        <f t="shared" si="98"/>
        <v>0</v>
      </c>
      <c r="Y307">
        <f t="shared" si="99"/>
        <v>0</v>
      </c>
      <c r="Z307">
        <f t="shared" si="100"/>
        <v>0</v>
      </c>
      <c r="AA307">
        <f t="shared" si="101"/>
        <v>0</v>
      </c>
      <c r="AC307">
        <f t="shared" si="90"/>
        <v>243600.77656375099</v>
      </c>
      <c r="AD307">
        <f t="shared" si="91"/>
        <v>244435.47131748812</v>
      </c>
      <c r="AE307">
        <f t="shared" si="92"/>
        <v>243823.77304554422</v>
      </c>
      <c r="AF307">
        <f t="shared" si="93"/>
        <v>243875.32812505856</v>
      </c>
      <c r="AG307">
        <f t="shared" si="94"/>
        <v>243463.64007767232</v>
      </c>
      <c r="AH307">
        <f t="shared" si="95"/>
        <v>242980.53430706103</v>
      </c>
      <c r="AI307">
        <f t="shared" si="102"/>
        <v>244435.47131748812</v>
      </c>
    </row>
    <row r="308" spans="2:35" x14ac:dyDescent="0.3">
      <c r="B308">
        <v>265</v>
      </c>
      <c r="C308">
        <v>75609.256200000003</v>
      </c>
      <c r="D308">
        <v>74710.855800000005</v>
      </c>
      <c r="E308">
        <v>75102.500700000004</v>
      </c>
      <c r="F308">
        <v>74807.330199999997</v>
      </c>
      <c r="G308">
        <v>75207.347899999993</v>
      </c>
      <c r="H308">
        <v>75557.883300000001</v>
      </c>
      <c r="I308">
        <v>10.233539674432444</v>
      </c>
      <c r="J308">
        <v>10.209658460646379</v>
      </c>
      <c r="K308">
        <v>10.194559257616012</v>
      </c>
      <c r="L308">
        <v>10.190857728407606</v>
      </c>
      <c r="M308">
        <v>10.171142670572673</v>
      </c>
      <c r="N308">
        <v>10.154166147954825</v>
      </c>
      <c r="P308">
        <f t="shared" si="84"/>
        <v>231396.93403297331</v>
      </c>
      <c r="Q308">
        <f t="shared" si="85"/>
        <v>231578.89801939134</v>
      </c>
      <c r="R308">
        <f t="shared" si="86"/>
        <v>230734.27702848034</v>
      </c>
      <c r="S308">
        <f t="shared" si="87"/>
        <v>230918.40165222817</v>
      </c>
      <c r="T308">
        <f t="shared" si="88"/>
        <v>229926.93221718021</v>
      </c>
      <c r="U308">
        <f t="shared" si="89"/>
        <v>229067.10113864479</v>
      </c>
      <c r="V308">
        <f t="shared" si="96"/>
        <v>0</v>
      </c>
      <c r="W308">
        <f t="shared" si="97"/>
        <v>1</v>
      </c>
      <c r="X308">
        <f t="shared" si="98"/>
        <v>0</v>
      </c>
      <c r="Y308">
        <f t="shared" si="99"/>
        <v>0</v>
      </c>
      <c r="Z308">
        <f t="shared" si="100"/>
        <v>0</v>
      </c>
      <c r="AA308">
        <f t="shared" si="101"/>
        <v>0</v>
      </c>
      <c r="AC308">
        <f t="shared" si="90"/>
        <v>231396.93403297331</v>
      </c>
      <c r="AD308">
        <f t="shared" si="91"/>
        <v>231578.89801939134</v>
      </c>
      <c r="AE308">
        <f t="shared" si="92"/>
        <v>230734.27702848034</v>
      </c>
      <c r="AF308">
        <f t="shared" si="93"/>
        <v>230918.40165222817</v>
      </c>
      <c r="AG308">
        <f t="shared" si="94"/>
        <v>229926.93221718021</v>
      </c>
      <c r="AH308">
        <f t="shared" si="95"/>
        <v>229067.10113864479</v>
      </c>
      <c r="AI308">
        <f t="shared" si="102"/>
        <v>231578.89801939134</v>
      </c>
    </row>
    <row r="309" spans="2:35" x14ac:dyDescent="0.3">
      <c r="B309">
        <v>266</v>
      </c>
      <c r="C309">
        <v>81154.104200000002</v>
      </c>
      <c r="D309">
        <v>79763.730100000001</v>
      </c>
      <c r="E309">
        <v>79562.099100000007</v>
      </c>
      <c r="F309">
        <v>79418.210200000001</v>
      </c>
      <c r="G309">
        <v>79223.157099999997</v>
      </c>
      <c r="H309">
        <v>79375.864300000001</v>
      </c>
      <c r="I309">
        <v>9.659751652405772</v>
      </c>
      <c r="J309">
        <v>9.628369514369929</v>
      </c>
      <c r="K309">
        <v>9.6107460471512223</v>
      </c>
      <c r="L309">
        <v>9.6061408004333035</v>
      </c>
      <c r="M309">
        <v>9.5814119382456902</v>
      </c>
      <c r="N309">
        <v>9.5615265471390796</v>
      </c>
      <c r="P309">
        <f t="shared" si="84"/>
        <v>208638.44537217316</v>
      </c>
      <c r="Q309">
        <f t="shared" si="85"/>
        <v>209087.3553310979</v>
      </c>
      <c r="R309">
        <f t="shared" si="86"/>
        <v>208760.28231453669</v>
      </c>
      <c r="S309">
        <f t="shared" si="87"/>
        <v>208766.0138129991</v>
      </c>
      <c r="T309">
        <f t="shared" si="88"/>
        <v>208219.20104737068</v>
      </c>
      <c r="U309">
        <f t="shared" si="89"/>
        <v>207469.93211417238</v>
      </c>
      <c r="V309">
        <f t="shared" si="96"/>
        <v>0</v>
      </c>
      <c r="W309">
        <f t="shared" si="97"/>
        <v>1</v>
      </c>
      <c r="X309">
        <f t="shared" si="98"/>
        <v>0</v>
      </c>
      <c r="Y309">
        <f t="shared" si="99"/>
        <v>0</v>
      </c>
      <c r="Z309">
        <f t="shared" si="100"/>
        <v>0</v>
      </c>
      <c r="AA309">
        <f t="shared" si="101"/>
        <v>0</v>
      </c>
      <c r="AC309">
        <f t="shared" si="90"/>
        <v>208638.44537217316</v>
      </c>
      <c r="AD309">
        <f t="shared" si="91"/>
        <v>209087.3553310979</v>
      </c>
      <c r="AE309">
        <f t="shared" si="92"/>
        <v>208760.28231453669</v>
      </c>
      <c r="AF309">
        <f t="shared" si="93"/>
        <v>208766.0138129991</v>
      </c>
      <c r="AG309">
        <f t="shared" si="94"/>
        <v>208219.20104737068</v>
      </c>
      <c r="AH309">
        <f t="shared" si="95"/>
        <v>207469.93211417238</v>
      </c>
      <c r="AI309">
        <f t="shared" si="102"/>
        <v>209087.3553310979</v>
      </c>
    </row>
    <row r="310" spans="2:35" x14ac:dyDescent="0.3">
      <c r="B310">
        <v>267</v>
      </c>
      <c r="C310">
        <v>68812.827999999994</v>
      </c>
      <c r="D310">
        <v>68492.909499999994</v>
      </c>
      <c r="E310">
        <v>69188.916599999997</v>
      </c>
      <c r="F310">
        <v>69386.103400000007</v>
      </c>
      <c r="G310">
        <v>70457.237800000003</v>
      </c>
      <c r="H310">
        <v>70895.063200000004</v>
      </c>
      <c r="I310">
        <v>10.401363921317474</v>
      </c>
      <c r="J310">
        <v>10.382339999825909</v>
      </c>
      <c r="K310">
        <v>10.371372783608674</v>
      </c>
      <c r="L310">
        <v>10.362065766384919</v>
      </c>
      <c r="M310">
        <v>10.348287949350608</v>
      </c>
      <c r="N310">
        <v>10.334549636925042</v>
      </c>
      <c r="P310">
        <f t="shared" si="84"/>
        <v>243228.08963952423</v>
      </c>
      <c r="Q310">
        <f t="shared" si="85"/>
        <v>242977.29049477726</v>
      </c>
      <c r="R310">
        <f t="shared" si="86"/>
        <v>241952.26690826024</v>
      </c>
      <c r="S310">
        <f t="shared" si="87"/>
        <v>241475.86959154758</v>
      </c>
      <c r="T310">
        <f t="shared" si="88"/>
        <v>239991.40068051824</v>
      </c>
      <c r="U310">
        <f t="shared" si="89"/>
        <v>239141.42590775123</v>
      </c>
      <c r="V310">
        <f t="shared" si="96"/>
        <v>1</v>
      </c>
      <c r="W310">
        <f t="shared" si="97"/>
        <v>0</v>
      </c>
      <c r="X310">
        <f t="shared" si="98"/>
        <v>0</v>
      </c>
      <c r="Y310">
        <f t="shared" si="99"/>
        <v>0</v>
      </c>
      <c r="Z310">
        <f t="shared" si="100"/>
        <v>0</v>
      </c>
      <c r="AA310">
        <f t="shared" si="101"/>
        <v>0</v>
      </c>
      <c r="AC310">
        <f t="shared" si="90"/>
        <v>243228.08963952423</v>
      </c>
      <c r="AD310">
        <f t="shared" si="91"/>
        <v>242977.29049477726</v>
      </c>
      <c r="AE310">
        <f t="shared" si="92"/>
        <v>241952.26690826024</v>
      </c>
      <c r="AF310">
        <f t="shared" si="93"/>
        <v>241475.86959154758</v>
      </c>
      <c r="AG310">
        <f t="shared" si="94"/>
        <v>239991.40068051824</v>
      </c>
      <c r="AH310">
        <f t="shared" si="95"/>
        <v>239141.42590775123</v>
      </c>
      <c r="AI310">
        <f t="shared" si="102"/>
        <v>243228.08963952423</v>
      </c>
    </row>
    <row r="311" spans="2:35" x14ac:dyDescent="0.3">
      <c r="B311">
        <v>268</v>
      </c>
      <c r="C311">
        <v>64457.669500000004</v>
      </c>
      <c r="D311">
        <v>63952.890599999999</v>
      </c>
      <c r="E311">
        <v>64427.208700000003</v>
      </c>
      <c r="F311">
        <v>64547.658600000002</v>
      </c>
      <c r="G311">
        <v>65079.582699999999</v>
      </c>
      <c r="H311">
        <v>65516.262699999999</v>
      </c>
      <c r="I311">
        <v>10.22642970133708</v>
      </c>
      <c r="J311">
        <v>10.163047287980245</v>
      </c>
      <c r="K311">
        <v>10.112880158329082</v>
      </c>
      <c r="L311">
        <v>10.081811912817479</v>
      </c>
      <c r="M311">
        <v>10.036403645785342</v>
      </c>
      <c r="N311">
        <v>9.9841074773098573</v>
      </c>
      <c r="P311">
        <f t="shared" si="84"/>
        <v>242335.2215401124</v>
      </c>
      <c r="Q311">
        <f t="shared" si="85"/>
        <v>240938.52803940733</v>
      </c>
      <c r="R311">
        <f t="shared" si="86"/>
        <v>238959.19604987244</v>
      </c>
      <c r="S311">
        <f t="shared" si="87"/>
        <v>237906.69878452437</v>
      </c>
      <c r="T311">
        <f t="shared" si="88"/>
        <v>236012.52667356023</v>
      </c>
      <c r="U311">
        <f t="shared" si="89"/>
        <v>234006.96161929573</v>
      </c>
      <c r="V311">
        <f t="shared" si="96"/>
        <v>1</v>
      </c>
      <c r="W311">
        <f t="shared" si="97"/>
        <v>0</v>
      </c>
      <c r="X311">
        <f t="shared" si="98"/>
        <v>0</v>
      </c>
      <c r="Y311">
        <f t="shared" si="99"/>
        <v>0</v>
      </c>
      <c r="Z311">
        <f t="shared" si="100"/>
        <v>0</v>
      </c>
      <c r="AA311">
        <f t="shared" si="101"/>
        <v>0</v>
      </c>
      <c r="AC311">
        <f t="shared" si="90"/>
        <v>242335.2215401124</v>
      </c>
      <c r="AD311">
        <f t="shared" si="91"/>
        <v>240938.52803940733</v>
      </c>
      <c r="AE311">
        <f t="shared" si="92"/>
        <v>238959.19604987244</v>
      </c>
      <c r="AF311">
        <f t="shared" si="93"/>
        <v>237906.69878452437</v>
      </c>
      <c r="AG311">
        <f t="shared" si="94"/>
        <v>236012.52667356023</v>
      </c>
      <c r="AH311">
        <f t="shared" si="95"/>
        <v>234006.96161929573</v>
      </c>
      <c r="AI311">
        <f t="shared" si="102"/>
        <v>242335.2215401124</v>
      </c>
    </row>
    <row r="312" spans="2:35" x14ac:dyDescent="0.3">
      <c r="B312">
        <v>269</v>
      </c>
      <c r="C312">
        <v>79685.469200000007</v>
      </c>
      <c r="D312">
        <v>79073.690400000007</v>
      </c>
      <c r="E312">
        <v>79708.372300000003</v>
      </c>
      <c r="F312">
        <v>79833.406000000003</v>
      </c>
      <c r="G312">
        <v>80192.373900000006</v>
      </c>
      <c r="H312">
        <v>80935.526400000002</v>
      </c>
      <c r="I312">
        <v>10.557670521262493</v>
      </c>
      <c r="J312">
        <v>10.539312734382015</v>
      </c>
      <c r="K312">
        <v>10.522409727939914</v>
      </c>
      <c r="L312">
        <v>10.515835958518746</v>
      </c>
      <c r="M312">
        <v>10.498561763828793</v>
      </c>
      <c r="N312">
        <v>10.482091299263683</v>
      </c>
      <c r="P312">
        <f t="shared" si="84"/>
        <v>237044.64643787476</v>
      </c>
      <c r="Q312">
        <f t="shared" si="85"/>
        <v>237105.69163146045</v>
      </c>
      <c r="R312">
        <f t="shared" si="86"/>
        <v>235963.91953819746</v>
      </c>
      <c r="S312">
        <f t="shared" si="87"/>
        <v>235641.67275556235</v>
      </c>
      <c r="T312">
        <f t="shared" si="88"/>
        <v>234764.47901486378</v>
      </c>
      <c r="U312">
        <f t="shared" si="89"/>
        <v>233527.21257791048</v>
      </c>
      <c r="V312">
        <f t="shared" si="96"/>
        <v>0</v>
      </c>
      <c r="W312">
        <f t="shared" si="97"/>
        <v>1</v>
      </c>
      <c r="X312">
        <f t="shared" si="98"/>
        <v>0</v>
      </c>
      <c r="Y312">
        <f t="shared" si="99"/>
        <v>0</v>
      </c>
      <c r="Z312">
        <f t="shared" si="100"/>
        <v>0</v>
      </c>
      <c r="AA312">
        <f t="shared" si="101"/>
        <v>0</v>
      </c>
      <c r="AC312">
        <f t="shared" si="90"/>
        <v>237044.64643787476</v>
      </c>
      <c r="AD312">
        <f t="shared" si="91"/>
        <v>237105.69163146045</v>
      </c>
      <c r="AE312">
        <f t="shared" si="92"/>
        <v>235963.91953819746</v>
      </c>
      <c r="AF312">
        <f t="shared" si="93"/>
        <v>235641.67275556235</v>
      </c>
      <c r="AG312">
        <f t="shared" si="94"/>
        <v>234764.47901486378</v>
      </c>
      <c r="AH312">
        <f t="shared" si="95"/>
        <v>233527.21257791048</v>
      </c>
      <c r="AI312">
        <f t="shared" si="102"/>
        <v>237105.69163146045</v>
      </c>
    </row>
    <row r="313" spans="2:35" x14ac:dyDescent="0.3">
      <c r="B313">
        <v>270</v>
      </c>
      <c r="C313">
        <v>77805.726899999994</v>
      </c>
      <c r="D313">
        <v>77347.609400000001</v>
      </c>
      <c r="E313">
        <v>78419.980500000005</v>
      </c>
      <c r="F313">
        <v>78134.378700000001</v>
      </c>
      <c r="G313">
        <v>78934.939799999993</v>
      </c>
      <c r="H313">
        <v>79741.020399999994</v>
      </c>
      <c r="I313">
        <v>8.4176519397973291</v>
      </c>
      <c r="J313">
        <v>8.4011231093180641</v>
      </c>
      <c r="K313">
        <v>8.3903811640298187</v>
      </c>
      <c r="L313">
        <v>8.3892351636472871</v>
      </c>
      <c r="M313">
        <v>8.373511352359353</v>
      </c>
      <c r="N313">
        <v>8.3616082322453007</v>
      </c>
      <c r="P313">
        <f t="shared" si="84"/>
        <v>174723.83129391988</v>
      </c>
      <c r="Q313">
        <f t="shared" si="85"/>
        <v>174686.0838795419</v>
      </c>
      <c r="R313">
        <f t="shared" si="86"/>
        <v>173291.45442089456</v>
      </c>
      <c r="S313">
        <f t="shared" si="87"/>
        <v>173542.6762094186</v>
      </c>
      <c r="T313">
        <f t="shared" si="88"/>
        <v>172270.4007707806</v>
      </c>
      <c r="U313">
        <f t="shared" si="89"/>
        <v>171107.226567359</v>
      </c>
      <c r="V313">
        <f t="shared" si="96"/>
        <v>1</v>
      </c>
      <c r="W313">
        <f t="shared" si="97"/>
        <v>0</v>
      </c>
      <c r="X313">
        <f t="shared" si="98"/>
        <v>0</v>
      </c>
      <c r="Y313">
        <f t="shared" si="99"/>
        <v>0</v>
      </c>
      <c r="Z313">
        <f t="shared" si="100"/>
        <v>0</v>
      </c>
      <c r="AA313">
        <f t="shared" si="101"/>
        <v>0</v>
      </c>
      <c r="AC313">
        <f t="shared" si="90"/>
        <v>174723.83129391988</v>
      </c>
      <c r="AD313">
        <f t="shared" si="91"/>
        <v>174686.0838795419</v>
      </c>
      <c r="AE313">
        <f t="shared" si="92"/>
        <v>173291.45442089456</v>
      </c>
      <c r="AF313">
        <f t="shared" si="93"/>
        <v>173542.6762094186</v>
      </c>
      <c r="AG313">
        <f t="shared" si="94"/>
        <v>172270.4007707806</v>
      </c>
      <c r="AH313">
        <f t="shared" si="95"/>
        <v>171107.226567359</v>
      </c>
      <c r="AI313">
        <f t="shared" si="102"/>
        <v>174723.83129391988</v>
      </c>
    </row>
    <row r="314" spans="2:35" x14ac:dyDescent="0.3">
      <c r="B314">
        <v>271</v>
      </c>
      <c r="C314">
        <v>70669.662599999996</v>
      </c>
      <c r="D314">
        <v>70964.144499999995</v>
      </c>
      <c r="E314">
        <v>72042.626900000003</v>
      </c>
      <c r="F314">
        <v>72288.933199999999</v>
      </c>
      <c r="G314">
        <v>72876.183900000004</v>
      </c>
      <c r="H314">
        <v>74290.492700000003</v>
      </c>
      <c r="I314">
        <v>11.248451855448163</v>
      </c>
      <c r="J314">
        <v>11.209350548618735</v>
      </c>
      <c r="K314">
        <v>11.182079851471714</v>
      </c>
      <c r="L314">
        <v>11.161492756123137</v>
      </c>
      <c r="M314">
        <v>11.14189558535876</v>
      </c>
      <c r="N314">
        <v>11.108483354564488</v>
      </c>
      <c r="P314">
        <f t="shared" si="84"/>
        <v>266783.89306344494</v>
      </c>
      <c r="Q314">
        <f t="shared" si="85"/>
        <v>265316.37195856206</v>
      </c>
      <c r="R314">
        <f t="shared" si="86"/>
        <v>263419.76864415139</v>
      </c>
      <c r="S314">
        <f t="shared" si="87"/>
        <v>262555.84948369407</v>
      </c>
      <c r="T314">
        <f t="shared" si="88"/>
        <v>261380.68366076279</v>
      </c>
      <c r="U314">
        <f t="shared" si="89"/>
        <v>258964.00793693465</v>
      </c>
      <c r="V314">
        <f t="shared" si="96"/>
        <v>1</v>
      </c>
      <c r="W314">
        <f t="shared" si="97"/>
        <v>0</v>
      </c>
      <c r="X314">
        <f t="shared" si="98"/>
        <v>0</v>
      </c>
      <c r="Y314">
        <f t="shared" si="99"/>
        <v>0</v>
      </c>
      <c r="Z314">
        <f t="shared" si="100"/>
        <v>0</v>
      </c>
      <c r="AA314">
        <f t="shared" si="101"/>
        <v>0</v>
      </c>
      <c r="AC314">
        <f t="shared" si="90"/>
        <v>266783.89306344494</v>
      </c>
      <c r="AD314">
        <f t="shared" si="91"/>
        <v>265316.37195856206</v>
      </c>
      <c r="AE314">
        <f t="shared" si="92"/>
        <v>263419.76864415139</v>
      </c>
      <c r="AF314">
        <f t="shared" si="93"/>
        <v>262555.84948369407</v>
      </c>
      <c r="AG314">
        <f t="shared" si="94"/>
        <v>261380.68366076279</v>
      </c>
      <c r="AH314">
        <f t="shared" si="95"/>
        <v>258964.00793693465</v>
      </c>
      <c r="AI314">
        <f t="shared" si="102"/>
        <v>266783.89306344494</v>
      </c>
    </row>
    <row r="315" spans="2:35" x14ac:dyDescent="0.3">
      <c r="B315">
        <v>272</v>
      </c>
      <c r="C315">
        <v>88596.594800000006</v>
      </c>
      <c r="D315">
        <v>87620.403699999995</v>
      </c>
      <c r="E315">
        <v>87601.968900000007</v>
      </c>
      <c r="F315">
        <v>87379.564799999993</v>
      </c>
      <c r="G315">
        <v>87636.1872</v>
      </c>
      <c r="H315">
        <v>87669.914499999999</v>
      </c>
      <c r="I315">
        <v>10.547578797606024</v>
      </c>
      <c r="J315">
        <v>10.530346753400217</v>
      </c>
      <c r="K315">
        <v>10.51741712683927</v>
      </c>
      <c r="L315">
        <v>10.510638561095844</v>
      </c>
      <c r="M315">
        <v>10.497520568796547</v>
      </c>
      <c r="N315">
        <v>10.482225031076721</v>
      </c>
      <c r="P315">
        <f t="shared" si="84"/>
        <v>227830.76912818069</v>
      </c>
      <c r="Q315">
        <f t="shared" si="85"/>
        <v>228289.99890200651</v>
      </c>
      <c r="R315">
        <f t="shared" si="86"/>
        <v>227920.5449051781</v>
      </c>
      <c r="S315">
        <f t="shared" si="87"/>
        <v>227939.59203287534</v>
      </c>
      <c r="T315">
        <f t="shared" si="88"/>
        <v>227289.42986389645</v>
      </c>
      <c r="U315">
        <f t="shared" si="89"/>
        <v>226796.83643230161</v>
      </c>
      <c r="V315">
        <f t="shared" si="96"/>
        <v>0</v>
      </c>
      <c r="W315">
        <f t="shared" si="97"/>
        <v>1</v>
      </c>
      <c r="X315">
        <f t="shared" si="98"/>
        <v>0</v>
      </c>
      <c r="Y315">
        <f t="shared" si="99"/>
        <v>0</v>
      </c>
      <c r="Z315">
        <f t="shared" si="100"/>
        <v>0</v>
      </c>
      <c r="AA315">
        <f t="shared" si="101"/>
        <v>0</v>
      </c>
      <c r="AC315">
        <f t="shared" si="90"/>
        <v>227830.76912818069</v>
      </c>
      <c r="AD315">
        <f t="shared" si="91"/>
        <v>228289.99890200651</v>
      </c>
      <c r="AE315">
        <f t="shared" si="92"/>
        <v>227920.5449051781</v>
      </c>
      <c r="AF315">
        <f t="shared" si="93"/>
        <v>227939.59203287534</v>
      </c>
      <c r="AG315">
        <f t="shared" si="94"/>
        <v>227289.42986389645</v>
      </c>
      <c r="AH315">
        <f t="shared" si="95"/>
        <v>226796.83643230161</v>
      </c>
      <c r="AI315">
        <f t="shared" si="102"/>
        <v>228289.99890200651</v>
      </c>
    </row>
    <row r="316" spans="2:35" x14ac:dyDescent="0.3">
      <c r="B316">
        <v>273</v>
      </c>
      <c r="C316">
        <v>84651.525500000003</v>
      </c>
      <c r="D316">
        <v>83035.989100000006</v>
      </c>
      <c r="E316">
        <v>82996.479600000006</v>
      </c>
      <c r="F316">
        <v>82481.147700000001</v>
      </c>
      <c r="G316">
        <v>82335.795499999993</v>
      </c>
      <c r="H316">
        <v>82047.532399999996</v>
      </c>
      <c r="I316">
        <v>9.5083733361965663</v>
      </c>
      <c r="J316">
        <v>9.4614392148357869</v>
      </c>
      <c r="K316">
        <v>9.4273622870318174</v>
      </c>
      <c r="L316">
        <v>9.4116012544282448</v>
      </c>
      <c r="M316">
        <v>9.3759616879364245</v>
      </c>
      <c r="N316">
        <v>9.337917547498563</v>
      </c>
      <c r="P316">
        <f t="shared" si="84"/>
        <v>200599.67458589701</v>
      </c>
      <c r="Q316">
        <f t="shared" si="85"/>
        <v>200807.18734507362</v>
      </c>
      <c r="R316">
        <f t="shared" si="86"/>
        <v>199824.38901095453</v>
      </c>
      <c r="S316">
        <f t="shared" si="87"/>
        <v>199866.88993284732</v>
      </c>
      <c r="T316">
        <f t="shared" si="88"/>
        <v>198943.05513809272</v>
      </c>
      <c r="U316">
        <f t="shared" si="89"/>
        <v>198089.99402495692</v>
      </c>
      <c r="V316">
        <f t="shared" si="96"/>
        <v>0</v>
      </c>
      <c r="W316">
        <f t="shared" si="97"/>
        <v>1</v>
      </c>
      <c r="X316">
        <f t="shared" si="98"/>
        <v>0</v>
      </c>
      <c r="Y316">
        <f t="shared" si="99"/>
        <v>0</v>
      </c>
      <c r="Z316">
        <f t="shared" si="100"/>
        <v>0</v>
      </c>
      <c r="AA316">
        <f t="shared" si="101"/>
        <v>0</v>
      </c>
      <c r="AC316">
        <f t="shared" si="90"/>
        <v>200599.67458589701</v>
      </c>
      <c r="AD316">
        <f t="shared" si="91"/>
        <v>200807.18734507362</v>
      </c>
      <c r="AE316">
        <f t="shared" si="92"/>
        <v>199824.38901095453</v>
      </c>
      <c r="AF316">
        <f t="shared" si="93"/>
        <v>199866.88993284732</v>
      </c>
      <c r="AG316">
        <f t="shared" si="94"/>
        <v>198943.05513809272</v>
      </c>
      <c r="AH316">
        <f t="shared" si="95"/>
        <v>198089.99402495692</v>
      </c>
      <c r="AI316">
        <f t="shared" si="102"/>
        <v>200807.18734507362</v>
      </c>
    </row>
    <row r="317" spans="2:35" x14ac:dyDescent="0.3">
      <c r="B317">
        <v>274</v>
      </c>
      <c r="C317">
        <v>77796.525099999999</v>
      </c>
      <c r="D317">
        <v>76750.228499999997</v>
      </c>
      <c r="E317">
        <v>76807.827900000004</v>
      </c>
      <c r="F317">
        <v>76646.914099999995</v>
      </c>
      <c r="G317">
        <v>76749.928599999999</v>
      </c>
      <c r="H317">
        <v>76799.114300000001</v>
      </c>
      <c r="I317">
        <v>9.3278643711487881</v>
      </c>
      <c r="J317">
        <v>9.2995058124899721</v>
      </c>
      <c r="K317">
        <v>9.2787462767367614</v>
      </c>
      <c r="L317">
        <v>9.2747935880516454</v>
      </c>
      <c r="M317">
        <v>9.2422263480203153</v>
      </c>
      <c r="N317">
        <v>9.2229921151846792</v>
      </c>
      <c r="P317">
        <f t="shared" si="84"/>
        <v>202039.40603446364</v>
      </c>
      <c r="Q317">
        <f t="shared" si="85"/>
        <v>202234.94587469919</v>
      </c>
      <c r="R317">
        <f t="shared" si="86"/>
        <v>201554.56040210286</v>
      </c>
      <c r="S317">
        <f t="shared" si="87"/>
        <v>201596.89354154939</v>
      </c>
      <c r="T317">
        <f t="shared" si="88"/>
        <v>200516.86184060946</v>
      </c>
      <c r="U317">
        <f t="shared" si="89"/>
        <v>199890.64915554033</v>
      </c>
      <c r="V317">
        <f t="shared" si="96"/>
        <v>0</v>
      </c>
      <c r="W317">
        <f t="shared" si="97"/>
        <v>1</v>
      </c>
      <c r="X317">
        <f t="shared" si="98"/>
        <v>0</v>
      </c>
      <c r="Y317">
        <f t="shared" si="99"/>
        <v>0</v>
      </c>
      <c r="Z317">
        <f t="shared" si="100"/>
        <v>0</v>
      </c>
      <c r="AA317">
        <f t="shared" si="101"/>
        <v>0</v>
      </c>
      <c r="AC317">
        <f t="shared" si="90"/>
        <v>202039.40603446364</v>
      </c>
      <c r="AD317">
        <f t="shared" si="91"/>
        <v>202234.94587469919</v>
      </c>
      <c r="AE317">
        <f t="shared" si="92"/>
        <v>201554.56040210286</v>
      </c>
      <c r="AF317">
        <f t="shared" si="93"/>
        <v>201596.89354154939</v>
      </c>
      <c r="AG317">
        <f t="shared" si="94"/>
        <v>200516.86184060946</v>
      </c>
      <c r="AH317">
        <f t="shared" si="95"/>
        <v>199890.64915554033</v>
      </c>
      <c r="AI317">
        <f t="shared" si="102"/>
        <v>202234.94587469919</v>
      </c>
    </row>
    <row r="318" spans="2:35" x14ac:dyDescent="0.3">
      <c r="B318">
        <v>275</v>
      </c>
      <c r="C318">
        <v>76452.992299999998</v>
      </c>
      <c r="D318">
        <v>75473.837799999994</v>
      </c>
      <c r="E318">
        <v>75655.015799999994</v>
      </c>
      <c r="F318">
        <v>75508.642099999997</v>
      </c>
      <c r="G318">
        <v>75871.346099999995</v>
      </c>
      <c r="H318">
        <v>76069.738599999997</v>
      </c>
      <c r="I318">
        <v>10.918391636307845</v>
      </c>
      <c r="J318">
        <v>10.893691875730758</v>
      </c>
      <c r="K318">
        <v>10.878822645085968</v>
      </c>
      <c r="L318">
        <v>10.870476286998963</v>
      </c>
      <c r="M318">
        <v>10.84989090515748</v>
      </c>
      <c r="N318">
        <v>10.825209019613732</v>
      </c>
      <c r="P318">
        <f t="shared" si="84"/>
        <v>251098.7567892354</v>
      </c>
      <c r="Q318">
        <f t="shared" si="85"/>
        <v>251336.91847192275</v>
      </c>
      <c r="R318">
        <f t="shared" si="86"/>
        <v>250709.66355257906</v>
      </c>
      <c r="S318">
        <f t="shared" si="87"/>
        <v>250605.64650996891</v>
      </c>
      <c r="T318">
        <f t="shared" si="88"/>
        <v>249625.38105472442</v>
      </c>
      <c r="U318">
        <f t="shared" si="89"/>
        <v>248686.53198841197</v>
      </c>
      <c r="V318">
        <f t="shared" si="96"/>
        <v>0</v>
      </c>
      <c r="W318">
        <f t="shared" si="97"/>
        <v>1</v>
      </c>
      <c r="X318">
        <f t="shared" si="98"/>
        <v>0</v>
      </c>
      <c r="Y318">
        <f t="shared" si="99"/>
        <v>0</v>
      </c>
      <c r="Z318">
        <f t="shared" si="100"/>
        <v>0</v>
      </c>
      <c r="AA318">
        <f t="shared" si="101"/>
        <v>0</v>
      </c>
      <c r="AC318">
        <f t="shared" si="90"/>
        <v>251098.7567892354</v>
      </c>
      <c r="AD318">
        <f t="shared" si="91"/>
        <v>251336.91847192275</v>
      </c>
      <c r="AE318">
        <f t="shared" si="92"/>
        <v>250709.66355257906</v>
      </c>
      <c r="AF318">
        <f t="shared" si="93"/>
        <v>250605.64650996891</v>
      </c>
      <c r="AG318">
        <f t="shared" si="94"/>
        <v>249625.38105472442</v>
      </c>
      <c r="AH318">
        <f t="shared" si="95"/>
        <v>248686.53198841197</v>
      </c>
      <c r="AI318">
        <f t="shared" si="102"/>
        <v>251336.91847192275</v>
      </c>
    </row>
    <row r="319" spans="2:35" x14ac:dyDescent="0.3">
      <c r="B319">
        <v>276</v>
      </c>
      <c r="C319">
        <v>67774.007599999997</v>
      </c>
      <c r="D319">
        <v>67680.164900000003</v>
      </c>
      <c r="E319">
        <v>68593.06</v>
      </c>
      <c r="F319">
        <v>68481.458700000003</v>
      </c>
      <c r="G319">
        <v>69538.054999999993</v>
      </c>
      <c r="H319">
        <v>70715.225600000005</v>
      </c>
      <c r="I319">
        <v>10.973367015066749</v>
      </c>
      <c r="J319">
        <v>10.934472926166089</v>
      </c>
      <c r="K319">
        <v>10.909332841238841</v>
      </c>
      <c r="L319">
        <v>10.900301641249163</v>
      </c>
      <c r="M319">
        <v>10.870830578738214</v>
      </c>
      <c r="N319">
        <v>10.835504852375205</v>
      </c>
      <c r="P319">
        <f t="shared" si="84"/>
        <v>261427.00285200245</v>
      </c>
      <c r="Q319">
        <f t="shared" si="85"/>
        <v>260354.02288498267</v>
      </c>
      <c r="R319">
        <f t="shared" si="86"/>
        <v>258686.92523716524</v>
      </c>
      <c r="S319">
        <f t="shared" si="87"/>
        <v>258527.5905374749</v>
      </c>
      <c r="T319">
        <f t="shared" si="88"/>
        <v>256586.86236214644</v>
      </c>
      <c r="U319">
        <f t="shared" si="89"/>
        <v>254349.91997125617</v>
      </c>
      <c r="V319">
        <f t="shared" si="96"/>
        <v>1</v>
      </c>
      <c r="W319">
        <f t="shared" si="97"/>
        <v>0</v>
      </c>
      <c r="X319">
        <f t="shared" si="98"/>
        <v>0</v>
      </c>
      <c r="Y319">
        <f t="shared" si="99"/>
        <v>0</v>
      </c>
      <c r="Z319">
        <f t="shared" si="100"/>
        <v>0</v>
      </c>
      <c r="AA319">
        <f t="shared" si="101"/>
        <v>0</v>
      </c>
      <c r="AC319">
        <f t="shared" si="90"/>
        <v>261427.00285200245</v>
      </c>
      <c r="AD319">
        <f t="shared" si="91"/>
        <v>260354.02288498267</v>
      </c>
      <c r="AE319">
        <f t="shared" si="92"/>
        <v>258686.92523716524</v>
      </c>
      <c r="AF319">
        <f t="shared" si="93"/>
        <v>258527.5905374749</v>
      </c>
      <c r="AG319">
        <f t="shared" si="94"/>
        <v>256586.86236214644</v>
      </c>
      <c r="AH319">
        <f t="shared" si="95"/>
        <v>254349.91997125617</v>
      </c>
      <c r="AI319">
        <f t="shared" si="102"/>
        <v>261427.00285200245</v>
      </c>
    </row>
    <row r="320" spans="2:35" x14ac:dyDescent="0.3">
      <c r="B320">
        <v>277</v>
      </c>
      <c r="C320">
        <v>80303.518700000001</v>
      </c>
      <c r="D320">
        <v>79262.872099999993</v>
      </c>
      <c r="E320">
        <v>79663.742199999993</v>
      </c>
      <c r="F320">
        <v>79481.452600000004</v>
      </c>
      <c r="G320">
        <v>79822.898300000001</v>
      </c>
      <c r="H320">
        <v>80008.755399999995</v>
      </c>
      <c r="I320">
        <v>9.8782166851822062</v>
      </c>
      <c r="J320">
        <v>9.8419196797242652</v>
      </c>
      <c r="K320">
        <v>9.7999361340613564</v>
      </c>
      <c r="L320">
        <v>9.7969165202032542</v>
      </c>
      <c r="M320">
        <v>9.7564740171159468</v>
      </c>
      <c r="N320">
        <v>9.7233193203108392</v>
      </c>
      <c r="P320">
        <f t="shared" si="84"/>
        <v>216042.98185546615</v>
      </c>
      <c r="Q320">
        <f t="shared" si="85"/>
        <v>215994.718291728</v>
      </c>
      <c r="R320">
        <f t="shared" si="86"/>
        <v>214334.34182184073</v>
      </c>
      <c r="S320">
        <f t="shared" si="87"/>
        <v>214426.04300609761</v>
      </c>
      <c r="T320">
        <f t="shared" si="88"/>
        <v>212871.32221347839</v>
      </c>
      <c r="U320">
        <f t="shared" si="89"/>
        <v>211690.82420932516</v>
      </c>
      <c r="V320">
        <f t="shared" si="96"/>
        <v>1</v>
      </c>
      <c r="W320">
        <f t="shared" si="97"/>
        <v>0</v>
      </c>
      <c r="X320">
        <f t="shared" si="98"/>
        <v>0</v>
      </c>
      <c r="Y320">
        <f t="shared" si="99"/>
        <v>0</v>
      </c>
      <c r="Z320">
        <f t="shared" si="100"/>
        <v>0</v>
      </c>
      <c r="AA320">
        <f t="shared" si="101"/>
        <v>0</v>
      </c>
      <c r="AC320">
        <f t="shared" si="90"/>
        <v>216042.98185546615</v>
      </c>
      <c r="AD320">
        <f t="shared" si="91"/>
        <v>215994.718291728</v>
      </c>
      <c r="AE320">
        <f t="shared" si="92"/>
        <v>214334.34182184073</v>
      </c>
      <c r="AF320">
        <f t="shared" si="93"/>
        <v>214426.04300609761</v>
      </c>
      <c r="AG320">
        <f t="shared" si="94"/>
        <v>212871.32221347839</v>
      </c>
      <c r="AH320">
        <f t="shared" si="95"/>
        <v>211690.82420932516</v>
      </c>
      <c r="AI320">
        <f t="shared" si="102"/>
        <v>216042.98185546615</v>
      </c>
    </row>
    <row r="321" spans="2:35" x14ac:dyDescent="0.3">
      <c r="B321">
        <v>278</v>
      </c>
      <c r="C321">
        <v>75291.623800000001</v>
      </c>
      <c r="D321">
        <v>75425.210699999996</v>
      </c>
      <c r="E321">
        <v>76476.176399999997</v>
      </c>
      <c r="F321">
        <v>76533.044200000004</v>
      </c>
      <c r="G321">
        <v>77706.333899999998</v>
      </c>
      <c r="H321">
        <v>78635.439299999998</v>
      </c>
      <c r="I321">
        <v>8.4618256934499243</v>
      </c>
      <c r="J321">
        <v>8.4606241360784402</v>
      </c>
      <c r="K321">
        <v>8.4597387803967266</v>
      </c>
      <c r="L321">
        <v>8.4595456611420907</v>
      </c>
      <c r="M321">
        <v>8.4585287623215279</v>
      </c>
      <c r="N321">
        <v>8.4576965406304492</v>
      </c>
      <c r="P321">
        <f t="shared" si="84"/>
        <v>178563.14700349772</v>
      </c>
      <c r="Q321">
        <f t="shared" si="85"/>
        <v>178393.51338235321</v>
      </c>
      <c r="R321">
        <f t="shared" si="86"/>
        <v>177315.9870119018</v>
      </c>
      <c r="S321">
        <f t="shared" si="87"/>
        <v>177253.32563426273</v>
      </c>
      <c r="T321">
        <f t="shared" si="88"/>
        <v>176049.52896964585</v>
      </c>
      <c r="U321">
        <f t="shared" si="89"/>
        <v>175095.45691891346</v>
      </c>
      <c r="V321">
        <f t="shared" si="96"/>
        <v>1</v>
      </c>
      <c r="W321">
        <f t="shared" si="97"/>
        <v>0</v>
      </c>
      <c r="X321">
        <f t="shared" si="98"/>
        <v>0</v>
      </c>
      <c r="Y321">
        <f t="shared" si="99"/>
        <v>0</v>
      </c>
      <c r="Z321">
        <f t="shared" si="100"/>
        <v>0</v>
      </c>
      <c r="AA321">
        <f t="shared" si="101"/>
        <v>0</v>
      </c>
      <c r="AC321">
        <f t="shared" si="90"/>
        <v>178563.14700349772</v>
      </c>
      <c r="AD321">
        <f t="shared" si="91"/>
        <v>178393.51338235321</v>
      </c>
      <c r="AE321">
        <f t="shared" si="92"/>
        <v>177315.9870119018</v>
      </c>
      <c r="AF321">
        <f t="shared" si="93"/>
        <v>177253.32563426273</v>
      </c>
      <c r="AG321">
        <f t="shared" si="94"/>
        <v>176049.52896964585</v>
      </c>
      <c r="AH321">
        <f t="shared" si="95"/>
        <v>175095.45691891346</v>
      </c>
      <c r="AI321">
        <f t="shared" si="102"/>
        <v>178563.14700349772</v>
      </c>
    </row>
    <row r="322" spans="2:35" x14ac:dyDescent="0.3">
      <c r="B322">
        <v>279</v>
      </c>
      <c r="C322">
        <v>71807.769400000005</v>
      </c>
      <c r="D322">
        <v>70304.293300000005</v>
      </c>
      <c r="E322">
        <v>70268.838900000002</v>
      </c>
      <c r="F322">
        <v>70059.475000000006</v>
      </c>
      <c r="G322">
        <v>69898.405199999994</v>
      </c>
      <c r="H322">
        <v>69803.7644</v>
      </c>
      <c r="I322">
        <v>10.734120882925671</v>
      </c>
      <c r="J322">
        <v>10.707898768754614</v>
      </c>
      <c r="K322">
        <v>10.695986309245917</v>
      </c>
      <c r="L322">
        <v>10.685641941360716</v>
      </c>
      <c r="M322">
        <v>10.666926622403976</v>
      </c>
      <c r="N322">
        <v>10.652598562397122</v>
      </c>
      <c r="P322">
        <f t="shared" si="84"/>
        <v>250215.85708777013</v>
      </c>
      <c r="Q322">
        <f t="shared" si="85"/>
        <v>250932.6697626384</v>
      </c>
      <c r="R322">
        <f t="shared" si="86"/>
        <v>250610.75037737752</v>
      </c>
      <c r="S322">
        <f t="shared" si="87"/>
        <v>250509.78324082147</v>
      </c>
      <c r="T322">
        <f t="shared" si="88"/>
        <v>250109.39347211929</v>
      </c>
      <c r="U322">
        <f t="shared" si="89"/>
        <v>249774.1924719137</v>
      </c>
      <c r="V322">
        <f t="shared" si="96"/>
        <v>0</v>
      </c>
      <c r="W322">
        <f t="shared" si="97"/>
        <v>1</v>
      </c>
      <c r="X322">
        <f t="shared" si="98"/>
        <v>0</v>
      </c>
      <c r="Y322">
        <f t="shared" si="99"/>
        <v>0</v>
      </c>
      <c r="Z322">
        <f t="shared" si="100"/>
        <v>0</v>
      </c>
      <c r="AA322">
        <f t="shared" si="101"/>
        <v>0</v>
      </c>
      <c r="AC322">
        <f t="shared" si="90"/>
        <v>250215.85708777013</v>
      </c>
      <c r="AD322">
        <f t="shared" si="91"/>
        <v>250932.6697626384</v>
      </c>
      <c r="AE322">
        <f t="shared" si="92"/>
        <v>250610.75037737752</v>
      </c>
      <c r="AF322">
        <f t="shared" si="93"/>
        <v>250509.78324082147</v>
      </c>
      <c r="AG322">
        <f t="shared" si="94"/>
        <v>250109.39347211929</v>
      </c>
      <c r="AH322">
        <f t="shared" si="95"/>
        <v>249774.1924719137</v>
      </c>
      <c r="AI322">
        <f t="shared" si="102"/>
        <v>250932.6697626384</v>
      </c>
    </row>
    <row r="323" spans="2:35" x14ac:dyDescent="0.3">
      <c r="B323">
        <v>280</v>
      </c>
      <c r="C323">
        <v>79216.580600000001</v>
      </c>
      <c r="D323">
        <v>78343.140400000004</v>
      </c>
      <c r="E323">
        <v>78600.394899999999</v>
      </c>
      <c r="F323">
        <v>78381.157699999996</v>
      </c>
      <c r="G323">
        <v>78653.615900000004</v>
      </c>
      <c r="H323">
        <v>78880.754400000005</v>
      </c>
      <c r="I323">
        <v>9.5274930184544999</v>
      </c>
      <c r="J323">
        <v>9.5104893721368011</v>
      </c>
      <c r="K323">
        <v>9.4966393391758679</v>
      </c>
      <c r="L323">
        <v>9.4896695858000299</v>
      </c>
      <c r="M323">
        <v>9.4780182174955527</v>
      </c>
      <c r="N323">
        <v>9.4639759807618287</v>
      </c>
      <c r="P323">
        <f t="shared" si="84"/>
        <v>206608.209953635</v>
      </c>
      <c r="Q323">
        <f t="shared" si="85"/>
        <v>206971.54076410402</v>
      </c>
      <c r="R323">
        <f t="shared" si="86"/>
        <v>206298.78527527605</v>
      </c>
      <c r="S323">
        <f t="shared" si="87"/>
        <v>206308.9298740009</v>
      </c>
      <c r="T323">
        <f t="shared" si="88"/>
        <v>205686.9306248666</v>
      </c>
      <c r="U323">
        <f t="shared" si="89"/>
        <v>205038.52502285488</v>
      </c>
      <c r="V323">
        <f t="shared" si="96"/>
        <v>0</v>
      </c>
      <c r="W323">
        <f t="shared" si="97"/>
        <v>1</v>
      </c>
      <c r="X323">
        <f t="shared" si="98"/>
        <v>0</v>
      </c>
      <c r="Y323">
        <f t="shared" si="99"/>
        <v>0</v>
      </c>
      <c r="Z323">
        <f t="shared" si="100"/>
        <v>0</v>
      </c>
      <c r="AA323">
        <f t="shared" si="101"/>
        <v>0</v>
      </c>
      <c r="AC323">
        <f t="shared" si="90"/>
        <v>206608.209953635</v>
      </c>
      <c r="AD323">
        <f t="shared" si="91"/>
        <v>206971.54076410402</v>
      </c>
      <c r="AE323">
        <f t="shared" si="92"/>
        <v>206298.78527527605</v>
      </c>
      <c r="AF323">
        <f t="shared" si="93"/>
        <v>206308.9298740009</v>
      </c>
      <c r="AG323">
        <f t="shared" si="94"/>
        <v>205686.9306248666</v>
      </c>
      <c r="AH323">
        <f t="shared" si="95"/>
        <v>205038.52502285488</v>
      </c>
      <c r="AI323">
        <f t="shared" si="102"/>
        <v>206971.54076410402</v>
      </c>
    </row>
    <row r="324" spans="2:35" x14ac:dyDescent="0.3">
      <c r="B324">
        <v>281</v>
      </c>
      <c r="C324">
        <v>72260.851699999999</v>
      </c>
      <c r="D324">
        <v>71639.760699999999</v>
      </c>
      <c r="E324">
        <v>72148.051500000001</v>
      </c>
      <c r="F324">
        <v>72157.644799999995</v>
      </c>
      <c r="G324">
        <v>72699.851599999995</v>
      </c>
      <c r="H324">
        <v>73208.739499999996</v>
      </c>
      <c r="I324">
        <v>9.7658289329280521</v>
      </c>
      <c r="J324">
        <v>9.7530213297560753</v>
      </c>
      <c r="K324">
        <v>9.744965386869783</v>
      </c>
      <c r="L324">
        <v>9.7399380756199552</v>
      </c>
      <c r="M324">
        <v>9.7307494296562016</v>
      </c>
      <c r="N324">
        <v>9.7220309942367553</v>
      </c>
      <c r="P324">
        <f t="shared" si="84"/>
        <v>220714.01628784154</v>
      </c>
      <c r="Q324">
        <f t="shared" si="85"/>
        <v>220950.87919268227</v>
      </c>
      <c r="R324">
        <f t="shared" si="86"/>
        <v>220200.91010609351</v>
      </c>
      <c r="S324">
        <f t="shared" si="87"/>
        <v>220040.49746859865</v>
      </c>
      <c r="T324">
        <f t="shared" si="88"/>
        <v>219222.63128968608</v>
      </c>
      <c r="U324">
        <f t="shared" si="89"/>
        <v>218452.19032710264</v>
      </c>
      <c r="V324">
        <f t="shared" si="96"/>
        <v>0</v>
      </c>
      <c r="W324">
        <f t="shared" si="97"/>
        <v>1</v>
      </c>
      <c r="X324">
        <f t="shared" si="98"/>
        <v>0</v>
      </c>
      <c r="Y324">
        <f t="shared" si="99"/>
        <v>0</v>
      </c>
      <c r="Z324">
        <f t="shared" si="100"/>
        <v>0</v>
      </c>
      <c r="AA324">
        <f t="shared" si="101"/>
        <v>0</v>
      </c>
      <c r="AC324">
        <f t="shared" si="90"/>
        <v>220714.01628784154</v>
      </c>
      <c r="AD324">
        <f t="shared" si="91"/>
        <v>220950.87919268227</v>
      </c>
      <c r="AE324">
        <f t="shared" si="92"/>
        <v>220200.91010609351</v>
      </c>
      <c r="AF324">
        <f t="shared" si="93"/>
        <v>220040.49746859865</v>
      </c>
      <c r="AG324">
        <f t="shared" si="94"/>
        <v>219222.63128968608</v>
      </c>
      <c r="AH324">
        <f t="shared" si="95"/>
        <v>218452.19032710264</v>
      </c>
      <c r="AI324">
        <f t="shared" si="102"/>
        <v>220950.87919268227</v>
      </c>
    </row>
    <row r="325" spans="2:35" x14ac:dyDescent="0.3">
      <c r="B325">
        <v>282</v>
      </c>
      <c r="C325">
        <v>83551.301900000006</v>
      </c>
      <c r="D325">
        <v>83179.871100000004</v>
      </c>
      <c r="E325">
        <v>83765.176200000002</v>
      </c>
      <c r="F325">
        <v>83792.6247</v>
      </c>
      <c r="G325">
        <v>84323.833299999998</v>
      </c>
      <c r="H325">
        <v>85142.523499999996</v>
      </c>
      <c r="I325">
        <v>9.988627310939</v>
      </c>
      <c r="J325">
        <v>9.965972700286569</v>
      </c>
      <c r="K325">
        <v>9.947244997989575</v>
      </c>
      <c r="L325">
        <v>9.9381630027023284</v>
      </c>
      <c r="M325">
        <v>9.9174795628658448</v>
      </c>
      <c r="N325">
        <v>9.8950639875358757</v>
      </c>
      <c r="P325">
        <f t="shared" si="84"/>
        <v>216107.51742816996</v>
      </c>
      <c r="Q325">
        <f t="shared" si="85"/>
        <v>215799.30990859709</v>
      </c>
      <c r="R325">
        <f t="shared" si="86"/>
        <v>214652.17373968725</v>
      </c>
      <c r="S325">
        <f t="shared" si="87"/>
        <v>214352.26538106985</v>
      </c>
      <c r="T325">
        <f t="shared" si="88"/>
        <v>213200.55358597537</v>
      </c>
      <c r="U325">
        <f t="shared" si="89"/>
        <v>211709.39612607629</v>
      </c>
      <c r="V325">
        <f t="shared" si="96"/>
        <v>1</v>
      </c>
      <c r="W325">
        <f t="shared" si="97"/>
        <v>0</v>
      </c>
      <c r="X325">
        <f t="shared" si="98"/>
        <v>0</v>
      </c>
      <c r="Y325">
        <f t="shared" si="99"/>
        <v>0</v>
      </c>
      <c r="Z325">
        <f t="shared" si="100"/>
        <v>0</v>
      </c>
      <c r="AA325">
        <f t="shared" si="101"/>
        <v>0</v>
      </c>
      <c r="AC325">
        <f t="shared" si="90"/>
        <v>216107.51742816996</v>
      </c>
      <c r="AD325">
        <f t="shared" si="91"/>
        <v>215799.30990859709</v>
      </c>
      <c r="AE325">
        <f t="shared" si="92"/>
        <v>214652.17373968725</v>
      </c>
      <c r="AF325">
        <f t="shared" si="93"/>
        <v>214352.26538106985</v>
      </c>
      <c r="AG325">
        <f t="shared" si="94"/>
        <v>213200.55358597537</v>
      </c>
      <c r="AH325">
        <f t="shared" si="95"/>
        <v>211709.39612607629</v>
      </c>
      <c r="AI325">
        <f t="shared" si="102"/>
        <v>216107.51742816996</v>
      </c>
    </row>
    <row r="326" spans="2:35" x14ac:dyDescent="0.3">
      <c r="B326">
        <v>283</v>
      </c>
      <c r="C326">
        <v>90659.210500000001</v>
      </c>
      <c r="D326">
        <v>90027.752900000007</v>
      </c>
      <c r="E326">
        <v>90755.248099999997</v>
      </c>
      <c r="F326">
        <v>90804.164499999999</v>
      </c>
      <c r="G326">
        <v>91249.8226</v>
      </c>
      <c r="H326">
        <v>91747.793300000005</v>
      </c>
      <c r="I326">
        <v>9.3833880010311699</v>
      </c>
      <c r="J326">
        <v>9.3572551215964523</v>
      </c>
      <c r="K326">
        <v>9.3302241793066916</v>
      </c>
      <c r="L326">
        <v>9.3181763020230584</v>
      </c>
      <c r="M326">
        <v>9.2929673931817423</v>
      </c>
      <c r="N326">
        <v>9.2770489291912579</v>
      </c>
      <c r="P326">
        <f t="shared" si="84"/>
        <v>190842.42953093513</v>
      </c>
      <c r="Q326">
        <f t="shared" si="85"/>
        <v>190689.90074789355</v>
      </c>
      <c r="R326">
        <f t="shared" si="86"/>
        <v>189151.47727920077</v>
      </c>
      <c r="S326">
        <f t="shared" si="87"/>
        <v>188741.12456069177</v>
      </c>
      <c r="T326">
        <f t="shared" si="88"/>
        <v>187539.19919545227</v>
      </c>
      <c r="U326">
        <f t="shared" si="89"/>
        <v>186563.67457573774</v>
      </c>
      <c r="V326">
        <f t="shared" si="96"/>
        <v>1</v>
      </c>
      <c r="W326">
        <f t="shared" si="97"/>
        <v>0</v>
      </c>
      <c r="X326">
        <f t="shared" si="98"/>
        <v>0</v>
      </c>
      <c r="Y326">
        <f t="shared" si="99"/>
        <v>0</v>
      </c>
      <c r="Z326">
        <f t="shared" si="100"/>
        <v>0</v>
      </c>
      <c r="AA326">
        <f t="shared" si="101"/>
        <v>0</v>
      </c>
      <c r="AC326">
        <f t="shared" si="90"/>
        <v>190842.42953093513</v>
      </c>
      <c r="AD326">
        <f t="shared" si="91"/>
        <v>190689.90074789355</v>
      </c>
      <c r="AE326">
        <f t="shared" si="92"/>
        <v>189151.47727920077</v>
      </c>
      <c r="AF326">
        <f t="shared" si="93"/>
        <v>188741.12456069177</v>
      </c>
      <c r="AG326">
        <f t="shared" si="94"/>
        <v>187539.19919545227</v>
      </c>
      <c r="AH326">
        <f t="shared" si="95"/>
        <v>186563.67457573774</v>
      </c>
      <c r="AI326">
        <f t="shared" si="102"/>
        <v>190842.42953093513</v>
      </c>
    </row>
    <row r="327" spans="2:35" x14ac:dyDescent="0.3">
      <c r="B327">
        <v>284</v>
      </c>
      <c r="C327">
        <v>76552.193899999998</v>
      </c>
      <c r="D327">
        <v>76360.149600000004</v>
      </c>
      <c r="E327">
        <v>76993.305900000007</v>
      </c>
      <c r="F327">
        <v>77109.4617</v>
      </c>
      <c r="G327">
        <v>77822.618499999997</v>
      </c>
      <c r="H327">
        <v>78870.501199999999</v>
      </c>
      <c r="I327">
        <v>8.7829007047302365</v>
      </c>
      <c r="J327">
        <v>8.7632197641271894</v>
      </c>
      <c r="K327">
        <v>8.7456106801868181</v>
      </c>
      <c r="L327">
        <v>8.742540738016066</v>
      </c>
      <c r="M327">
        <v>8.7286204167356463</v>
      </c>
      <c r="N327">
        <v>8.7069233499109959</v>
      </c>
      <c r="P327">
        <f t="shared" si="84"/>
        <v>186934.82724190707</v>
      </c>
      <c r="Q327">
        <f t="shared" si="85"/>
        <v>186536.44332381565</v>
      </c>
      <c r="R327">
        <f t="shared" si="86"/>
        <v>185375.01450560454</v>
      </c>
      <c r="S327">
        <f t="shared" si="87"/>
        <v>185166.760440482</v>
      </c>
      <c r="T327">
        <f t="shared" si="88"/>
        <v>184035.9940020694</v>
      </c>
      <c r="U327">
        <f t="shared" si="89"/>
        <v>182337.19929732988</v>
      </c>
      <c r="V327">
        <f t="shared" si="96"/>
        <v>1</v>
      </c>
      <c r="W327">
        <f t="shared" si="97"/>
        <v>0</v>
      </c>
      <c r="X327">
        <f t="shared" si="98"/>
        <v>0</v>
      </c>
      <c r="Y327">
        <f t="shared" si="99"/>
        <v>0</v>
      </c>
      <c r="Z327">
        <f t="shared" si="100"/>
        <v>0</v>
      </c>
      <c r="AA327">
        <f t="shared" si="101"/>
        <v>0</v>
      </c>
      <c r="AC327">
        <f t="shared" si="90"/>
        <v>186934.82724190707</v>
      </c>
      <c r="AD327">
        <f t="shared" si="91"/>
        <v>186536.44332381565</v>
      </c>
      <c r="AE327">
        <f t="shared" si="92"/>
        <v>185375.01450560454</v>
      </c>
      <c r="AF327">
        <f t="shared" si="93"/>
        <v>185166.760440482</v>
      </c>
      <c r="AG327">
        <f t="shared" si="94"/>
        <v>184035.9940020694</v>
      </c>
      <c r="AH327">
        <f t="shared" si="95"/>
        <v>182337.19929732988</v>
      </c>
      <c r="AI327">
        <f t="shared" si="102"/>
        <v>186934.82724190707</v>
      </c>
    </row>
    <row r="328" spans="2:35" x14ac:dyDescent="0.3">
      <c r="B328">
        <v>285</v>
      </c>
      <c r="C328">
        <v>78417.011400000003</v>
      </c>
      <c r="D328">
        <v>77555.916700000002</v>
      </c>
      <c r="E328">
        <v>78100.998999999996</v>
      </c>
      <c r="F328">
        <v>77789.835699999996</v>
      </c>
      <c r="G328">
        <v>78523.572400000005</v>
      </c>
      <c r="H328">
        <v>78782.8315</v>
      </c>
      <c r="I328">
        <v>10.034575978091041</v>
      </c>
      <c r="J328">
        <v>10.003422131515162</v>
      </c>
      <c r="K328">
        <v>9.9673807504978154</v>
      </c>
      <c r="L328">
        <v>9.9644804303898997</v>
      </c>
      <c r="M328">
        <v>9.9320047498398196</v>
      </c>
      <c r="N328">
        <v>9.9009652700724402</v>
      </c>
      <c r="P328">
        <f t="shared" si="84"/>
        <v>222620.26794273121</v>
      </c>
      <c r="Q328">
        <f t="shared" si="85"/>
        <v>222546.74724545487</v>
      </c>
      <c r="R328">
        <f t="shared" si="86"/>
        <v>220920.42351493443</v>
      </c>
      <c r="S328">
        <f t="shared" si="87"/>
        <v>221144.577211697</v>
      </c>
      <c r="T328">
        <f t="shared" si="88"/>
        <v>219436.57009519456</v>
      </c>
      <c r="U328">
        <f t="shared" si="89"/>
        <v>218246.12660217323</v>
      </c>
      <c r="V328">
        <f t="shared" si="96"/>
        <v>1</v>
      </c>
      <c r="W328">
        <f t="shared" si="97"/>
        <v>0</v>
      </c>
      <c r="X328">
        <f t="shared" si="98"/>
        <v>0</v>
      </c>
      <c r="Y328">
        <f t="shared" si="99"/>
        <v>0</v>
      </c>
      <c r="Z328">
        <f t="shared" si="100"/>
        <v>0</v>
      </c>
      <c r="AA328">
        <f t="shared" si="101"/>
        <v>0</v>
      </c>
      <c r="AC328">
        <f t="shared" si="90"/>
        <v>222620.26794273121</v>
      </c>
      <c r="AD328">
        <f t="shared" si="91"/>
        <v>222546.74724545487</v>
      </c>
      <c r="AE328">
        <f t="shared" si="92"/>
        <v>220920.42351493443</v>
      </c>
      <c r="AF328">
        <f t="shared" si="93"/>
        <v>221144.577211697</v>
      </c>
      <c r="AG328">
        <f t="shared" si="94"/>
        <v>219436.57009519456</v>
      </c>
      <c r="AH328">
        <f t="shared" si="95"/>
        <v>218246.12660217323</v>
      </c>
      <c r="AI328">
        <f t="shared" si="102"/>
        <v>222620.26794273121</v>
      </c>
    </row>
    <row r="329" spans="2:35" x14ac:dyDescent="0.3">
      <c r="B329">
        <v>286</v>
      </c>
      <c r="C329">
        <v>72101.632100000003</v>
      </c>
      <c r="D329">
        <v>71651.994900000005</v>
      </c>
      <c r="E329">
        <v>72200.228700000007</v>
      </c>
      <c r="F329">
        <v>72332.783800000005</v>
      </c>
      <c r="G329">
        <v>72854.563200000004</v>
      </c>
      <c r="H329">
        <v>73483.0484</v>
      </c>
      <c r="I329">
        <v>11.147018736492436</v>
      </c>
      <c r="J329">
        <v>11.12776492956815</v>
      </c>
      <c r="K329">
        <v>11.115813279141554</v>
      </c>
      <c r="L329">
        <v>11.106039321592981</v>
      </c>
      <c r="M329">
        <v>11.096117199026896</v>
      </c>
      <c r="N329">
        <v>11.075758642612582</v>
      </c>
      <c r="P329">
        <f t="shared" si="84"/>
        <v>262308.92999477312</v>
      </c>
      <c r="Q329">
        <f t="shared" si="85"/>
        <v>262180.95298704447</v>
      </c>
      <c r="R329">
        <f t="shared" si="86"/>
        <v>261274.1696742466</v>
      </c>
      <c r="S329">
        <f t="shared" si="87"/>
        <v>260848.39584778939</v>
      </c>
      <c r="T329">
        <f t="shared" si="88"/>
        <v>260028.95277080688</v>
      </c>
      <c r="U329">
        <f t="shared" si="89"/>
        <v>258789.71087837746</v>
      </c>
      <c r="V329">
        <f t="shared" si="96"/>
        <v>1</v>
      </c>
      <c r="W329">
        <f t="shared" si="97"/>
        <v>0</v>
      </c>
      <c r="X329">
        <f t="shared" si="98"/>
        <v>0</v>
      </c>
      <c r="Y329">
        <f t="shared" si="99"/>
        <v>0</v>
      </c>
      <c r="Z329">
        <f t="shared" si="100"/>
        <v>0</v>
      </c>
      <c r="AA329">
        <f t="shared" si="101"/>
        <v>0</v>
      </c>
      <c r="AC329">
        <f t="shared" si="90"/>
        <v>262308.92999477312</v>
      </c>
      <c r="AD329">
        <f t="shared" si="91"/>
        <v>262180.95298704447</v>
      </c>
      <c r="AE329">
        <f t="shared" si="92"/>
        <v>261274.1696742466</v>
      </c>
      <c r="AF329">
        <f t="shared" si="93"/>
        <v>260848.39584778939</v>
      </c>
      <c r="AG329">
        <f t="shared" si="94"/>
        <v>260028.95277080688</v>
      </c>
      <c r="AH329">
        <f t="shared" si="95"/>
        <v>258789.71087837746</v>
      </c>
      <c r="AI329">
        <f t="shared" si="102"/>
        <v>262308.92999477312</v>
      </c>
    </row>
    <row r="330" spans="2:35" x14ac:dyDescent="0.3">
      <c r="B330">
        <v>287</v>
      </c>
      <c r="C330">
        <v>72737.011599999998</v>
      </c>
      <c r="D330">
        <v>72387.949200000003</v>
      </c>
      <c r="E330">
        <v>72841.617299999998</v>
      </c>
      <c r="F330">
        <v>72732.100099999996</v>
      </c>
      <c r="G330">
        <v>73340.023499999996</v>
      </c>
      <c r="H330">
        <v>74031.512499999997</v>
      </c>
      <c r="I330">
        <v>9.5853668272887553</v>
      </c>
      <c r="J330">
        <v>9.5514307173966433</v>
      </c>
      <c r="K330">
        <v>9.5289597506224748</v>
      </c>
      <c r="L330">
        <v>9.5221320847985922</v>
      </c>
      <c r="M330">
        <v>9.4930603931794213</v>
      </c>
      <c r="N330">
        <v>9.4612401932244641</v>
      </c>
      <c r="P330">
        <f t="shared" si="84"/>
        <v>214823.99321866265</v>
      </c>
      <c r="Q330">
        <f t="shared" si="85"/>
        <v>214154.97232189929</v>
      </c>
      <c r="R330">
        <f t="shared" si="86"/>
        <v>213027.17521867424</v>
      </c>
      <c r="S330">
        <f t="shared" si="87"/>
        <v>212931.86244395777</v>
      </c>
      <c r="T330">
        <f t="shared" si="88"/>
        <v>211451.78829538263</v>
      </c>
      <c r="U330">
        <f t="shared" si="89"/>
        <v>209805.69329673389</v>
      </c>
      <c r="V330">
        <f t="shared" si="96"/>
        <v>1</v>
      </c>
      <c r="W330">
        <f t="shared" si="97"/>
        <v>0</v>
      </c>
      <c r="X330">
        <f t="shared" si="98"/>
        <v>0</v>
      </c>
      <c r="Y330">
        <f t="shared" si="99"/>
        <v>0</v>
      </c>
      <c r="Z330">
        <f t="shared" si="100"/>
        <v>0</v>
      </c>
      <c r="AA330">
        <f t="shared" si="101"/>
        <v>0</v>
      </c>
      <c r="AC330">
        <f t="shared" si="90"/>
        <v>214823.99321866265</v>
      </c>
      <c r="AD330">
        <f t="shared" si="91"/>
        <v>214154.97232189929</v>
      </c>
      <c r="AE330">
        <f t="shared" si="92"/>
        <v>213027.17521867424</v>
      </c>
      <c r="AF330">
        <f t="shared" si="93"/>
        <v>212931.86244395777</v>
      </c>
      <c r="AG330">
        <f t="shared" si="94"/>
        <v>211451.78829538263</v>
      </c>
      <c r="AH330">
        <f t="shared" si="95"/>
        <v>209805.69329673389</v>
      </c>
      <c r="AI330">
        <f t="shared" si="102"/>
        <v>214823.99321866265</v>
      </c>
    </row>
    <row r="331" spans="2:35" x14ac:dyDescent="0.3">
      <c r="B331">
        <v>288</v>
      </c>
      <c r="C331">
        <v>89043.278699999995</v>
      </c>
      <c r="D331">
        <v>88055.215200000006</v>
      </c>
      <c r="E331">
        <v>88241.497600000002</v>
      </c>
      <c r="F331">
        <v>87799.588099999994</v>
      </c>
      <c r="G331">
        <v>88130.622600000002</v>
      </c>
      <c r="H331">
        <v>88270.6492</v>
      </c>
      <c r="I331">
        <v>9.6599964761545145</v>
      </c>
      <c r="J331">
        <v>9.6047373014529427</v>
      </c>
      <c r="K331">
        <v>9.5751966847446184</v>
      </c>
      <c r="L331">
        <v>9.5518932575420852</v>
      </c>
      <c r="M331">
        <v>9.5146462486276189</v>
      </c>
      <c r="N331">
        <v>9.4765780144092542</v>
      </c>
      <c r="P331">
        <f t="shared" si="84"/>
        <v>200756.61558463544</v>
      </c>
      <c r="Q331">
        <f t="shared" si="85"/>
        <v>200086.90384358828</v>
      </c>
      <c r="R331">
        <f t="shared" si="86"/>
        <v>199014.40294233855</v>
      </c>
      <c r="S331">
        <f t="shared" si="87"/>
        <v>198757.20962626254</v>
      </c>
      <c r="T331">
        <f t="shared" si="88"/>
        <v>197308.76485882857</v>
      </c>
      <c r="U331">
        <f t="shared" si="89"/>
        <v>196026.69123227766</v>
      </c>
      <c r="V331">
        <f t="shared" si="96"/>
        <v>1</v>
      </c>
      <c r="W331">
        <f t="shared" si="97"/>
        <v>0</v>
      </c>
      <c r="X331">
        <f t="shared" si="98"/>
        <v>0</v>
      </c>
      <c r="Y331">
        <f t="shared" si="99"/>
        <v>0</v>
      </c>
      <c r="Z331">
        <f t="shared" si="100"/>
        <v>0</v>
      </c>
      <c r="AA331">
        <f t="shared" si="101"/>
        <v>0</v>
      </c>
      <c r="AC331">
        <f t="shared" si="90"/>
        <v>200756.61558463544</v>
      </c>
      <c r="AD331">
        <f t="shared" si="91"/>
        <v>200086.90384358828</v>
      </c>
      <c r="AE331">
        <f t="shared" si="92"/>
        <v>199014.40294233855</v>
      </c>
      <c r="AF331">
        <f t="shared" si="93"/>
        <v>198757.20962626254</v>
      </c>
      <c r="AG331">
        <f t="shared" si="94"/>
        <v>197308.76485882857</v>
      </c>
      <c r="AH331">
        <f t="shared" si="95"/>
        <v>196026.69123227766</v>
      </c>
      <c r="AI331">
        <f t="shared" si="102"/>
        <v>200756.61558463544</v>
      </c>
    </row>
    <row r="332" spans="2:35" x14ac:dyDescent="0.3">
      <c r="B332">
        <v>289</v>
      </c>
      <c r="C332">
        <v>84091.944300000003</v>
      </c>
      <c r="D332">
        <v>82894.317800000004</v>
      </c>
      <c r="E332">
        <v>83095.781400000007</v>
      </c>
      <c r="F332">
        <v>82915.719899999996</v>
      </c>
      <c r="G332">
        <v>82936.794999999998</v>
      </c>
      <c r="H332">
        <v>83130.703200000004</v>
      </c>
      <c r="I332">
        <v>10.844501471657376</v>
      </c>
      <c r="J332">
        <v>10.812060996866212</v>
      </c>
      <c r="K332">
        <v>10.789616070789064</v>
      </c>
      <c r="L332">
        <v>10.784768468284192</v>
      </c>
      <c r="M332">
        <v>10.760881531220814</v>
      </c>
      <c r="N332">
        <v>10.731462682171101</v>
      </c>
      <c r="P332">
        <f t="shared" si="84"/>
        <v>241243.09984972127</v>
      </c>
      <c r="Q332">
        <f t="shared" si="85"/>
        <v>241467.5121059863</v>
      </c>
      <c r="R332">
        <f t="shared" si="86"/>
        <v>240592.70072367191</v>
      </c>
      <c r="S332">
        <f t="shared" si="87"/>
        <v>240627.33414852576</v>
      </c>
      <c r="T332">
        <f t="shared" si="88"/>
        <v>239889.65093662444</v>
      </c>
      <c r="U332">
        <f t="shared" si="89"/>
        <v>238813.17726513301</v>
      </c>
      <c r="V332">
        <f t="shared" si="96"/>
        <v>0</v>
      </c>
      <c r="W332">
        <f t="shared" si="97"/>
        <v>1</v>
      </c>
      <c r="X332">
        <f t="shared" si="98"/>
        <v>0</v>
      </c>
      <c r="Y332">
        <f t="shared" si="99"/>
        <v>0</v>
      </c>
      <c r="Z332">
        <f t="shared" si="100"/>
        <v>0</v>
      </c>
      <c r="AA332">
        <f t="shared" si="101"/>
        <v>0</v>
      </c>
      <c r="AC332">
        <f t="shared" si="90"/>
        <v>241243.09984972127</v>
      </c>
      <c r="AD332">
        <f t="shared" si="91"/>
        <v>241467.5121059863</v>
      </c>
      <c r="AE332">
        <f t="shared" si="92"/>
        <v>240592.70072367191</v>
      </c>
      <c r="AF332">
        <f t="shared" si="93"/>
        <v>240627.33414852576</v>
      </c>
      <c r="AG332">
        <f t="shared" si="94"/>
        <v>239889.65093662444</v>
      </c>
      <c r="AH332">
        <f t="shared" si="95"/>
        <v>238813.17726513301</v>
      </c>
      <c r="AI332">
        <f t="shared" si="102"/>
        <v>241467.5121059863</v>
      </c>
    </row>
    <row r="333" spans="2:35" x14ac:dyDescent="0.3">
      <c r="B333">
        <v>290</v>
      </c>
      <c r="C333">
        <v>74770.199800000002</v>
      </c>
      <c r="D333">
        <v>73577.174899999998</v>
      </c>
      <c r="E333">
        <v>73757.5726</v>
      </c>
      <c r="F333">
        <v>73645.419399999999</v>
      </c>
      <c r="G333">
        <v>73577.494600000005</v>
      </c>
      <c r="H333">
        <v>73860.558799999999</v>
      </c>
      <c r="I333">
        <v>9.9339039982098125</v>
      </c>
      <c r="J333">
        <v>9.9060500934061562</v>
      </c>
      <c r="K333">
        <v>9.8832297510714167</v>
      </c>
      <c r="L333">
        <v>9.8694024599608436</v>
      </c>
      <c r="M333">
        <v>9.8468922956572538</v>
      </c>
      <c r="N333">
        <v>9.8235695022323934</v>
      </c>
      <c r="P333">
        <f t="shared" si="84"/>
        <v>223246.92014629435</v>
      </c>
      <c r="Q333">
        <f t="shared" si="85"/>
        <v>223604.32790218468</v>
      </c>
      <c r="R333">
        <f t="shared" si="86"/>
        <v>222739.31993214251</v>
      </c>
      <c r="S333">
        <f t="shared" si="87"/>
        <v>222436.65439882531</v>
      </c>
      <c r="T333">
        <f t="shared" si="88"/>
        <v>221829.2742697176</v>
      </c>
      <c r="U333">
        <f t="shared" si="89"/>
        <v>220846.52626697178</v>
      </c>
      <c r="V333">
        <f t="shared" si="96"/>
        <v>0</v>
      </c>
      <c r="W333">
        <f t="shared" si="97"/>
        <v>1</v>
      </c>
      <c r="X333">
        <f t="shared" si="98"/>
        <v>0</v>
      </c>
      <c r="Y333">
        <f t="shared" si="99"/>
        <v>0</v>
      </c>
      <c r="Z333">
        <f t="shared" si="100"/>
        <v>0</v>
      </c>
      <c r="AA333">
        <f t="shared" si="101"/>
        <v>0</v>
      </c>
      <c r="AC333">
        <f t="shared" si="90"/>
        <v>223246.92014629435</v>
      </c>
      <c r="AD333">
        <f t="shared" si="91"/>
        <v>223604.32790218468</v>
      </c>
      <c r="AE333">
        <f t="shared" si="92"/>
        <v>222739.31993214251</v>
      </c>
      <c r="AF333">
        <f t="shared" si="93"/>
        <v>222436.65439882531</v>
      </c>
      <c r="AG333">
        <f t="shared" si="94"/>
        <v>221829.2742697176</v>
      </c>
      <c r="AH333">
        <f t="shared" si="95"/>
        <v>220846.52626697178</v>
      </c>
      <c r="AI333">
        <f t="shared" si="102"/>
        <v>223604.32790218468</v>
      </c>
    </row>
    <row r="334" spans="2:35" x14ac:dyDescent="0.3">
      <c r="B334">
        <v>291</v>
      </c>
      <c r="C334">
        <v>71045.427500000005</v>
      </c>
      <c r="D334">
        <v>70474.778300000005</v>
      </c>
      <c r="E334">
        <v>71137.586800000005</v>
      </c>
      <c r="F334">
        <v>71220.759699999995</v>
      </c>
      <c r="G334">
        <v>71835.024900000004</v>
      </c>
      <c r="H334">
        <v>72487.197400000005</v>
      </c>
      <c r="I334">
        <v>10.097178832862046</v>
      </c>
      <c r="J334">
        <v>10.056761599894742</v>
      </c>
      <c r="K334">
        <v>10.026143272457626</v>
      </c>
      <c r="L334">
        <v>10.004135958743458</v>
      </c>
      <c r="M334">
        <v>9.9635596259354635</v>
      </c>
      <c r="N334">
        <v>9.9212273461470506</v>
      </c>
      <c r="P334">
        <f t="shared" si="84"/>
        <v>231869.93748586136</v>
      </c>
      <c r="Q334">
        <f t="shared" si="85"/>
        <v>231228.06969684223</v>
      </c>
      <c r="R334">
        <f t="shared" si="86"/>
        <v>229646.71137372876</v>
      </c>
      <c r="S334">
        <f t="shared" si="87"/>
        <v>228903.31906230375</v>
      </c>
      <c r="T334">
        <f t="shared" si="88"/>
        <v>227071.76387806388</v>
      </c>
      <c r="U334">
        <f t="shared" si="89"/>
        <v>225149.62298441149</v>
      </c>
      <c r="V334">
        <f t="shared" si="96"/>
        <v>1</v>
      </c>
      <c r="W334">
        <f t="shared" si="97"/>
        <v>0</v>
      </c>
      <c r="X334">
        <f t="shared" si="98"/>
        <v>0</v>
      </c>
      <c r="Y334">
        <f t="shared" si="99"/>
        <v>0</v>
      </c>
      <c r="Z334">
        <f t="shared" si="100"/>
        <v>0</v>
      </c>
      <c r="AA334">
        <f t="shared" si="101"/>
        <v>0</v>
      </c>
      <c r="AC334">
        <f t="shared" si="90"/>
        <v>231869.93748586136</v>
      </c>
      <c r="AD334">
        <f t="shared" si="91"/>
        <v>231228.06969684223</v>
      </c>
      <c r="AE334">
        <f t="shared" si="92"/>
        <v>229646.71137372876</v>
      </c>
      <c r="AF334">
        <f t="shared" si="93"/>
        <v>228903.31906230375</v>
      </c>
      <c r="AG334">
        <f t="shared" si="94"/>
        <v>227071.76387806388</v>
      </c>
      <c r="AH334">
        <f t="shared" si="95"/>
        <v>225149.62298441149</v>
      </c>
      <c r="AI334">
        <f t="shared" si="102"/>
        <v>231869.93748586136</v>
      </c>
    </row>
    <row r="335" spans="2:35" x14ac:dyDescent="0.3">
      <c r="B335">
        <v>292</v>
      </c>
      <c r="C335">
        <v>72603.674100000004</v>
      </c>
      <c r="D335">
        <v>72148.726299999995</v>
      </c>
      <c r="E335">
        <v>72559.569799999997</v>
      </c>
      <c r="F335">
        <v>72482.9277</v>
      </c>
      <c r="G335">
        <v>73196.394799999995</v>
      </c>
      <c r="H335">
        <v>73753.420199999993</v>
      </c>
      <c r="I335">
        <v>8.4627001471976637</v>
      </c>
      <c r="J335">
        <v>8.4410645089400109</v>
      </c>
      <c r="K335">
        <v>8.4162195760258101</v>
      </c>
      <c r="L335">
        <v>8.4063887115471889</v>
      </c>
      <c r="M335">
        <v>8.3874751454269862</v>
      </c>
      <c r="N335">
        <v>8.3628146529615055</v>
      </c>
      <c r="P335">
        <f t="shared" si="84"/>
        <v>181277.3303159299</v>
      </c>
      <c r="Q335">
        <f t="shared" si="85"/>
        <v>181083.20896820031</v>
      </c>
      <c r="R335">
        <f t="shared" si="86"/>
        <v>179927.01748077432</v>
      </c>
      <c r="S335">
        <f t="shared" si="87"/>
        <v>179708.73364641567</v>
      </c>
      <c r="T335">
        <f t="shared" si="88"/>
        <v>178427.85956280958</v>
      </c>
      <c r="U335">
        <f t="shared" si="89"/>
        <v>177131.01938884516</v>
      </c>
      <c r="V335">
        <f t="shared" si="96"/>
        <v>1</v>
      </c>
      <c r="W335">
        <f t="shared" si="97"/>
        <v>0</v>
      </c>
      <c r="X335">
        <f t="shared" si="98"/>
        <v>0</v>
      </c>
      <c r="Y335">
        <f t="shared" si="99"/>
        <v>0</v>
      </c>
      <c r="Z335">
        <f t="shared" si="100"/>
        <v>0</v>
      </c>
      <c r="AA335">
        <f t="shared" si="101"/>
        <v>0</v>
      </c>
      <c r="AC335">
        <f t="shared" si="90"/>
        <v>181277.3303159299</v>
      </c>
      <c r="AD335">
        <f t="shared" si="91"/>
        <v>181083.20896820031</v>
      </c>
      <c r="AE335">
        <f t="shared" si="92"/>
        <v>179927.01748077432</v>
      </c>
      <c r="AF335">
        <f t="shared" si="93"/>
        <v>179708.73364641567</v>
      </c>
      <c r="AG335">
        <f t="shared" si="94"/>
        <v>178427.85956280958</v>
      </c>
      <c r="AH335">
        <f t="shared" si="95"/>
        <v>177131.01938884516</v>
      </c>
      <c r="AI335">
        <f t="shared" si="102"/>
        <v>181277.3303159299</v>
      </c>
    </row>
    <row r="336" spans="2:35" x14ac:dyDescent="0.3">
      <c r="B336">
        <v>293</v>
      </c>
      <c r="C336">
        <v>71487.745899999994</v>
      </c>
      <c r="D336">
        <v>71055.802100000001</v>
      </c>
      <c r="E336">
        <v>72041.637600000002</v>
      </c>
      <c r="F336">
        <v>72074.298599999995</v>
      </c>
      <c r="G336">
        <v>72717.961800000005</v>
      </c>
      <c r="H336">
        <v>73494.6201</v>
      </c>
      <c r="I336">
        <v>10.490921451859167</v>
      </c>
      <c r="J336">
        <v>10.440405147021604</v>
      </c>
      <c r="K336">
        <v>10.38713716879368</v>
      </c>
      <c r="L336">
        <v>10.369681666254525</v>
      </c>
      <c r="M336">
        <v>10.329769911032672</v>
      </c>
      <c r="N336">
        <v>10.282018274591644</v>
      </c>
      <c r="P336">
        <f t="shared" si="84"/>
        <v>243239.89765577501</v>
      </c>
      <c r="Q336">
        <f t="shared" si="85"/>
        <v>242156.3523106481</v>
      </c>
      <c r="R336">
        <f t="shared" si="86"/>
        <v>239572.47746381041</v>
      </c>
      <c r="S336">
        <f t="shared" si="87"/>
        <v>239016.15138763579</v>
      </c>
      <c r="T336">
        <f t="shared" si="88"/>
        <v>237175.13553098019</v>
      </c>
      <c r="U336">
        <f t="shared" si="89"/>
        <v>234965.92813774932</v>
      </c>
      <c r="V336">
        <f t="shared" si="96"/>
        <v>1</v>
      </c>
      <c r="W336">
        <f t="shared" si="97"/>
        <v>0</v>
      </c>
      <c r="X336">
        <f t="shared" si="98"/>
        <v>0</v>
      </c>
      <c r="Y336">
        <f t="shared" si="99"/>
        <v>0</v>
      </c>
      <c r="Z336">
        <f t="shared" si="100"/>
        <v>0</v>
      </c>
      <c r="AA336">
        <f t="shared" si="101"/>
        <v>0</v>
      </c>
      <c r="AC336">
        <f t="shared" si="90"/>
        <v>243239.89765577501</v>
      </c>
      <c r="AD336">
        <f t="shared" si="91"/>
        <v>242156.3523106481</v>
      </c>
      <c r="AE336">
        <f t="shared" si="92"/>
        <v>239572.47746381041</v>
      </c>
      <c r="AF336">
        <f t="shared" si="93"/>
        <v>239016.15138763579</v>
      </c>
      <c r="AG336">
        <f t="shared" si="94"/>
        <v>237175.13553098019</v>
      </c>
      <c r="AH336">
        <f t="shared" si="95"/>
        <v>234965.92813774932</v>
      </c>
      <c r="AI336">
        <f t="shared" si="102"/>
        <v>243239.89765577501</v>
      </c>
    </row>
    <row r="337" spans="2:35" x14ac:dyDescent="0.3">
      <c r="B337">
        <v>294</v>
      </c>
      <c r="C337">
        <v>69655.337299999999</v>
      </c>
      <c r="D337">
        <v>69316.012799999997</v>
      </c>
      <c r="E337">
        <v>70034.960900000005</v>
      </c>
      <c r="F337">
        <v>70090.623200000002</v>
      </c>
      <c r="G337">
        <v>70975.534499999994</v>
      </c>
      <c r="H337">
        <v>71610.568599999999</v>
      </c>
      <c r="I337">
        <v>10.692719785461513</v>
      </c>
      <c r="J337">
        <v>10.642867157939754</v>
      </c>
      <c r="K337">
        <v>10.610602507238694</v>
      </c>
      <c r="L337">
        <v>10.590968760435734</v>
      </c>
      <c r="M337">
        <v>10.556393836404579</v>
      </c>
      <c r="N337">
        <v>10.522313804249373</v>
      </c>
      <c r="P337">
        <f t="shared" si="84"/>
        <v>251126.25626384537</v>
      </c>
      <c r="Q337">
        <f t="shared" si="85"/>
        <v>249970.00193819261</v>
      </c>
      <c r="R337">
        <f t="shared" si="86"/>
        <v>248283.1143171608</v>
      </c>
      <c r="S337">
        <f t="shared" si="87"/>
        <v>247638.439613072</v>
      </c>
      <c r="T337">
        <f t="shared" si="88"/>
        <v>245716.28059213737</v>
      </c>
      <c r="U337">
        <f t="shared" si="89"/>
        <v>244058.84552748123</v>
      </c>
      <c r="V337">
        <f t="shared" si="96"/>
        <v>1</v>
      </c>
      <c r="W337">
        <f t="shared" si="97"/>
        <v>0</v>
      </c>
      <c r="X337">
        <f t="shared" si="98"/>
        <v>0</v>
      </c>
      <c r="Y337">
        <f t="shared" si="99"/>
        <v>0</v>
      </c>
      <c r="Z337">
        <f t="shared" si="100"/>
        <v>0</v>
      </c>
      <c r="AA337">
        <f t="shared" si="101"/>
        <v>0</v>
      </c>
      <c r="AC337">
        <f t="shared" si="90"/>
        <v>251126.25626384537</v>
      </c>
      <c r="AD337">
        <f t="shared" si="91"/>
        <v>249970.00193819261</v>
      </c>
      <c r="AE337">
        <f t="shared" si="92"/>
        <v>248283.1143171608</v>
      </c>
      <c r="AF337">
        <f t="shared" si="93"/>
        <v>247638.439613072</v>
      </c>
      <c r="AG337">
        <f t="shared" si="94"/>
        <v>245716.28059213737</v>
      </c>
      <c r="AH337">
        <f t="shared" si="95"/>
        <v>244058.84552748123</v>
      </c>
      <c r="AI337">
        <f t="shared" si="102"/>
        <v>251126.25626384537</v>
      </c>
    </row>
    <row r="338" spans="2:35" x14ac:dyDescent="0.3">
      <c r="B338">
        <v>295</v>
      </c>
      <c r="C338">
        <v>76255.071299999996</v>
      </c>
      <c r="D338">
        <v>75388.944799999997</v>
      </c>
      <c r="E338">
        <v>75702.599700000006</v>
      </c>
      <c r="F338">
        <v>75503.038700000005</v>
      </c>
      <c r="G338">
        <v>75821.448999999993</v>
      </c>
      <c r="H338">
        <v>76168.942899999995</v>
      </c>
      <c r="I338">
        <v>9.8134832640884753</v>
      </c>
      <c r="J338">
        <v>9.7773309134842581</v>
      </c>
      <c r="K338">
        <v>9.7438173828048296</v>
      </c>
      <c r="L338">
        <v>9.7349530161399596</v>
      </c>
      <c r="M338">
        <v>9.7045984413846931</v>
      </c>
      <c r="N338">
        <v>9.670963007998731</v>
      </c>
      <c r="P338">
        <f t="shared" si="84"/>
        <v>218149.42662265425</v>
      </c>
      <c r="Q338">
        <f t="shared" si="85"/>
        <v>217930.98260452773</v>
      </c>
      <c r="R338">
        <f t="shared" si="86"/>
        <v>216611.92178414488</v>
      </c>
      <c r="S338">
        <f t="shared" si="87"/>
        <v>216545.55178419876</v>
      </c>
      <c r="T338">
        <f t="shared" si="88"/>
        <v>215316.50424154082</v>
      </c>
      <c r="U338">
        <f t="shared" si="89"/>
        <v>213959.94733996192</v>
      </c>
      <c r="V338">
        <f t="shared" si="96"/>
        <v>1</v>
      </c>
      <c r="W338">
        <f t="shared" si="97"/>
        <v>0</v>
      </c>
      <c r="X338">
        <f t="shared" si="98"/>
        <v>0</v>
      </c>
      <c r="Y338">
        <f t="shared" si="99"/>
        <v>0</v>
      </c>
      <c r="Z338">
        <f t="shared" si="100"/>
        <v>0</v>
      </c>
      <c r="AA338">
        <f t="shared" si="101"/>
        <v>0</v>
      </c>
      <c r="AC338">
        <f t="shared" si="90"/>
        <v>218149.42662265425</v>
      </c>
      <c r="AD338">
        <f t="shared" si="91"/>
        <v>217930.98260452773</v>
      </c>
      <c r="AE338">
        <f t="shared" si="92"/>
        <v>216611.92178414488</v>
      </c>
      <c r="AF338">
        <f t="shared" si="93"/>
        <v>216545.55178419876</v>
      </c>
      <c r="AG338">
        <f t="shared" si="94"/>
        <v>215316.50424154082</v>
      </c>
      <c r="AH338">
        <f t="shared" si="95"/>
        <v>213959.94733996192</v>
      </c>
      <c r="AI338">
        <f t="shared" si="102"/>
        <v>218149.42662265425</v>
      </c>
    </row>
    <row r="339" spans="2:35" x14ac:dyDescent="0.3">
      <c r="B339">
        <v>296</v>
      </c>
      <c r="C339">
        <v>74055.249899999995</v>
      </c>
      <c r="D339">
        <v>73086.474600000001</v>
      </c>
      <c r="E339">
        <v>73306.084700000007</v>
      </c>
      <c r="F339">
        <v>73207.688899999994</v>
      </c>
      <c r="G339">
        <v>73525.018200000006</v>
      </c>
      <c r="H339">
        <v>73633.691000000006</v>
      </c>
      <c r="I339">
        <v>10.671491624423544</v>
      </c>
      <c r="J339">
        <v>10.611950495375329</v>
      </c>
      <c r="K339">
        <v>10.585296559666066</v>
      </c>
      <c r="L339">
        <v>10.562386930711691</v>
      </c>
      <c r="M339">
        <v>10.52413981787701</v>
      </c>
      <c r="N339">
        <v>10.475068422657419</v>
      </c>
      <c r="P339">
        <f t="shared" si="84"/>
        <v>246089.4988327063</v>
      </c>
      <c r="Q339">
        <f t="shared" si="85"/>
        <v>245272.04026125983</v>
      </c>
      <c r="R339">
        <f t="shared" si="86"/>
        <v>244252.81208998198</v>
      </c>
      <c r="S339">
        <f t="shared" si="87"/>
        <v>243663.91902135074</v>
      </c>
      <c r="T339">
        <f t="shared" si="88"/>
        <v>242199.17633631034</v>
      </c>
      <c r="U339">
        <f t="shared" si="89"/>
        <v>240618.36167972255</v>
      </c>
      <c r="V339">
        <f t="shared" si="96"/>
        <v>1</v>
      </c>
      <c r="W339">
        <f t="shared" si="97"/>
        <v>0</v>
      </c>
      <c r="X339">
        <f t="shared" si="98"/>
        <v>0</v>
      </c>
      <c r="Y339">
        <f t="shared" si="99"/>
        <v>0</v>
      </c>
      <c r="Z339">
        <f t="shared" si="100"/>
        <v>0</v>
      </c>
      <c r="AA339">
        <f t="shared" si="101"/>
        <v>0</v>
      </c>
      <c r="AC339">
        <f t="shared" si="90"/>
        <v>246089.4988327063</v>
      </c>
      <c r="AD339">
        <f t="shared" si="91"/>
        <v>245272.04026125983</v>
      </c>
      <c r="AE339">
        <f t="shared" si="92"/>
        <v>244252.81208998198</v>
      </c>
      <c r="AF339">
        <f t="shared" si="93"/>
        <v>243663.91902135074</v>
      </c>
      <c r="AG339">
        <f t="shared" si="94"/>
        <v>242199.17633631034</v>
      </c>
      <c r="AH339">
        <f t="shared" si="95"/>
        <v>240618.36167972255</v>
      </c>
      <c r="AI339">
        <f t="shared" si="102"/>
        <v>246089.4988327063</v>
      </c>
    </row>
    <row r="340" spans="2:35" x14ac:dyDescent="0.3">
      <c r="B340">
        <v>297</v>
      </c>
      <c r="C340">
        <v>70576.430300000007</v>
      </c>
      <c r="D340">
        <v>69411.513600000006</v>
      </c>
      <c r="E340">
        <v>69641.035199999998</v>
      </c>
      <c r="F340">
        <v>69391.455100000006</v>
      </c>
      <c r="G340">
        <v>69372.840599999996</v>
      </c>
      <c r="H340">
        <v>69665.778000000006</v>
      </c>
      <c r="I340">
        <v>9.8746412204119576</v>
      </c>
      <c r="J340">
        <v>9.796990137074836</v>
      </c>
      <c r="K340">
        <v>9.7452086848105779</v>
      </c>
      <c r="L340">
        <v>9.7087936154954502</v>
      </c>
      <c r="M340">
        <v>9.6544191188778097</v>
      </c>
      <c r="N340">
        <v>9.5910226538889916</v>
      </c>
      <c r="P340">
        <f t="shared" si="84"/>
        <v>225662.80631235871</v>
      </c>
      <c r="Q340">
        <f t="shared" si="85"/>
        <v>224498.19051224506</v>
      </c>
      <c r="R340">
        <f t="shared" si="86"/>
        <v>222715.22534431732</v>
      </c>
      <c r="S340">
        <f t="shared" si="87"/>
        <v>221872.35336486349</v>
      </c>
      <c r="T340">
        <f t="shared" si="88"/>
        <v>220259.73296633427</v>
      </c>
      <c r="U340">
        <f t="shared" si="89"/>
        <v>218064.90161666978</v>
      </c>
      <c r="V340">
        <f t="shared" si="96"/>
        <v>1</v>
      </c>
      <c r="W340">
        <f t="shared" si="97"/>
        <v>0</v>
      </c>
      <c r="X340">
        <f t="shared" si="98"/>
        <v>0</v>
      </c>
      <c r="Y340">
        <f t="shared" si="99"/>
        <v>0</v>
      </c>
      <c r="Z340">
        <f t="shared" si="100"/>
        <v>0</v>
      </c>
      <c r="AA340">
        <f t="shared" si="101"/>
        <v>0</v>
      </c>
      <c r="AC340">
        <f t="shared" si="90"/>
        <v>225662.80631235871</v>
      </c>
      <c r="AD340">
        <f t="shared" si="91"/>
        <v>224498.19051224506</v>
      </c>
      <c r="AE340">
        <f t="shared" si="92"/>
        <v>222715.22534431732</v>
      </c>
      <c r="AF340">
        <f t="shared" si="93"/>
        <v>221872.35336486349</v>
      </c>
      <c r="AG340">
        <f t="shared" si="94"/>
        <v>220259.73296633427</v>
      </c>
      <c r="AH340">
        <f t="shared" si="95"/>
        <v>218064.90161666978</v>
      </c>
      <c r="AI340">
        <f t="shared" si="102"/>
        <v>225662.80631235871</v>
      </c>
    </row>
    <row r="341" spans="2:35" x14ac:dyDescent="0.3">
      <c r="B341">
        <v>298</v>
      </c>
      <c r="C341">
        <v>67650.966</v>
      </c>
      <c r="D341">
        <v>66520.668900000004</v>
      </c>
      <c r="E341">
        <v>66781.193799999994</v>
      </c>
      <c r="F341">
        <v>66577.110100000005</v>
      </c>
      <c r="G341">
        <v>66625.078999999998</v>
      </c>
      <c r="H341">
        <v>66831.441600000006</v>
      </c>
      <c r="I341">
        <v>8.8451920274347309</v>
      </c>
      <c r="J341">
        <v>8.8201600008030567</v>
      </c>
      <c r="K341">
        <v>8.795417338074019</v>
      </c>
      <c r="L341">
        <v>8.7895594946845108</v>
      </c>
      <c r="M341">
        <v>8.7698440893428966</v>
      </c>
      <c r="N341">
        <v>8.7451186461192183</v>
      </c>
      <c r="P341">
        <f t="shared" si="84"/>
        <v>197704.79482304188</v>
      </c>
      <c r="Q341">
        <f t="shared" si="85"/>
        <v>198084.13112409168</v>
      </c>
      <c r="R341">
        <f t="shared" si="86"/>
        <v>197081.32634222053</v>
      </c>
      <c r="S341">
        <f t="shared" si="87"/>
        <v>197109.67474053532</v>
      </c>
      <c r="T341">
        <f t="shared" si="88"/>
        <v>196470.24368028689</v>
      </c>
      <c r="U341">
        <f t="shared" si="89"/>
        <v>195522.11778357654</v>
      </c>
      <c r="V341">
        <f t="shared" si="96"/>
        <v>0</v>
      </c>
      <c r="W341">
        <f t="shared" si="97"/>
        <v>1</v>
      </c>
      <c r="X341">
        <f t="shared" si="98"/>
        <v>0</v>
      </c>
      <c r="Y341">
        <f t="shared" si="99"/>
        <v>0</v>
      </c>
      <c r="Z341">
        <f t="shared" si="100"/>
        <v>0</v>
      </c>
      <c r="AA341">
        <f t="shared" si="101"/>
        <v>0</v>
      </c>
      <c r="AC341">
        <f t="shared" si="90"/>
        <v>197704.79482304188</v>
      </c>
      <c r="AD341">
        <f t="shared" si="91"/>
        <v>198084.13112409168</v>
      </c>
      <c r="AE341">
        <f t="shared" si="92"/>
        <v>197081.32634222053</v>
      </c>
      <c r="AF341">
        <f t="shared" si="93"/>
        <v>197109.67474053532</v>
      </c>
      <c r="AG341">
        <f t="shared" si="94"/>
        <v>196470.24368028689</v>
      </c>
      <c r="AH341">
        <f t="shared" si="95"/>
        <v>195522.11778357654</v>
      </c>
      <c r="AI341">
        <f t="shared" si="102"/>
        <v>198084.13112409168</v>
      </c>
    </row>
    <row r="342" spans="2:35" x14ac:dyDescent="0.3">
      <c r="B342">
        <v>299</v>
      </c>
      <c r="C342">
        <v>80968.359800000006</v>
      </c>
      <c r="D342">
        <v>80241.761299999998</v>
      </c>
      <c r="E342">
        <v>80438.198699999994</v>
      </c>
      <c r="F342">
        <v>80258.456900000005</v>
      </c>
      <c r="G342">
        <v>80722.333299999998</v>
      </c>
      <c r="H342">
        <v>80890.530400000003</v>
      </c>
      <c r="I342">
        <v>11.615445851092277</v>
      </c>
      <c r="J342">
        <v>11.564459537808403</v>
      </c>
      <c r="K342">
        <v>11.538477581967697</v>
      </c>
      <c r="L342">
        <v>11.522574788381114</v>
      </c>
      <c r="M342">
        <v>11.499110286853295</v>
      </c>
      <c r="N342">
        <v>11.461571977533612</v>
      </c>
      <c r="P342">
        <f t="shared" si="84"/>
        <v>267495.01573276834</v>
      </c>
      <c r="Q342">
        <f t="shared" si="85"/>
        <v>266692.02483425208</v>
      </c>
      <c r="R342">
        <f t="shared" si="86"/>
        <v>265716.12875903089</v>
      </c>
      <c r="S342">
        <f t="shared" si="87"/>
        <v>265418.78675143345</v>
      </c>
      <c r="T342">
        <f t="shared" si="88"/>
        <v>264250.97530559887</v>
      </c>
      <c r="U342">
        <f t="shared" si="89"/>
        <v>262956.62892600836</v>
      </c>
      <c r="V342">
        <f t="shared" si="96"/>
        <v>1</v>
      </c>
      <c r="W342">
        <f t="shared" si="97"/>
        <v>0</v>
      </c>
      <c r="X342">
        <f t="shared" si="98"/>
        <v>0</v>
      </c>
      <c r="Y342">
        <f t="shared" si="99"/>
        <v>0</v>
      </c>
      <c r="Z342">
        <f t="shared" si="100"/>
        <v>0</v>
      </c>
      <c r="AA342">
        <f t="shared" si="101"/>
        <v>0</v>
      </c>
      <c r="AC342">
        <f t="shared" si="90"/>
        <v>267495.01573276834</v>
      </c>
      <c r="AD342">
        <f t="shared" si="91"/>
        <v>266692.02483425208</v>
      </c>
      <c r="AE342">
        <f t="shared" si="92"/>
        <v>265716.12875903089</v>
      </c>
      <c r="AF342">
        <f t="shared" si="93"/>
        <v>265418.78675143345</v>
      </c>
      <c r="AG342">
        <f t="shared" si="94"/>
        <v>264250.97530559887</v>
      </c>
      <c r="AH342">
        <f t="shared" si="95"/>
        <v>262956.62892600836</v>
      </c>
      <c r="AI342">
        <f t="shared" si="102"/>
        <v>267495.01573276834</v>
      </c>
    </row>
    <row r="343" spans="2:35" x14ac:dyDescent="0.3">
      <c r="B343">
        <v>300</v>
      </c>
      <c r="C343">
        <v>77061.984200000006</v>
      </c>
      <c r="D343">
        <v>77327.674799999993</v>
      </c>
      <c r="E343">
        <v>78683.200599999996</v>
      </c>
      <c r="F343">
        <v>78664.708700000003</v>
      </c>
      <c r="G343">
        <v>80033.263900000005</v>
      </c>
      <c r="H343">
        <v>81254.603400000007</v>
      </c>
      <c r="I343">
        <v>10.402643682102639</v>
      </c>
      <c r="J343">
        <v>10.387900969726369</v>
      </c>
      <c r="K343">
        <v>10.37707683092899</v>
      </c>
      <c r="L343">
        <v>10.374160147176482</v>
      </c>
      <c r="M343">
        <v>10.364474881132086</v>
      </c>
      <c r="N343">
        <v>10.351631213306314</v>
      </c>
      <c r="P343">
        <f t="shared" si="84"/>
        <v>235017.32626307913</v>
      </c>
      <c r="Q343">
        <f t="shared" si="85"/>
        <v>234309.3542917911</v>
      </c>
      <c r="R343">
        <f t="shared" si="86"/>
        <v>232629.10432786972</v>
      </c>
      <c r="S343">
        <f t="shared" si="87"/>
        <v>232560.09571529448</v>
      </c>
      <c r="T343">
        <f t="shared" si="88"/>
        <v>230900.98253396258</v>
      </c>
      <c r="U343">
        <f t="shared" si="89"/>
        <v>229294.33299918938</v>
      </c>
      <c r="V343">
        <f t="shared" si="96"/>
        <v>1</v>
      </c>
      <c r="W343">
        <f t="shared" si="97"/>
        <v>0</v>
      </c>
      <c r="X343">
        <f t="shared" si="98"/>
        <v>0</v>
      </c>
      <c r="Y343">
        <f t="shared" si="99"/>
        <v>0</v>
      </c>
      <c r="Z343">
        <f t="shared" si="100"/>
        <v>0</v>
      </c>
      <c r="AA343">
        <f t="shared" si="101"/>
        <v>0</v>
      </c>
      <c r="AC343">
        <f t="shared" si="90"/>
        <v>235017.32626307913</v>
      </c>
      <c r="AD343">
        <f t="shared" si="91"/>
        <v>234309.3542917911</v>
      </c>
      <c r="AE343">
        <f t="shared" si="92"/>
        <v>232629.10432786972</v>
      </c>
      <c r="AF343">
        <f t="shared" si="93"/>
        <v>232560.09571529448</v>
      </c>
      <c r="AG343">
        <f t="shared" si="94"/>
        <v>230900.98253396258</v>
      </c>
      <c r="AH343">
        <f t="shared" si="95"/>
        <v>229294.33299918938</v>
      </c>
      <c r="AI343">
        <f t="shared" si="102"/>
        <v>235017.32626307913</v>
      </c>
    </row>
    <row r="344" spans="2:35" x14ac:dyDescent="0.3">
      <c r="B344">
        <v>301</v>
      </c>
      <c r="C344">
        <v>82769.851999999999</v>
      </c>
      <c r="D344">
        <v>80812.94</v>
      </c>
      <c r="E344">
        <v>80245.261700000003</v>
      </c>
      <c r="F344">
        <v>79904.610499999995</v>
      </c>
      <c r="G344">
        <v>79322.027000000002</v>
      </c>
      <c r="H344">
        <v>78752.798699999999</v>
      </c>
      <c r="I344">
        <v>11.679827540246645</v>
      </c>
      <c r="J344">
        <v>11.631562348174517</v>
      </c>
      <c r="K344">
        <v>11.591718025455075</v>
      </c>
      <c r="L344">
        <v>11.579375576692081</v>
      </c>
      <c r="M344">
        <v>11.535717355365797</v>
      </c>
      <c r="N344">
        <v>11.502623352070419</v>
      </c>
      <c r="P344">
        <f t="shared" si="84"/>
        <v>267624.97420739935</v>
      </c>
      <c r="Q344">
        <f t="shared" si="85"/>
        <v>268133.93044523551</v>
      </c>
      <c r="R344">
        <f t="shared" si="86"/>
        <v>267506.27906365227</v>
      </c>
      <c r="S344">
        <f t="shared" si="87"/>
        <v>267476.65680076246</v>
      </c>
      <c r="T344">
        <f t="shared" si="88"/>
        <v>266749.49366097391</v>
      </c>
      <c r="U344">
        <f t="shared" si="89"/>
        <v>266325.90186211257</v>
      </c>
      <c r="V344">
        <f t="shared" si="96"/>
        <v>0</v>
      </c>
      <c r="W344">
        <f t="shared" si="97"/>
        <v>1</v>
      </c>
      <c r="X344">
        <f t="shared" si="98"/>
        <v>0</v>
      </c>
      <c r="Y344">
        <f t="shared" si="99"/>
        <v>0</v>
      </c>
      <c r="Z344">
        <f t="shared" si="100"/>
        <v>0</v>
      </c>
      <c r="AA344">
        <f t="shared" si="101"/>
        <v>0</v>
      </c>
      <c r="AC344">
        <f t="shared" si="90"/>
        <v>267624.97420739935</v>
      </c>
      <c r="AD344">
        <f t="shared" si="91"/>
        <v>268133.93044523551</v>
      </c>
      <c r="AE344">
        <f t="shared" si="92"/>
        <v>267506.27906365227</v>
      </c>
      <c r="AF344">
        <f t="shared" si="93"/>
        <v>267476.65680076246</v>
      </c>
      <c r="AG344">
        <f t="shared" si="94"/>
        <v>266749.49366097391</v>
      </c>
      <c r="AH344">
        <f t="shared" si="95"/>
        <v>266325.90186211257</v>
      </c>
      <c r="AI344">
        <f t="shared" si="102"/>
        <v>268133.93044523551</v>
      </c>
    </row>
    <row r="345" spans="2:35" x14ac:dyDescent="0.3">
      <c r="B345">
        <v>302</v>
      </c>
      <c r="C345">
        <v>74252.08</v>
      </c>
      <c r="D345">
        <v>73449.657000000007</v>
      </c>
      <c r="E345">
        <v>73805.991500000004</v>
      </c>
      <c r="F345">
        <v>73936.966899999999</v>
      </c>
      <c r="G345">
        <v>74092.929199999999</v>
      </c>
      <c r="H345">
        <v>74461.748200000002</v>
      </c>
      <c r="I345">
        <v>8.3109869584395728</v>
      </c>
      <c r="J345">
        <v>8.3112415157534176</v>
      </c>
      <c r="K345">
        <v>8.3103714560869015</v>
      </c>
      <c r="L345">
        <v>8.3099355827971522</v>
      </c>
      <c r="M345">
        <v>8.3102512564146078</v>
      </c>
      <c r="N345">
        <v>8.3111274450099479</v>
      </c>
      <c r="P345">
        <f t="shared" si="84"/>
        <v>175077.52875318716</v>
      </c>
      <c r="Q345">
        <f t="shared" si="85"/>
        <v>175887.58847260251</v>
      </c>
      <c r="R345">
        <f t="shared" si="86"/>
        <v>175505.15218260704</v>
      </c>
      <c r="S345">
        <f t="shared" si="87"/>
        <v>175361.10058391455</v>
      </c>
      <c r="T345">
        <f t="shared" si="88"/>
        <v>175214.60849243822</v>
      </c>
      <c r="U345">
        <f t="shared" si="89"/>
        <v>174872.07515029845</v>
      </c>
      <c r="V345">
        <f t="shared" si="96"/>
        <v>0</v>
      </c>
      <c r="W345">
        <f t="shared" si="97"/>
        <v>1</v>
      </c>
      <c r="X345">
        <f t="shared" si="98"/>
        <v>0</v>
      </c>
      <c r="Y345">
        <f t="shared" si="99"/>
        <v>0</v>
      </c>
      <c r="Z345">
        <f t="shared" si="100"/>
        <v>0</v>
      </c>
      <c r="AA345">
        <f t="shared" si="101"/>
        <v>0</v>
      </c>
      <c r="AC345">
        <f t="shared" si="90"/>
        <v>175077.52875318716</v>
      </c>
      <c r="AD345">
        <f t="shared" si="91"/>
        <v>175887.58847260251</v>
      </c>
      <c r="AE345">
        <f t="shared" si="92"/>
        <v>175505.15218260704</v>
      </c>
      <c r="AF345">
        <f t="shared" si="93"/>
        <v>175361.10058391455</v>
      </c>
      <c r="AG345">
        <f t="shared" si="94"/>
        <v>175214.60849243822</v>
      </c>
      <c r="AH345">
        <f t="shared" si="95"/>
        <v>174872.07515029845</v>
      </c>
      <c r="AI345">
        <f t="shared" si="102"/>
        <v>175887.58847260251</v>
      </c>
    </row>
    <row r="346" spans="2:35" x14ac:dyDescent="0.3">
      <c r="B346">
        <v>303</v>
      </c>
      <c r="C346">
        <v>74471.104900000006</v>
      </c>
      <c r="D346">
        <v>73555.286699999997</v>
      </c>
      <c r="E346">
        <v>73613.099199999997</v>
      </c>
      <c r="F346">
        <v>73578.631399999998</v>
      </c>
      <c r="G346">
        <v>73844.536500000002</v>
      </c>
      <c r="H346">
        <v>73833.106400000004</v>
      </c>
      <c r="I346">
        <v>9.7893379364972901</v>
      </c>
      <c r="J346">
        <v>9.764468631964407</v>
      </c>
      <c r="K346">
        <v>9.7481615845537561</v>
      </c>
      <c r="L346">
        <v>9.7373463475490425</v>
      </c>
      <c r="M346">
        <v>9.7206913231910672</v>
      </c>
      <c r="N346">
        <v>9.6939188306953543</v>
      </c>
      <c r="P346">
        <f t="shared" si="84"/>
        <v>219209.03319491868</v>
      </c>
      <c r="Q346">
        <f t="shared" si="85"/>
        <v>219378.77225893224</v>
      </c>
      <c r="R346">
        <f t="shared" si="86"/>
        <v>218831.74833661271</v>
      </c>
      <c r="S346">
        <f t="shared" si="87"/>
        <v>218541.75902647123</v>
      </c>
      <c r="T346">
        <f t="shared" si="88"/>
        <v>217776.20319573203</v>
      </c>
      <c r="U346">
        <f t="shared" si="89"/>
        <v>216984.45852086064</v>
      </c>
      <c r="V346">
        <f t="shared" si="96"/>
        <v>0</v>
      </c>
      <c r="W346">
        <f t="shared" si="97"/>
        <v>1</v>
      </c>
      <c r="X346">
        <f t="shared" si="98"/>
        <v>0</v>
      </c>
      <c r="Y346">
        <f t="shared" si="99"/>
        <v>0</v>
      </c>
      <c r="Z346">
        <f t="shared" si="100"/>
        <v>0</v>
      </c>
      <c r="AA346">
        <f t="shared" si="101"/>
        <v>0</v>
      </c>
      <c r="AC346">
        <f t="shared" si="90"/>
        <v>219209.03319491868</v>
      </c>
      <c r="AD346">
        <f t="shared" si="91"/>
        <v>219378.77225893224</v>
      </c>
      <c r="AE346">
        <f t="shared" si="92"/>
        <v>218831.74833661271</v>
      </c>
      <c r="AF346">
        <f t="shared" si="93"/>
        <v>218541.75902647123</v>
      </c>
      <c r="AG346">
        <f t="shared" si="94"/>
        <v>217776.20319573203</v>
      </c>
      <c r="AH346">
        <f t="shared" si="95"/>
        <v>216984.45852086064</v>
      </c>
      <c r="AI346">
        <f t="shared" si="102"/>
        <v>219378.77225893224</v>
      </c>
    </row>
    <row r="347" spans="2:35" x14ac:dyDescent="0.3">
      <c r="B347">
        <v>304</v>
      </c>
      <c r="C347">
        <v>75724.097699999998</v>
      </c>
      <c r="D347">
        <v>75255.026199999993</v>
      </c>
      <c r="E347">
        <v>75869.111000000004</v>
      </c>
      <c r="F347">
        <v>75734.974799999996</v>
      </c>
      <c r="G347">
        <v>76378.264999999999</v>
      </c>
      <c r="H347">
        <v>77102.905400000003</v>
      </c>
      <c r="I347">
        <v>10.758643364295768</v>
      </c>
      <c r="J347">
        <v>10.739330661389562</v>
      </c>
      <c r="K347">
        <v>10.723431576709137</v>
      </c>
      <c r="L347">
        <v>10.722595808334445</v>
      </c>
      <c r="M347">
        <v>10.705971163775434</v>
      </c>
      <c r="N347">
        <v>10.692698903396209</v>
      </c>
      <c r="P347">
        <f t="shared" si="84"/>
        <v>247035.20322887303</v>
      </c>
      <c r="Q347">
        <f t="shared" si="85"/>
        <v>246924.89364168685</v>
      </c>
      <c r="R347">
        <f t="shared" si="86"/>
        <v>245833.8363012741</v>
      </c>
      <c r="S347">
        <f t="shared" si="87"/>
        <v>245942.89945003335</v>
      </c>
      <c r="T347">
        <f t="shared" si="88"/>
        <v>244800.86991326301</v>
      </c>
      <c r="U347">
        <f t="shared" si="89"/>
        <v>243678.0617018863</v>
      </c>
      <c r="V347">
        <f t="shared" si="96"/>
        <v>1</v>
      </c>
      <c r="W347">
        <f t="shared" si="97"/>
        <v>0</v>
      </c>
      <c r="X347">
        <f t="shared" si="98"/>
        <v>0</v>
      </c>
      <c r="Y347">
        <f t="shared" si="99"/>
        <v>0</v>
      </c>
      <c r="Z347">
        <f t="shared" si="100"/>
        <v>0</v>
      </c>
      <c r="AA347">
        <f t="shared" si="101"/>
        <v>0</v>
      </c>
      <c r="AC347">
        <f t="shared" si="90"/>
        <v>247035.20322887303</v>
      </c>
      <c r="AD347">
        <f t="shared" si="91"/>
        <v>246924.89364168685</v>
      </c>
      <c r="AE347">
        <f t="shared" si="92"/>
        <v>245833.8363012741</v>
      </c>
      <c r="AF347">
        <f t="shared" si="93"/>
        <v>245942.89945003335</v>
      </c>
      <c r="AG347">
        <f t="shared" si="94"/>
        <v>244800.86991326301</v>
      </c>
      <c r="AH347">
        <f t="shared" si="95"/>
        <v>243678.0617018863</v>
      </c>
      <c r="AI347">
        <f t="shared" si="102"/>
        <v>247035.20322887303</v>
      </c>
    </row>
    <row r="348" spans="2:35" x14ac:dyDescent="0.3">
      <c r="B348">
        <v>305</v>
      </c>
      <c r="C348">
        <v>70420.777900000001</v>
      </c>
      <c r="D348">
        <v>69808.540299999993</v>
      </c>
      <c r="E348">
        <v>70180.504199999996</v>
      </c>
      <c r="F348">
        <v>70133.668699999995</v>
      </c>
      <c r="G348">
        <v>70721.321299999996</v>
      </c>
      <c r="H348">
        <v>71311.487800000003</v>
      </c>
      <c r="I348">
        <v>9.9987406576891278</v>
      </c>
      <c r="J348">
        <v>9.978946065566431</v>
      </c>
      <c r="K348">
        <v>9.9649392438674003</v>
      </c>
      <c r="L348">
        <v>9.9543000227001635</v>
      </c>
      <c r="M348">
        <v>9.9343753109148629</v>
      </c>
      <c r="N348">
        <v>9.9142835230447446</v>
      </c>
      <c r="P348">
        <f t="shared" si="84"/>
        <v>229541.44183067384</v>
      </c>
      <c r="Q348">
        <f t="shared" si="85"/>
        <v>229559.84166699293</v>
      </c>
      <c r="R348">
        <f t="shared" si="86"/>
        <v>228767.67311602199</v>
      </c>
      <c r="S348">
        <f t="shared" si="87"/>
        <v>228495.33198100491</v>
      </c>
      <c r="T348">
        <f t="shared" si="88"/>
        <v>227309.93802744587</v>
      </c>
      <c r="U348">
        <f t="shared" si="89"/>
        <v>226117.01789134234</v>
      </c>
      <c r="V348">
        <f t="shared" si="96"/>
        <v>0</v>
      </c>
      <c r="W348">
        <f t="shared" si="97"/>
        <v>1</v>
      </c>
      <c r="X348">
        <f t="shared" si="98"/>
        <v>0</v>
      </c>
      <c r="Y348">
        <f t="shared" si="99"/>
        <v>0</v>
      </c>
      <c r="Z348">
        <f t="shared" si="100"/>
        <v>0</v>
      </c>
      <c r="AA348">
        <f t="shared" si="101"/>
        <v>0</v>
      </c>
      <c r="AC348">
        <f t="shared" si="90"/>
        <v>229541.44183067384</v>
      </c>
      <c r="AD348">
        <f t="shared" si="91"/>
        <v>229559.84166699293</v>
      </c>
      <c r="AE348">
        <f t="shared" si="92"/>
        <v>228767.67311602199</v>
      </c>
      <c r="AF348">
        <f t="shared" si="93"/>
        <v>228495.33198100491</v>
      </c>
      <c r="AG348">
        <f t="shared" si="94"/>
        <v>227309.93802744587</v>
      </c>
      <c r="AH348">
        <f t="shared" si="95"/>
        <v>226117.01789134234</v>
      </c>
      <c r="AI348">
        <f t="shared" si="102"/>
        <v>229559.84166699293</v>
      </c>
    </row>
    <row r="349" spans="2:35" x14ac:dyDescent="0.3">
      <c r="B349">
        <v>306</v>
      </c>
      <c r="C349">
        <v>82210.41</v>
      </c>
      <c r="D349">
        <v>80720.172600000005</v>
      </c>
      <c r="E349">
        <v>80568.195200000002</v>
      </c>
      <c r="F349">
        <v>80246.649699999994</v>
      </c>
      <c r="G349">
        <v>80063.431299999997</v>
      </c>
      <c r="H349">
        <v>80024.076000000001</v>
      </c>
      <c r="I349">
        <v>11.242426903996849</v>
      </c>
      <c r="J349">
        <v>11.233174660855337</v>
      </c>
      <c r="K349">
        <v>11.22675711133725</v>
      </c>
      <c r="L349">
        <v>11.223342862761674</v>
      </c>
      <c r="M349">
        <v>11.216585988290635</v>
      </c>
      <c r="N349">
        <v>11.209483231218302</v>
      </c>
      <c r="P349">
        <f t="shared" si="84"/>
        <v>255062.39711990548</v>
      </c>
      <c r="Q349">
        <f t="shared" si="85"/>
        <v>256275.06722566008</v>
      </c>
      <c r="R349">
        <f t="shared" si="86"/>
        <v>256234.51814011746</v>
      </c>
      <c r="S349">
        <f t="shared" si="87"/>
        <v>256453.63618285023</v>
      </c>
      <c r="T349">
        <f t="shared" si="88"/>
        <v>256434.14834871906</v>
      </c>
      <c r="U349">
        <f t="shared" si="89"/>
        <v>256260.42093654908</v>
      </c>
      <c r="V349">
        <f t="shared" si="96"/>
        <v>0</v>
      </c>
      <c r="W349">
        <f t="shared" si="97"/>
        <v>0</v>
      </c>
      <c r="X349">
        <f t="shared" si="98"/>
        <v>0</v>
      </c>
      <c r="Y349">
        <f t="shared" si="99"/>
        <v>1</v>
      </c>
      <c r="Z349">
        <f t="shared" si="100"/>
        <v>0</v>
      </c>
      <c r="AA349">
        <f t="shared" si="101"/>
        <v>0</v>
      </c>
      <c r="AC349">
        <f t="shared" si="90"/>
        <v>255062.39711990548</v>
      </c>
      <c r="AD349">
        <f t="shared" si="91"/>
        <v>256275.06722566008</v>
      </c>
      <c r="AE349">
        <f t="shared" si="92"/>
        <v>256234.51814011746</v>
      </c>
      <c r="AF349">
        <f t="shared" si="93"/>
        <v>256453.63618285023</v>
      </c>
      <c r="AG349">
        <f t="shared" si="94"/>
        <v>256434.14834871906</v>
      </c>
      <c r="AH349">
        <f t="shared" si="95"/>
        <v>256260.42093654908</v>
      </c>
      <c r="AI349">
        <f t="shared" si="102"/>
        <v>256453.63618285023</v>
      </c>
    </row>
    <row r="350" spans="2:35" x14ac:dyDescent="0.3">
      <c r="B350">
        <v>307</v>
      </c>
      <c r="C350">
        <v>86674.297300000006</v>
      </c>
      <c r="D350">
        <v>85585.566000000006</v>
      </c>
      <c r="E350">
        <v>85839.112699999998</v>
      </c>
      <c r="F350">
        <v>85625.954700000002</v>
      </c>
      <c r="G350">
        <v>85774.755600000004</v>
      </c>
      <c r="H350">
        <v>85955.522500000006</v>
      </c>
      <c r="I350">
        <v>9.1522150486126481</v>
      </c>
      <c r="J350">
        <v>9.1287348838339142</v>
      </c>
      <c r="K350">
        <v>9.108826891419378</v>
      </c>
      <c r="L350">
        <v>9.1013294844624024</v>
      </c>
      <c r="M350">
        <v>9.0833935298044661</v>
      </c>
      <c r="N350">
        <v>9.0642623267398825</v>
      </c>
      <c r="P350">
        <f t="shared" si="84"/>
        <v>187892.15415837945</v>
      </c>
      <c r="Q350">
        <f t="shared" si="85"/>
        <v>188276.48051501741</v>
      </c>
      <c r="R350">
        <f t="shared" si="86"/>
        <v>187425.69404258137</v>
      </c>
      <c r="S350">
        <f t="shared" si="87"/>
        <v>187413.92983387207</v>
      </c>
      <c r="T350">
        <f t="shared" si="88"/>
        <v>186727.05029413398</v>
      </c>
      <c r="U350">
        <f t="shared" si="89"/>
        <v>185972.34730219643</v>
      </c>
      <c r="V350">
        <f t="shared" si="96"/>
        <v>0</v>
      </c>
      <c r="W350">
        <f t="shared" si="97"/>
        <v>1</v>
      </c>
      <c r="X350">
        <f t="shared" si="98"/>
        <v>0</v>
      </c>
      <c r="Y350">
        <f t="shared" si="99"/>
        <v>0</v>
      </c>
      <c r="Z350">
        <f t="shared" si="100"/>
        <v>0</v>
      </c>
      <c r="AA350">
        <f t="shared" si="101"/>
        <v>0</v>
      </c>
      <c r="AC350">
        <f t="shared" si="90"/>
        <v>187892.15415837945</v>
      </c>
      <c r="AD350">
        <f t="shared" si="91"/>
        <v>188276.48051501741</v>
      </c>
      <c r="AE350">
        <f t="shared" si="92"/>
        <v>187425.69404258137</v>
      </c>
      <c r="AF350">
        <f t="shared" si="93"/>
        <v>187413.92983387207</v>
      </c>
      <c r="AG350">
        <f t="shared" si="94"/>
        <v>186727.05029413398</v>
      </c>
      <c r="AH350">
        <f t="shared" si="95"/>
        <v>185972.34730219643</v>
      </c>
      <c r="AI350">
        <f t="shared" si="102"/>
        <v>188276.48051501741</v>
      </c>
    </row>
    <row r="351" spans="2:35" x14ac:dyDescent="0.3">
      <c r="B351">
        <v>308</v>
      </c>
      <c r="C351">
        <v>76334.830700000006</v>
      </c>
      <c r="D351">
        <v>75673.519700000004</v>
      </c>
      <c r="E351">
        <v>76322.003700000001</v>
      </c>
      <c r="F351">
        <v>76777.351200000005</v>
      </c>
      <c r="G351">
        <v>77256.738500000007</v>
      </c>
      <c r="H351">
        <v>77781.601500000004</v>
      </c>
      <c r="I351">
        <v>11.09519593600724</v>
      </c>
      <c r="J351">
        <v>11.078779414218024</v>
      </c>
      <c r="K351">
        <v>11.061058672518115</v>
      </c>
      <c r="L351">
        <v>11.050467863545641</v>
      </c>
      <c r="M351">
        <v>11.037981172481254</v>
      </c>
      <c r="N351">
        <v>11.023661217289144</v>
      </c>
      <c r="P351">
        <f t="shared" si="84"/>
        <v>256521.04738021723</v>
      </c>
      <c r="Q351">
        <f t="shared" si="85"/>
        <v>256689.86272654071</v>
      </c>
      <c r="R351">
        <f t="shared" si="86"/>
        <v>255509.75647554343</v>
      </c>
      <c r="S351">
        <f t="shared" si="87"/>
        <v>254736.68470636921</v>
      </c>
      <c r="T351">
        <f t="shared" si="88"/>
        <v>253882.69667443764</v>
      </c>
      <c r="U351">
        <f t="shared" si="89"/>
        <v>252928.23501867434</v>
      </c>
      <c r="V351">
        <f t="shared" si="96"/>
        <v>0</v>
      </c>
      <c r="W351">
        <f t="shared" si="97"/>
        <v>1</v>
      </c>
      <c r="X351">
        <f t="shared" si="98"/>
        <v>0</v>
      </c>
      <c r="Y351">
        <f t="shared" si="99"/>
        <v>0</v>
      </c>
      <c r="Z351">
        <f t="shared" si="100"/>
        <v>0</v>
      </c>
      <c r="AA351">
        <f t="shared" si="101"/>
        <v>0</v>
      </c>
      <c r="AC351">
        <f t="shared" si="90"/>
        <v>256521.04738021723</v>
      </c>
      <c r="AD351">
        <f t="shared" si="91"/>
        <v>256689.86272654071</v>
      </c>
      <c r="AE351">
        <f t="shared" si="92"/>
        <v>255509.75647554343</v>
      </c>
      <c r="AF351">
        <f t="shared" si="93"/>
        <v>254736.68470636921</v>
      </c>
      <c r="AG351">
        <f t="shared" si="94"/>
        <v>253882.69667443764</v>
      </c>
      <c r="AH351">
        <f t="shared" si="95"/>
        <v>252928.23501867434</v>
      </c>
      <c r="AI351">
        <f t="shared" si="102"/>
        <v>256689.86272654071</v>
      </c>
    </row>
    <row r="352" spans="2:35" x14ac:dyDescent="0.3">
      <c r="B352">
        <v>309</v>
      </c>
      <c r="C352">
        <v>78495.499400000001</v>
      </c>
      <c r="D352">
        <v>78172.085099999997</v>
      </c>
      <c r="E352">
        <v>78940.116599999994</v>
      </c>
      <c r="F352">
        <v>78958.402300000002</v>
      </c>
      <c r="G352">
        <v>79948.595600000001</v>
      </c>
      <c r="H352">
        <v>80594.768299999996</v>
      </c>
      <c r="I352">
        <v>10.346094561916482</v>
      </c>
      <c r="J352">
        <v>10.314232847755612</v>
      </c>
      <c r="K352">
        <v>10.287293843103189</v>
      </c>
      <c r="L352">
        <v>10.274346840089619</v>
      </c>
      <c r="M352">
        <v>10.243970608047691</v>
      </c>
      <c r="N352">
        <v>10.221996645796386</v>
      </c>
      <c r="P352">
        <f t="shared" si="84"/>
        <v>231887.33745749449</v>
      </c>
      <c r="Q352">
        <f t="shared" si="85"/>
        <v>231254.90033266836</v>
      </c>
      <c r="R352">
        <f t="shared" si="86"/>
        <v>229678.69869309565</v>
      </c>
      <c r="S352">
        <f t="shared" si="87"/>
        <v>229272.00290268857</v>
      </c>
      <c r="T352">
        <f t="shared" si="88"/>
        <v>227370.52264143073</v>
      </c>
      <c r="U352">
        <f t="shared" si="89"/>
        <v>226065.13107389159</v>
      </c>
      <c r="V352">
        <f t="shared" si="96"/>
        <v>1</v>
      </c>
      <c r="W352">
        <f t="shared" si="97"/>
        <v>0</v>
      </c>
      <c r="X352">
        <f t="shared" si="98"/>
        <v>0</v>
      </c>
      <c r="Y352">
        <f t="shared" si="99"/>
        <v>0</v>
      </c>
      <c r="Z352">
        <f t="shared" si="100"/>
        <v>0</v>
      </c>
      <c r="AA352">
        <f t="shared" si="101"/>
        <v>0</v>
      </c>
      <c r="AC352">
        <f t="shared" si="90"/>
        <v>231887.33745749449</v>
      </c>
      <c r="AD352">
        <f t="shared" si="91"/>
        <v>231254.90033266836</v>
      </c>
      <c r="AE352">
        <f t="shared" si="92"/>
        <v>229678.69869309565</v>
      </c>
      <c r="AF352">
        <f t="shared" si="93"/>
        <v>229272.00290268857</v>
      </c>
      <c r="AG352">
        <f t="shared" si="94"/>
        <v>227370.52264143073</v>
      </c>
      <c r="AH352">
        <f t="shared" si="95"/>
        <v>226065.13107389159</v>
      </c>
      <c r="AI352">
        <f t="shared" si="102"/>
        <v>231887.33745749449</v>
      </c>
    </row>
    <row r="353" spans="2:35" x14ac:dyDescent="0.3">
      <c r="B353">
        <v>310</v>
      </c>
      <c r="C353">
        <v>76421.618799999997</v>
      </c>
      <c r="D353">
        <v>75628.740099999995</v>
      </c>
      <c r="E353">
        <v>76038.792700000005</v>
      </c>
      <c r="F353">
        <v>75898.095600000001</v>
      </c>
      <c r="G353">
        <v>76191.089300000007</v>
      </c>
      <c r="H353">
        <v>76526.331000000006</v>
      </c>
      <c r="I353">
        <v>10.351960530604597</v>
      </c>
      <c r="J353">
        <v>10.324231847655035</v>
      </c>
      <c r="K353">
        <v>10.302708078856973</v>
      </c>
      <c r="L353">
        <v>10.295775219036575</v>
      </c>
      <c r="M353">
        <v>10.266937270466883</v>
      </c>
      <c r="N353">
        <v>10.247788850014897</v>
      </c>
      <c r="P353">
        <f t="shared" si="84"/>
        <v>234137.1971181379</v>
      </c>
      <c r="Q353">
        <f t="shared" si="85"/>
        <v>234098.21532965108</v>
      </c>
      <c r="R353">
        <f t="shared" si="86"/>
        <v>233042.44966570922</v>
      </c>
      <c r="S353">
        <f t="shared" si="87"/>
        <v>232975.16097109724</v>
      </c>
      <c r="T353">
        <f t="shared" si="88"/>
        <v>231817.02881400648</v>
      </c>
      <c r="U353">
        <f t="shared" si="89"/>
        <v>230907.33450044692</v>
      </c>
      <c r="V353">
        <f t="shared" si="96"/>
        <v>1</v>
      </c>
      <c r="W353">
        <f t="shared" si="97"/>
        <v>0</v>
      </c>
      <c r="X353">
        <f t="shared" si="98"/>
        <v>0</v>
      </c>
      <c r="Y353">
        <f t="shared" si="99"/>
        <v>0</v>
      </c>
      <c r="Z353">
        <f t="shared" si="100"/>
        <v>0</v>
      </c>
      <c r="AA353">
        <f t="shared" si="101"/>
        <v>0</v>
      </c>
      <c r="AC353">
        <f t="shared" si="90"/>
        <v>234137.1971181379</v>
      </c>
      <c r="AD353">
        <f t="shared" si="91"/>
        <v>234098.21532965108</v>
      </c>
      <c r="AE353">
        <f t="shared" si="92"/>
        <v>233042.44966570922</v>
      </c>
      <c r="AF353">
        <f t="shared" si="93"/>
        <v>232975.16097109724</v>
      </c>
      <c r="AG353">
        <f t="shared" si="94"/>
        <v>231817.02881400648</v>
      </c>
      <c r="AH353">
        <f t="shared" si="95"/>
        <v>230907.33450044692</v>
      </c>
      <c r="AI353">
        <f t="shared" si="102"/>
        <v>234137.1971181379</v>
      </c>
    </row>
    <row r="354" spans="2:35" x14ac:dyDescent="0.3">
      <c r="B354">
        <v>311</v>
      </c>
      <c r="C354">
        <v>78677.531400000007</v>
      </c>
      <c r="D354">
        <v>77164.471000000005</v>
      </c>
      <c r="E354">
        <v>77110.986699999994</v>
      </c>
      <c r="F354">
        <v>76835.770199999999</v>
      </c>
      <c r="G354">
        <v>76714.156900000002</v>
      </c>
      <c r="H354">
        <v>76799.424199999994</v>
      </c>
      <c r="I354">
        <v>10.478916582065127</v>
      </c>
      <c r="J354">
        <v>10.44757668097475</v>
      </c>
      <c r="K354">
        <v>10.419928079614129</v>
      </c>
      <c r="L354">
        <v>10.408894996798134</v>
      </c>
      <c r="M354">
        <v>10.391383347660316</v>
      </c>
      <c r="N354">
        <v>10.367905026094256</v>
      </c>
      <c r="P354">
        <f t="shared" si="84"/>
        <v>235689.96606195378</v>
      </c>
      <c r="Q354">
        <f t="shared" si="85"/>
        <v>236262.82942924247</v>
      </c>
      <c r="R354">
        <f t="shared" si="86"/>
        <v>235486.85568842385</v>
      </c>
      <c r="S354">
        <f t="shared" si="87"/>
        <v>235431.07970394401</v>
      </c>
      <c r="T354">
        <f t="shared" si="88"/>
        <v>235027.3435298095</v>
      </c>
      <c r="U354">
        <f t="shared" si="89"/>
        <v>234237.72658282769</v>
      </c>
      <c r="V354">
        <f t="shared" si="96"/>
        <v>0</v>
      </c>
      <c r="W354">
        <f t="shared" si="97"/>
        <v>1</v>
      </c>
      <c r="X354">
        <f t="shared" si="98"/>
        <v>0</v>
      </c>
      <c r="Y354">
        <f t="shared" si="99"/>
        <v>0</v>
      </c>
      <c r="Z354">
        <f t="shared" si="100"/>
        <v>0</v>
      </c>
      <c r="AA354">
        <f t="shared" si="101"/>
        <v>0</v>
      </c>
      <c r="AC354">
        <f t="shared" si="90"/>
        <v>235689.96606195378</v>
      </c>
      <c r="AD354">
        <f t="shared" si="91"/>
        <v>236262.82942924247</v>
      </c>
      <c r="AE354">
        <f t="shared" si="92"/>
        <v>235486.85568842385</v>
      </c>
      <c r="AF354">
        <f t="shared" si="93"/>
        <v>235431.07970394401</v>
      </c>
      <c r="AG354">
        <f t="shared" si="94"/>
        <v>235027.3435298095</v>
      </c>
      <c r="AH354">
        <f t="shared" si="95"/>
        <v>234237.72658282769</v>
      </c>
      <c r="AI354">
        <f t="shared" si="102"/>
        <v>236262.82942924247</v>
      </c>
    </row>
    <row r="355" spans="2:35" x14ac:dyDescent="0.3">
      <c r="B355">
        <v>312</v>
      </c>
      <c r="C355">
        <v>76671.807000000001</v>
      </c>
      <c r="D355">
        <v>75871.4666</v>
      </c>
      <c r="E355">
        <v>76256.786900000006</v>
      </c>
      <c r="F355">
        <v>76059.262300000002</v>
      </c>
      <c r="G355">
        <v>76580.145399999994</v>
      </c>
      <c r="H355">
        <v>76923.627800000002</v>
      </c>
      <c r="I355">
        <v>11.190962449500841</v>
      </c>
      <c r="J355">
        <v>11.149802641214524</v>
      </c>
      <c r="K355">
        <v>11.133433259042269</v>
      </c>
      <c r="L355">
        <v>11.122069183975373</v>
      </c>
      <c r="M355">
        <v>11.098592412357155</v>
      </c>
      <c r="N355">
        <v>11.067154244086408</v>
      </c>
      <c r="P355">
        <f t="shared" si="84"/>
        <v>259057.06648502525</v>
      </c>
      <c r="Q355">
        <f t="shared" si="85"/>
        <v>258622.61263643572</v>
      </c>
      <c r="R355">
        <f t="shared" si="86"/>
        <v>257746.21087126806</v>
      </c>
      <c r="S355">
        <f t="shared" si="87"/>
        <v>257602.81321926118</v>
      </c>
      <c r="T355">
        <f t="shared" si="88"/>
        <v>256377.62697071466</v>
      </c>
      <c r="U355">
        <f t="shared" si="89"/>
        <v>255090.99952259223</v>
      </c>
      <c r="V355">
        <f t="shared" si="96"/>
        <v>1</v>
      </c>
      <c r="W355">
        <f t="shared" si="97"/>
        <v>0</v>
      </c>
      <c r="X355">
        <f t="shared" si="98"/>
        <v>0</v>
      </c>
      <c r="Y355">
        <f t="shared" si="99"/>
        <v>0</v>
      </c>
      <c r="Z355">
        <f t="shared" si="100"/>
        <v>0</v>
      </c>
      <c r="AA355">
        <f t="shared" si="101"/>
        <v>0</v>
      </c>
      <c r="AC355">
        <f t="shared" si="90"/>
        <v>259057.06648502525</v>
      </c>
      <c r="AD355">
        <f t="shared" si="91"/>
        <v>258622.61263643572</v>
      </c>
      <c r="AE355">
        <f t="shared" si="92"/>
        <v>257746.21087126806</v>
      </c>
      <c r="AF355">
        <f t="shared" si="93"/>
        <v>257602.81321926118</v>
      </c>
      <c r="AG355">
        <f t="shared" si="94"/>
        <v>256377.62697071466</v>
      </c>
      <c r="AH355">
        <f t="shared" si="95"/>
        <v>255090.99952259223</v>
      </c>
      <c r="AI355">
        <f t="shared" si="102"/>
        <v>259057.06648502525</v>
      </c>
    </row>
    <row r="356" spans="2:35" x14ac:dyDescent="0.3">
      <c r="B356">
        <v>313</v>
      </c>
      <c r="C356">
        <v>86140.392600000006</v>
      </c>
      <c r="D356">
        <v>85877.989300000001</v>
      </c>
      <c r="E356">
        <v>86773.770399999994</v>
      </c>
      <c r="F356">
        <v>86964.152100000007</v>
      </c>
      <c r="G356">
        <v>87816.489700000006</v>
      </c>
      <c r="H356">
        <v>88764.811300000001</v>
      </c>
      <c r="I356">
        <v>10.479808017884491</v>
      </c>
      <c r="J356">
        <v>10.449909877353656</v>
      </c>
      <c r="K356">
        <v>10.428503155551981</v>
      </c>
      <c r="L356">
        <v>10.415938316341096</v>
      </c>
      <c r="M356">
        <v>10.3943715715652</v>
      </c>
      <c r="N356">
        <v>10.368622054585353</v>
      </c>
      <c r="P356">
        <f t="shared" si="84"/>
        <v>228253.84793653467</v>
      </c>
      <c r="Q356">
        <f t="shared" si="85"/>
        <v>227619.30702060967</v>
      </c>
      <c r="R356">
        <f t="shared" si="86"/>
        <v>226081.32426655944</v>
      </c>
      <c r="S356">
        <f t="shared" si="87"/>
        <v>225513.99739023286</v>
      </c>
      <c r="T356">
        <f t="shared" si="88"/>
        <v>224014.657446956</v>
      </c>
      <c r="U356">
        <f t="shared" si="89"/>
        <v>222293.85033756058</v>
      </c>
      <c r="V356">
        <f t="shared" si="96"/>
        <v>1</v>
      </c>
      <c r="W356">
        <f t="shared" si="97"/>
        <v>0</v>
      </c>
      <c r="X356">
        <f t="shared" si="98"/>
        <v>0</v>
      </c>
      <c r="Y356">
        <f t="shared" si="99"/>
        <v>0</v>
      </c>
      <c r="Z356">
        <f t="shared" si="100"/>
        <v>0</v>
      </c>
      <c r="AA356">
        <f t="shared" si="101"/>
        <v>0</v>
      </c>
      <c r="AC356">
        <f t="shared" si="90"/>
        <v>228253.84793653467</v>
      </c>
      <c r="AD356">
        <f t="shared" si="91"/>
        <v>227619.30702060967</v>
      </c>
      <c r="AE356">
        <f t="shared" si="92"/>
        <v>226081.32426655944</v>
      </c>
      <c r="AF356">
        <f t="shared" si="93"/>
        <v>225513.99739023286</v>
      </c>
      <c r="AG356">
        <f t="shared" si="94"/>
        <v>224014.657446956</v>
      </c>
      <c r="AH356">
        <f t="shared" si="95"/>
        <v>222293.85033756058</v>
      </c>
      <c r="AI356">
        <f t="shared" si="102"/>
        <v>228253.84793653467</v>
      </c>
    </row>
    <row r="357" spans="2:35" x14ac:dyDescent="0.3">
      <c r="B357">
        <v>314</v>
      </c>
      <c r="C357">
        <v>68332.761700000003</v>
      </c>
      <c r="D357">
        <v>67601.317999999999</v>
      </c>
      <c r="E357">
        <v>67946.931500000006</v>
      </c>
      <c r="F357">
        <v>67720.968900000007</v>
      </c>
      <c r="G357">
        <v>68112.1633</v>
      </c>
      <c r="H357">
        <v>68768.469299999997</v>
      </c>
      <c r="I357">
        <v>10.618429253525795</v>
      </c>
      <c r="J357">
        <v>10.586453462063602</v>
      </c>
      <c r="K357">
        <v>10.562660921833091</v>
      </c>
      <c r="L357">
        <v>10.55655684989585</v>
      </c>
      <c r="M357">
        <v>10.525747048958424</v>
      </c>
      <c r="N357">
        <v>10.509614919021228</v>
      </c>
      <c r="P357">
        <f t="shared" si="84"/>
        <v>250220.11590577386</v>
      </c>
      <c r="Q357">
        <f t="shared" si="85"/>
        <v>249992.28586190808</v>
      </c>
      <c r="R357">
        <f t="shared" si="86"/>
        <v>248932.89615499275</v>
      </c>
      <c r="S357">
        <f t="shared" si="87"/>
        <v>248975.7365968755</v>
      </c>
      <c r="T357">
        <f t="shared" si="88"/>
        <v>247660.2481687527</v>
      </c>
      <c r="U357">
        <f t="shared" si="89"/>
        <v>246519.97827063687</v>
      </c>
      <c r="V357">
        <f t="shared" si="96"/>
        <v>1</v>
      </c>
      <c r="W357">
        <f t="shared" si="97"/>
        <v>0</v>
      </c>
      <c r="X357">
        <f t="shared" si="98"/>
        <v>0</v>
      </c>
      <c r="Y357">
        <f t="shared" si="99"/>
        <v>0</v>
      </c>
      <c r="Z357">
        <f t="shared" si="100"/>
        <v>0</v>
      </c>
      <c r="AA357">
        <f t="shared" si="101"/>
        <v>0</v>
      </c>
      <c r="AC357">
        <f t="shared" si="90"/>
        <v>250220.11590577386</v>
      </c>
      <c r="AD357">
        <f t="shared" si="91"/>
        <v>249992.28586190808</v>
      </c>
      <c r="AE357">
        <f t="shared" si="92"/>
        <v>248932.89615499275</v>
      </c>
      <c r="AF357">
        <f t="shared" si="93"/>
        <v>248975.7365968755</v>
      </c>
      <c r="AG357">
        <f t="shared" si="94"/>
        <v>247660.2481687527</v>
      </c>
      <c r="AH357">
        <f t="shared" si="95"/>
        <v>246519.97827063687</v>
      </c>
      <c r="AI357">
        <f t="shared" si="102"/>
        <v>250220.11590577386</v>
      </c>
    </row>
    <row r="358" spans="2:35" x14ac:dyDescent="0.3">
      <c r="B358">
        <v>315</v>
      </c>
      <c r="C358">
        <v>85151.809299999994</v>
      </c>
      <c r="D358">
        <v>84187.946400000001</v>
      </c>
      <c r="E358">
        <v>84402.682400000005</v>
      </c>
      <c r="F358">
        <v>84143.272500000006</v>
      </c>
      <c r="G358">
        <v>84364.009699999995</v>
      </c>
      <c r="H358">
        <v>84431.620699999999</v>
      </c>
      <c r="I358">
        <v>10.520954719075222</v>
      </c>
      <c r="J358">
        <v>10.467955460798681</v>
      </c>
      <c r="K358">
        <v>10.438152265916493</v>
      </c>
      <c r="L358">
        <v>10.420431501925361</v>
      </c>
      <c r="M358">
        <v>10.376084104256268</v>
      </c>
      <c r="N358">
        <v>10.330761084107788</v>
      </c>
      <c r="P358">
        <f t="shared" si="84"/>
        <v>230476.8322722567</v>
      </c>
      <c r="Q358">
        <f t="shared" si="85"/>
        <v>229850.71742396039</v>
      </c>
      <c r="R358">
        <f t="shared" si="86"/>
        <v>228741.8855774948</v>
      </c>
      <c r="S358">
        <f t="shared" si="87"/>
        <v>228469.67255776079</v>
      </c>
      <c r="T358">
        <f t="shared" si="88"/>
        <v>226918.51342768804</v>
      </c>
      <c r="U358">
        <f t="shared" si="89"/>
        <v>225491.21182323367</v>
      </c>
      <c r="V358">
        <f t="shared" si="96"/>
        <v>1</v>
      </c>
      <c r="W358">
        <f t="shared" si="97"/>
        <v>0</v>
      </c>
      <c r="X358">
        <f t="shared" si="98"/>
        <v>0</v>
      </c>
      <c r="Y358">
        <f t="shared" si="99"/>
        <v>0</v>
      </c>
      <c r="Z358">
        <f t="shared" si="100"/>
        <v>0</v>
      </c>
      <c r="AA358">
        <f t="shared" si="101"/>
        <v>0</v>
      </c>
      <c r="AC358">
        <f t="shared" si="90"/>
        <v>230476.8322722567</v>
      </c>
      <c r="AD358">
        <f t="shared" si="91"/>
        <v>229850.71742396039</v>
      </c>
      <c r="AE358">
        <f t="shared" si="92"/>
        <v>228741.8855774948</v>
      </c>
      <c r="AF358">
        <f t="shared" si="93"/>
        <v>228469.67255776079</v>
      </c>
      <c r="AG358">
        <f t="shared" si="94"/>
        <v>226918.51342768804</v>
      </c>
      <c r="AH358">
        <f t="shared" si="95"/>
        <v>225491.21182323367</v>
      </c>
      <c r="AI358">
        <f t="shared" si="102"/>
        <v>230476.8322722567</v>
      </c>
    </row>
    <row r="359" spans="2:35" x14ac:dyDescent="0.3">
      <c r="B359">
        <v>316</v>
      </c>
      <c r="C359">
        <v>73365.409199999995</v>
      </c>
      <c r="D359">
        <v>72853.152600000001</v>
      </c>
      <c r="E359">
        <v>73459.877900000007</v>
      </c>
      <c r="F359">
        <v>73315.407300000006</v>
      </c>
      <c r="G359">
        <v>74006.576499999996</v>
      </c>
      <c r="H359">
        <v>74721.7454</v>
      </c>
      <c r="I359">
        <v>10.558304713222579</v>
      </c>
      <c r="J359">
        <v>10.54221729611036</v>
      </c>
      <c r="K359">
        <v>10.529867253409126</v>
      </c>
      <c r="L359">
        <v>10.529466128148012</v>
      </c>
      <c r="M359">
        <v>10.512310631889184</v>
      </c>
      <c r="N359">
        <v>10.500171847479004</v>
      </c>
      <c r="P359">
        <f t="shared" si="84"/>
        <v>243383.73219667736</v>
      </c>
      <c r="Q359">
        <f t="shared" si="85"/>
        <v>243413.36628331078</v>
      </c>
      <c r="R359">
        <f t="shared" si="86"/>
        <v>242436.13970227377</v>
      </c>
      <c r="S359">
        <f t="shared" si="87"/>
        <v>242568.57654444035</v>
      </c>
      <c r="T359">
        <f t="shared" si="88"/>
        <v>241362.74245667554</v>
      </c>
      <c r="U359">
        <f t="shared" si="89"/>
        <v>240283.41002437013</v>
      </c>
      <c r="V359">
        <f t="shared" si="96"/>
        <v>0</v>
      </c>
      <c r="W359">
        <f t="shared" si="97"/>
        <v>1</v>
      </c>
      <c r="X359">
        <f t="shared" si="98"/>
        <v>0</v>
      </c>
      <c r="Y359">
        <f t="shared" si="99"/>
        <v>0</v>
      </c>
      <c r="Z359">
        <f t="shared" si="100"/>
        <v>0</v>
      </c>
      <c r="AA359">
        <f t="shared" si="101"/>
        <v>0</v>
      </c>
      <c r="AC359">
        <f t="shared" si="90"/>
        <v>243383.73219667736</v>
      </c>
      <c r="AD359">
        <f t="shared" si="91"/>
        <v>243413.36628331078</v>
      </c>
      <c r="AE359">
        <f t="shared" si="92"/>
        <v>242436.13970227377</v>
      </c>
      <c r="AF359">
        <f t="shared" si="93"/>
        <v>242568.57654444035</v>
      </c>
      <c r="AG359">
        <f t="shared" si="94"/>
        <v>241362.74245667554</v>
      </c>
      <c r="AH359">
        <f t="shared" si="95"/>
        <v>240283.41002437013</v>
      </c>
      <c r="AI359">
        <f t="shared" si="102"/>
        <v>243413.36628331078</v>
      </c>
    </row>
    <row r="360" spans="2:35" x14ac:dyDescent="0.3">
      <c r="B360">
        <v>317</v>
      </c>
      <c r="C360">
        <v>73515.915399999998</v>
      </c>
      <c r="D360">
        <v>73233.851200000005</v>
      </c>
      <c r="E360">
        <v>73902.959799999997</v>
      </c>
      <c r="F360">
        <v>73622.127800000002</v>
      </c>
      <c r="G360">
        <v>74468.674700000003</v>
      </c>
      <c r="H360">
        <v>75121.535499999998</v>
      </c>
      <c r="I360">
        <v>11.198537755495236</v>
      </c>
      <c r="J360">
        <v>11.153032863338051</v>
      </c>
      <c r="K360">
        <v>11.116004532660991</v>
      </c>
      <c r="L360">
        <v>11.116357445310861</v>
      </c>
      <c r="M360">
        <v>11.07876518713163</v>
      </c>
      <c r="N360">
        <v>11.046674310124576</v>
      </c>
      <c r="P360">
        <f t="shared" si="84"/>
        <v>262440.21726485708</v>
      </c>
      <c r="Q360">
        <f t="shared" si="85"/>
        <v>261357.13470014153</v>
      </c>
      <c r="R360">
        <f t="shared" si="86"/>
        <v>259577.17617982969</v>
      </c>
      <c r="S360">
        <f t="shared" si="87"/>
        <v>259868.59555932583</v>
      </c>
      <c r="T360">
        <f t="shared" si="88"/>
        <v>257894.28091394887</v>
      </c>
      <c r="U360">
        <f t="shared" si="89"/>
        <v>256278.69380373729</v>
      </c>
      <c r="V360">
        <f t="shared" si="96"/>
        <v>1</v>
      </c>
      <c r="W360">
        <f t="shared" si="97"/>
        <v>0</v>
      </c>
      <c r="X360">
        <f t="shared" si="98"/>
        <v>0</v>
      </c>
      <c r="Y360">
        <f t="shared" si="99"/>
        <v>0</v>
      </c>
      <c r="Z360">
        <f t="shared" si="100"/>
        <v>0</v>
      </c>
      <c r="AA360">
        <f t="shared" si="101"/>
        <v>0</v>
      </c>
      <c r="AC360">
        <f t="shared" si="90"/>
        <v>262440.21726485708</v>
      </c>
      <c r="AD360">
        <f t="shared" si="91"/>
        <v>261357.13470014153</v>
      </c>
      <c r="AE360">
        <f t="shared" si="92"/>
        <v>259577.17617982969</v>
      </c>
      <c r="AF360">
        <f t="shared" si="93"/>
        <v>259868.59555932583</v>
      </c>
      <c r="AG360">
        <f t="shared" si="94"/>
        <v>257894.28091394887</v>
      </c>
      <c r="AH360">
        <f t="shared" si="95"/>
        <v>256278.69380373729</v>
      </c>
      <c r="AI360">
        <f t="shared" si="102"/>
        <v>262440.21726485708</v>
      </c>
    </row>
    <row r="361" spans="2:35" x14ac:dyDescent="0.3">
      <c r="B361">
        <v>318</v>
      </c>
      <c r="C361">
        <v>86234.98</v>
      </c>
      <c r="D361">
        <v>84665.525200000004</v>
      </c>
      <c r="E361">
        <v>84422.258300000001</v>
      </c>
      <c r="F361">
        <v>83985.902000000002</v>
      </c>
      <c r="G361">
        <v>83648.176999999996</v>
      </c>
      <c r="H361">
        <v>83434.304699999993</v>
      </c>
      <c r="I361">
        <v>9.603441126790436</v>
      </c>
      <c r="J361">
        <v>9.5508696894380556</v>
      </c>
      <c r="K361">
        <v>9.5199865935524244</v>
      </c>
      <c r="L361">
        <v>9.4938642575029917</v>
      </c>
      <c r="M361">
        <v>9.463997392842991</v>
      </c>
      <c r="N361">
        <v>9.4266157780169149</v>
      </c>
      <c r="P361">
        <f t="shared" si="84"/>
        <v>201868.25380371307</v>
      </c>
      <c r="Q361">
        <f t="shared" si="85"/>
        <v>201860.56548314166</v>
      </c>
      <c r="R361">
        <f t="shared" si="86"/>
        <v>201177.33950657275</v>
      </c>
      <c r="S361">
        <f t="shared" si="87"/>
        <v>200830.02572508977</v>
      </c>
      <c r="T361">
        <f t="shared" si="88"/>
        <v>200271.74478528972</v>
      </c>
      <c r="U361">
        <f t="shared" si="89"/>
        <v>199364.16864050744</v>
      </c>
      <c r="V361">
        <f t="shared" si="96"/>
        <v>1</v>
      </c>
      <c r="W361">
        <f t="shared" si="97"/>
        <v>0</v>
      </c>
      <c r="X361">
        <f t="shared" si="98"/>
        <v>0</v>
      </c>
      <c r="Y361">
        <f t="shared" si="99"/>
        <v>0</v>
      </c>
      <c r="Z361">
        <f t="shared" si="100"/>
        <v>0</v>
      </c>
      <c r="AA361">
        <f t="shared" si="101"/>
        <v>0</v>
      </c>
      <c r="AC361">
        <f t="shared" si="90"/>
        <v>201868.25380371307</v>
      </c>
      <c r="AD361">
        <f t="shared" si="91"/>
        <v>201860.56548314166</v>
      </c>
      <c r="AE361">
        <f t="shared" si="92"/>
        <v>201177.33950657275</v>
      </c>
      <c r="AF361">
        <f t="shared" si="93"/>
        <v>200830.02572508977</v>
      </c>
      <c r="AG361">
        <f t="shared" si="94"/>
        <v>200271.74478528972</v>
      </c>
      <c r="AH361">
        <f t="shared" si="95"/>
        <v>199364.16864050744</v>
      </c>
      <c r="AI361">
        <f t="shared" si="102"/>
        <v>201868.25380371307</v>
      </c>
    </row>
    <row r="362" spans="2:35" x14ac:dyDescent="0.3">
      <c r="B362">
        <v>319</v>
      </c>
      <c r="C362">
        <v>67170.452900000004</v>
      </c>
      <c r="D362">
        <v>67572.676099999997</v>
      </c>
      <c r="E362">
        <v>68675.395699999994</v>
      </c>
      <c r="F362">
        <v>68938.152900000001</v>
      </c>
      <c r="G362">
        <v>70540.988500000007</v>
      </c>
      <c r="H362">
        <v>71224.562999999995</v>
      </c>
      <c r="I362">
        <v>9.7681061766005417</v>
      </c>
      <c r="J362">
        <v>9.736726165896334</v>
      </c>
      <c r="K362">
        <v>9.719017619100411</v>
      </c>
      <c r="L362">
        <v>9.7106969038089836</v>
      </c>
      <c r="M362">
        <v>9.6849564785500686</v>
      </c>
      <c r="N362">
        <v>9.667142766431116</v>
      </c>
      <c r="P362">
        <f t="shared" si="84"/>
        <v>225872.73239801623</v>
      </c>
      <c r="Q362">
        <f t="shared" si="85"/>
        <v>224529.10887689004</v>
      </c>
      <c r="R362">
        <f t="shared" si="86"/>
        <v>222895.13287301234</v>
      </c>
      <c r="S362">
        <f t="shared" si="87"/>
        <v>222382.75421426952</v>
      </c>
      <c r="T362">
        <f t="shared" si="88"/>
        <v>220007.70585650203</v>
      </c>
      <c r="U362">
        <f t="shared" si="89"/>
        <v>218789.71999293347</v>
      </c>
      <c r="V362">
        <f t="shared" si="96"/>
        <v>1</v>
      </c>
      <c r="W362">
        <f t="shared" si="97"/>
        <v>0</v>
      </c>
      <c r="X362">
        <f t="shared" si="98"/>
        <v>0</v>
      </c>
      <c r="Y362">
        <f t="shared" si="99"/>
        <v>0</v>
      </c>
      <c r="Z362">
        <f t="shared" si="100"/>
        <v>0</v>
      </c>
      <c r="AA362">
        <f t="shared" si="101"/>
        <v>0</v>
      </c>
      <c r="AC362">
        <f t="shared" si="90"/>
        <v>225872.73239801623</v>
      </c>
      <c r="AD362">
        <f t="shared" si="91"/>
        <v>224529.10887689004</v>
      </c>
      <c r="AE362">
        <f t="shared" si="92"/>
        <v>222895.13287301234</v>
      </c>
      <c r="AF362">
        <f t="shared" si="93"/>
        <v>222382.75421426952</v>
      </c>
      <c r="AG362">
        <f t="shared" si="94"/>
        <v>220007.70585650203</v>
      </c>
      <c r="AH362">
        <f t="shared" si="95"/>
        <v>218789.71999293347</v>
      </c>
      <c r="AI362">
        <f t="shared" si="102"/>
        <v>225872.73239801623</v>
      </c>
    </row>
    <row r="363" spans="2:35" x14ac:dyDescent="0.3">
      <c r="B363">
        <v>320</v>
      </c>
      <c r="C363">
        <v>74580.393100000001</v>
      </c>
      <c r="D363">
        <v>74663.735100000005</v>
      </c>
      <c r="E363">
        <v>75823.603700000007</v>
      </c>
      <c r="F363">
        <v>75627.552599999995</v>
      </c>
      <c r="G363">
        <v>77019.3033</v>
      </c>
      <c r="H363">
        <v>77932.803899999999</v>
      </c>
      <c r="I363">
        <v>10.567741905466244</v>
      </c>
      <c r="J363">
        <v>10.541773239344867</v>
      </c>
      <c r="K363">
        <v>10.531817478417228</v>
      </c>
      <c r="L363">
        <v>10.52706320231956</v>
      </c>
      <c r="M363">
        <v>10.511373417938655</v>
      </c>
      <c r="N363">
        <v>10.494550270791047</v>
      </c>
      <c r="P363">
        <f t="shared" si="84"/>
        <v>242451.86406398733</v>
      </c>
      <c r="Q363">
        <f t="shared" si="85"/>
        <v>241589.46208034601</v>
      </c>
      <c r="R363">
        <f t="shared" si="86"/>
        <v>240130.92065251686</v>
      </c>
      <c r="S363">
        <f t="shared" si="87"/>
        <v>240184.34346958681</v>
      </c>
      <c r="T363">
        <f t="shared" si="88"/>
        <v>238321.89923815968</v>
      </c>
      <c r="U363">
        <f t="shared" si="89"/>
        <v>236903.70422373142</v>
      </c>
      <c r="V363">
        <f t="shared" si="96"/>
        <v>1</v>
      </c>
      <c r="W363">
        <f t="shared" si="97"/>
        <v>0</v>
      </c>
      <c r="X363">
        <f t="shared" si="98"/>
        <v>0</v>
      </c>
      <c r="Y363">
        <f t="shared" si="99"/>
        <v>0</v>
      </c>
      <c r="Z363">
        <f t="shared" si="100"/>
        <v>0</v>
      </c>
      <c r="AA363">
        <f t="shared" si="101"/>
        <v>0</v>
      </c>
      <c r="AC363">
        <f t="shared" si="90"/>
        <v>242451.86406398733</v>
      </c>
      <c r="AD363">
        <f t="shared" si="91"/>
        <v>241589.46208034601</v>
      </c>
      <c r="AE363">
        <f t="shared" si="92"/>
        <v>240130.92065251686</v>
      </c>
      <c r="AF363">
        <f t="shared" si="93"/>
        <v>240184.34346958681</v>
      </c>
      <c r="AG363">
        <f t="shared" si="94"/>
        <v>238321.89923815968</v>
      </c>
      <c r="AH363">
        <f t="shared" si="95"/>
        <v>236903.70422373142</v>
      </c>
      <c r="AI363">
        <f t="shared" si="102"/>
        <v>242451.86406398733</v>
      </c>
    </row>
    <row r="364" spans="2:35" x14ac:dyDescent="0.3">
      <c r="B364">
        <v>321</v>
      </c>
      <c r="C364">
        <v>79601.851500000004</v>
      </c>
      <c r="D364">
        <v>78922.923899999994</v>
      </c>
      <c r="E364">
        <v>79512.963000000003</v>
      </c>
      <c r="F364">
        <v>79560.459099999993</v>
      </c>
      <c r="G364">
        <v>79997.452600000004</v>
      </c>
      <c r="H364">
        <v>80640.362099999998</v>
      </c>
      <c r="I364">
        <v>11.60316846726062</v>
      </c>
      <c r="J364">
        <v>11.542991307322479</v>
      </c>
      <c r="K364">
        <v>11.490067738075526</v>
      </c>
      <c r="L364">
        <v>11.466187892719276</v>
      </c>
      <c r="M364">
        <v>11.421586990004133</v>
      </c>
      <c r="N364">
        <v>11.370145292022031</v>
      </c>
      <c r="P364">
        <f t="shared" ref="P364:P427" si="103">Threshold*I364-C364</f>
        <v>268493.2025178186</v>
      </c>
      <c r="Q364">
        <f t="shared" ref="Q364:Q427" si="104">Threshold*J364-D364</f>
        <v>267366.81531967438</v>
      </c>
      <c r="R364">
        <f t="shared" ref="R364:R427" si="105">Threshold*K364-E364</f>
        <v>265189.06914226577</v>
      </c>
      <c r="S364">
        <f t="shared" ref="S364:S427" si="106">Threshold*L364-F364</f>
        <v>264425.17768157832</v>
      </c>
      <c r="T364">
        <f t="shared" ref="T364:T427" si="107">Threshold*M364-G364</f>
        <v>262650.15710012399</v>
      </c>
      <c r="U364">
        <f t="shared" ref="U364:U427" si="108">Threshold*N364-H364</f>
        <v>260463.99666066092</v>
      </c>
      <c r="V364">
        <f t="shared" si="96"/>
        <v>1</v>
      </c>
      <c r="W364">
        <f t="shared" si="97"/>
        <v>0</v>
      </c>
      <c r="X364">
        <f t="shared" si="98"/>
        <v>0</v>
      </c>
      <c r="Y364">
        <f t="shared" si="99"/>
        <v>0</v>
      </c>
      <c r="Z364">
        <f t="shared" si="100"/>
        <v>0</v>
      </c>
      <c r="AA364">
        <f t="shared" si="101"/>
        <v>0</v>
      </c>
      <c r="AC364">
        <f t="shared" ref="AC364:AC427" si="109">Threshold*I364-C364</f>
        <v>268493.2025178186</v>
      </c>
      <c r="AD364">
        <f t="shared" ref="AD364:AD427" si="110">Threshold*J364-D364</f>
        <v>267366.81531967438</v>
      </c>
      <c r="AE364">
        <f t="shared" ref="AE364:AE427" si="111">Threshold*K364-E364</f>
        <v>265189.06914226577</v>
      </c>
      <c r="AF364">
        <f t="shared" ref="AF364:AF427" si="112">Threshold*L364-F364</f>
        <v>264425.17768157832</v>
      </c>
      <c r="AG364">
        <f t="shared" ref="AG364:AG427" si="113">Threshold*M364-G364</f>
        <v>262650.15710012399</v>
      </c>
      <c r="AH364">
        <f t="shared" ref="AH364:AH427" si="114">Threshold*N364-H364</f>
        <v>260463.99666066092</v>
      </c>
      <c r="AI364">
        <f t="shared" si="102"/>
        <v>268493.2025178186</v>
      </c>
    </row>
    <row r="365" spans="2:35" x14ac:dyDescent="0.3">
      <c r="B365">
        <v>322</v>
      </c>
      <c r="C365">
        <v>73689.945099999997</v>
      </c>
      <c r="D365">
        <v>73038.182100000005</v>
      </c>
      <c r="E365">
        <v>73424.063399999999</v>
      </c>
      <c r="F365">
        <v>73473.808900000004</v>
      </c>
      <c r="G365">
        <v>73665.844200000007</v>
      </c>
      <c r="H365">
        <v>74172.153900000005</v>
      </c>
      <c r="I365">
        <v>10.450819603600065</v>
      </c>
      <c r="J365">
        <v>10.434249643155532</v>
      </c>
      <c r="K365">
        <v>10.421939032549817</v>
      </c>
      <c r="L365">
        <v>10.416017042892507</v>
      </c>
      <c r="M365">
        <v>10.406437976479037</v>
      </c>
      <c r="N365">
        <v>10.388813845095827</v>
      </c>
      <c r="P365">
        <f t="shared" si="103"/>
        <v>239834.64300800196</v>
      </c>
      <c r="Q365">
        <f t="shared" si="104"/>
        <v>239989.30719466598</v>
      </c>
      <c r="R365">
        <f t="shared" si="105"/>
        <v>239234.10757649451</v>
      </c>
      <c r="S365">
        <f t="shared" si="106"/>
        <v>239006.70238677523</v>
      </c>
      <c r="T365">
        <f t="shared" si="107"/>
        <v>238527.29509437113</v>
      </c>
      <c r="U365">
        <f t="shared" si="108"/>
        <v>237492.26145287478</v>
      </c>
      <c r="V365">
        <f t="shared" ref="V365:V428" si="115">IF(MAX(P365:U365)=P365, 1, 0)</f>
        <v>0</v>
      </c>
      <c r="W365">
        <f t="shared" ref="W365:W428" si="116">IF(MAX(P365:U365)=Q365, 1, 0)</f>
        <v>1</v>
      </c>
      <c r="X365">
        <f t="shared" ref="X365:X428" si="117">IF(MAX(P365:U365)=R365, 1, 0)</f>
        <v>0</v>
      </c>
      <c r="Y365">
        <f t="shared" ref="Y365:Y428" si="118">IF(MAX(P365:U365)=S365, 1, 0)</f>
        <v>0</v>
      </c>
      <c r="Z365">
        <f t="shared" ref="Z365:Z428" si="119">IF(MAX(P365:U365)=T365, 1, 0)</f>
        <v>0</v>
      </c>
      <c r="AA365">
        <f t="shared" ref="AA365:AA428" si="120">IF(MAX(P365:U365)=U365, 1, 0)</f>
        <v>0</v>
      </c>
      <c r="AC365">
        <f t="shared" si="109"/>
        <v>239834.64300800196</v>
      </c>
      <c r="AD365">
        <f t="shared" si="110"/>
        <v>239989.30719466598</v>
      </c>
      <c r="AE365">
        <f t="shared" si="111"/>
        <v>239234.10757649451</v>
      </c>
      <c r="AF365">
        <f t="shared" si="112"/>
        <v>239006.70238677523</v>
      </c>
      <c r="AG365">
        <f t="shared" si="113"/>
        <v>238527.29509437113</v>
      </c>
      <c r="AH365">
        <f t="shared" si="114"/>
        <v>237492.26145287478</v>
      </c>
      <c r="AI365">
        <f t="shared" ref="AI365:AI428" si="121">MAX(AC365:AH365)</f>
        <v>239989.30719466598</v>
      </c>
    </row>
    <row r="366" spans="2:35" x14ac:dyDescent="0.3">
      <c r="B366">
        <v>323</v>
      </c>
      <c r="C366">
        <v>67955.460200000001</v>
      </c>
      <c r="D366">
        <v>67884.978199999998</v>
      </c>
      <c r="E366">
        <v>68584.889599999995</v>
      </c>
      <c r="F366">
        <v>68742.864600000001</v>
      </c>
      <c r="G366">
        <v>69429.239199999996</v>
      </c>
      <c r="H366">
        <v>70516.567500000005</v>
      </c>
      <c r="I366">
        <v>8.693294305226603</v>
      </c>
      <c r="J366">
        <v>8.6543994714953474</v>
      </c>
      <c r="K366">
        <v>8.629411209638933</v>
      </c>
      <c r="L366">
        <v>8.6139368666445062</v>
      </c>
      <c r="M366">
        <v>8.590846538160454</v>
      </c>
      <c r="N366">
        <v>8.5618625455226844</v>
      </c>
      <c r="P366">
        <f t="shared" si="103"/>
        <v>192843.36895679808</v>
      </c>
      <c r="Q366">
        <f t="shared" si="104"/>
        <v>191747.0059448604</v>
      </c>
      <c r="R366">
        <f t="shared" si="105"/>
        <v>190297.44668916799</v>
      </c>
      <c r="S366">
        <f t="shared" si="106"/>
        <v>189675.24139933518</v>
      </c>
      <c r="T366">
        <f t="shared" si="107"/>
        <v>188296.15694481361</v>
      </c>
      <c r="U366">
        <f t="shared" si="108"/>
        <v>186339.30886568053</v>
      </c>
      <c r="V366">
        <f t="shared" si="115"/>
        <v>1</v>
      </c>
      <c r="W366">
        <f t="shared" si="116"/>
        <v>0</v>
      </c>
      <c r="X366">
        <f t="shared" si="117"/>
        <v>0</v>
      </c>
      <c r="Y366">
        <f t="shared" si="118"/>
        <v>0</v>
      </c>
      <c r="Z366">
        <f t="shared" si="119"/>
        <v>0</v>
      </c>
      <c r="AA366">
        <f t="shared" si="120"/>
        <v>0</v>
      </c>
      <c r="AC366">
        <f t="shared" si="109"/>
        <v>192843.36895679808</v>
      </c>
      <c r="AD366">
        <f t="shared" si="110"/>
        <v>191747.0059448604</v>
      </c>
      <c r="AE366">
        <f t="shared" si="111"/>
        <v>190297.44668916799</v>
      </c>
      <c r="AF366">
        <f t="shared" si="112"/>
        <v>189675.24139933518</v>
      </c>
      <c r="AG366">
        <f t="shared" si="113"/>
        <v>188296.15694481361</v>
      </c>
      <c r="AH366">
        <f t="shared" si="114"/>
        <v>186339.30886568053</v>
      </c>
      <c r="AI366">
        <f t="shared" si="121"/>
        <v>192843.36895679808</v>
      </c>
    </row>
    <row r="367" spans="2:35" x14ac:dyDescent="0.3">
      <c r="B367">
        <v>324</v>
      </c>
      <c r="C367">
        <v>92555.2981</v>
      </c>
      <c r="D367">
        <v>92306.071100000001</v>
      </c>
      <c r="E367">
        <v>93324.033200000005</v>
      </c>
      <c r="F367">
        <v>93168.163799999995</v>
      </c>
      <c r="G367">
        <v>93880.087199999994</v>
      </c>
      <c r="H367">
        <v>94966.902199999997</v>
      </c>
      <c r="I367">
        <v>9.4949138145166874</v>
      </c>
      <c r="J367">
        <v>9.4627105703341385</v>
      </c>
      <c r="K367">
        <v>9.4433701386658875</v>
      </c>
      <c r="L367">
        <v>9.436547030392159</v>
      </c>
      <c r="M367">
        <v>9.4183912331388431</v>
      </c>
      <c r="N367">
        <v>9.3901008558829133</v>
      </c>
      <c r="P367">
        <f t="shared" si="103"/>
        <v>192292.11633550061</v>
      </c>
      <c r="Q367">
        <f t="shared" si="104"/>
        <v>191575.24601002416</v>
      </c>
      <c r="R367">
        <f t="shared" si="105"/>
        <v>189977.07095997664</v>
      </c>
      <c r="S367">
        <f t="shared" si="106"/>
        <v>189928.24711176479</v>
      </c>
      <c r="T367">
        <f t="shared" si="107"/>
        <v>188671.64979416528</v>
      </c>
      <c r="U367">
        <f t="shared" si="108"/>
        <v>186736.12347648741</v>
      </c>
      <c r="V367">
        <f t="shared" si="115"/>
        <v>1</v>
      </c>
      <c r="W367">
        <f t="shared" si="116"/>
        <v>0</v>
      </c>
      <c r="X367">
        <f t="shared" si="117"/>
        <v>0</v>
      </c>
      <c r="Y367">
        <f t="shared" si="118"/>
        <v>0</v>
      </c>
      <c r="Z367">
        <f t="shared" si="119"/>
        <v>0</v>
      </c>
      <c r="AA367">
        <f t="shared" si="120"/>
        <v>0</v>
      </c>
      <c r="AC367">
        <f t="shared" si="109"/>
        <v>192292.11633550061</v>
      </c>
      <c r="AD367">
        <f t="shared" si="110"/>
        <v>191575.24601002416</v>
      </c>
      <c r="AE367">
        <f t="shared" si="111"/>
        <v>189977.07095997664</v>
      </c>
      <c r="AF367">
        <f t="shared" si="112"/>
        <v>189928.24711176479</v>
      </c>
      <c r="AG367">
        <f t="shared" si="113"/>
        <v>188671.64979416528</v>
      </c>
      <c r="AH367">
        <f t="shared" si="114"/>
        <v>186736.12347648741</v>
      </c>
      <c r="AI367">
        <f t="shared" si="121"/>
        <v>192292.11633550061</v>
      </c>
    </row>
    <row r="368" spans="2:35" x14ac:dyDescent="0.3">
      <c r="B368">
        <v>325</v>
      </c>
      <c r="C368">
        <v>79620.074299999993</v>
      </c>
      <c r="D368">
        <v>79134.444099999993</v>
      </c>
      <c r="E368">
        <v>79522.551600000006</v>
      </c>
      <c r="F368">
        <v>79657.231599999999</v>
      </c>
      <c r="G368">
        <v>80255.686100000006</v>
      </c>
      <c r="H368">
        <v>80752.160499999998</v>
      </c>
      <c r="I368">
        <v>11.10240339267466</v>
      </c>
      <c r="J368">
        <v>11.077883233767052</v>
      </c>
      <c r="K368">
        <v>11.066823922348066</v>
      </c>
      <c r="L368">
        <v>11.060055000062695</v>
      </c>
      <c r="M368">
        <v>11.039450864927256</v>
      </c>
      <c r="N368">
        <v>11.029953259489604</v>
      </c>
      <c r="P368">
        <f t="shared" si="103"/>
        <v>253452.02748023981</v>
      </c>
      <c r="Q368">
        <f t="shared" si="104"/>
        <v>253202.05291301155</v>
      </c>
      <c r="R368">
        <f t="shared" si="105"/>
        <v>252482.16607044195</v>
      </c>
      <c r="S368">
        <f t="shared" si="106"/>
        <v>252144.41840188083</v>
      </c>
      <c r="T368">
        <f t="shared" si="107"/>
        <v>250927.83984781767</v>
      </c>
      <c r="U368">
        <f t="shared" si="108"/>
        <v>250146.43728468812</v>
      </c>
      <c r="V368">
        <f t="shared" si="115"/>
        <v>1</v>
      </c>
      <c r="W368">
        <f t="shared" si="116"/>
        <v>0</v>
      </c>
      <c r="X368">
        <f t="shared" si="117"/>
        <v>0</v>
      </c>
      <c r="Y368">
        <f t="shared" si="118"/>
        <v>0</v>
      </c>
      <c r="Z368">
        <f t="shared" si="119"/>
        <v>0</v>
      </c>
      <c r="AA368">
        <f t="shared" si="120"/>
        <v>0</v>
      </c>
      <c r="AC368">
        <f t="shared" si="109"/>
        <v>253452.02748023981</v>
      </c>
      <c r="AD368">
        <f t="shared" si="110"/>
        <v>253202.05291301155</v>
      </c>
      <c r="AE368">
        <f t="shared" si="111"/>
        <v>252482.16607044195</v>
      </c>
      <c r="AF368">
        <f t="shared" si="112"/>
        <v>252144.41840188083</v>
      </c>
      <c r="AG368">
        <f t="shared" si="113"/>
        <v>250927.83984781767</v>
      </c>
      <c r="AH368">
        <f t="shared" si="114"/>
        <v>250146.43728468812</v>
      </c>
      <c r="AI368">
        <f t="shared" si="121"/>
        <v>253452.02748023981</v>
      </c>
    </row>
    <row r="369" spans="2:35" x14ac:dyDescent="0.3">
      <c r="B369">
        <v>326</v>
      </c>
      <c r="C369">
        <v>73563.3318</v>
      </c>
      <c r="D369">
        <v>72576.232300000003</v>
      </c>
      <c r="E369">
        <v>72653.950899999996</v>
      </c>
      <c r="F369">
        <v>72546.7598</v>
      </c>
      <c r="G369">
        <v>72596.890599999999</v>
      </c>
      <c r="H369">
        <v>72750.023300000001</v>
      </c>
      <c r="I369">
        <v>11.983619378698062</v>
      </c>
      <c r="J369">
        <v>11.950925237447187</v>
      </c>
      <c r="K369">
        <v>11.928652448076697</v>
      </c>
      <c r="L369">
        <v>11.914430294977922</v>
      </c>
      <c r="M369">
        <v>11.892445224594796</v>
      </c>
      <c r="N369">
        <v>11.868274318037818</v>
      </c>
      <c r="P369">
        <f t="shared" si="103"/>
        <v>285945.24956094188</v>
      </c>
      <c r="Q369">
        <f t="shared" si="104"/>
        <v>285951.52482341556</v>
      </c>
      <c r="R369">
        <f t="shared" si="105"/>
        <v>285205.6225423009</v>
      </c>
      <c r="S369">
        <f t="shared" si="106"/>
        <v>284886.14904933766</v>
      </c>
      <c r="T369">
        <f t="shared" si="107"/>
        <v>284176.46613784391</v>
      </c>
      <c r="U369">
        <f t="shared" si="108"/>
        <v>283298.20624113455</v>
      </c>
      <c r="V369">
        <f t="shared" si="115"/>
        <v>0</v>
      </c>
      <c r="W369">
        <f t="shared" si="116"/>
        <v>1</v>
      </c>
      <c r="X369">
        <f t="shared" si="117"/>
        <v>0</v>
      </c>
      <c r="Y369">
        <f t="shared" si="118"/>
        <v>0</v>
      </c>
      <c r="Z369">
        <f t="shared" si="119"/>
        <v>0</v>
      </c>
      <c r="AA369">
        <f t="shared" si="120"/>
        <v>0</v>
      </c>
      <c r="AC369">
        <f t="shared" si="109"/>
        <v>285945.24956094188</v>
      </c>
      <c r="AD369">
        <f t="shared" si="110"/>
        <v>285951.52482341556</v>
      </c>
      <c r="AE369">
        <f t="shared" si="111"/>
        <v>285205.6225423009</v>
      </c>
      <c r="AF369">
        <f t="shared" si="112"/>
        <v>284886.14904933766</v>
      </c>
      <c r="AG369">
        <f t="shared" si="113"/>
        <v>284176.46613784391</v>
      </c>
      <c r="AH369">
        <f t="shared" si="114"/>
        <v>283298.20624113455</v>
      </c>
      <c r="AI369">
        <f t="shared" si="121"/>
        <v>285951.52482341556</v>
      </c>
    </row>
    <row r="370" spans="2:35" x14ac:dyDescent="0.3">
      <c r="B370">
        <v>327</v>
      </c>
      <c r="C370">
        <v>79590.888999999996</v>
      </c>
      <c r="D370">
        <v>79005.761700000003</v>
      </c>
      <c r="E370">
        <v>79521.449699999997</v>
      </c>
      <c r="F370">
        <v>79613.985100000005</v>
      </c>
      <c r="G370">
        <v>80043.839699999997</v>
      </c>
      <c r="H370">
        <v>80503.338900000002</v>
      </c>
      <c r="I370">
        <v>10.944766394471234</v>
      </c>
      <c r="J370">
        <v>10.862017948664578</v>
      </c>
      <c r="K370">
        <v>10.781744740925529</v>
      </c>
      <c r="L370">
        <v>10.757314311919773</v>
      </c>
      <c r="M370">
        <v>10.684826053077661</v>
      </c>
      <c r="N370">
        <v>10.614861163799636</v>
      </c>
      <c r="P370">
        <f t="shared" si="103"/>
        <v>248752.10283413701</v>
      </c>
      <c r="Q370">
        <f t="shared" si="104"/>
        <v>246854.77675993732</v>
      </c>
      <c r="R370">
        <f t="shared" si="105"/>
        <v>243930.89252776589</v>
      </c>
      <c r="S370">
        <f t="shared" si="106"/>
        <v>243105.44425759319</v>
      </c>
      <c r="T370">
        <f t="shared" si="107"/>
        <v>240500.94189232984</v>
      </c>
      <c r="U370">
        <f t="shared" si="108"/>
        <v>237942.49601398906</v>
      </c>
      <c r="V370">
        <f t="shared" si="115"/>
        <v>1</v>
      </c>
      <c r="W370">
        <f t="shared" si="116"/>
        <v>0</v>
      </c>
      <c r="X370">
        <f t="shared" si="117"/>
        <v>0</v>
      </c>
      <c r="Y370">
        <f t="shared" si="118"/>
        <v>0</v>
      </c>
      <c r="Z370">
        <f t="shared" si="119"/>
        <v>0</v>
      </c>
      <c r="AA370">
        <f t="shared" si="120"/>
        <v>0</v>
      </c>
      <c r="AC370">
        <f t="shared" si="109"/>
        <v>248752.10283413701</v>
      </c>
      <c r="AD370">
        <f t="shared" si="110"/>
        <v>246854.77675993732</v>
      </c>
      <c r="AE370">
        <f t="shared" si="111"/>
        <v>243930.89252776589</v>
      </c>
      <c r="AF370">
        <f t="shared" si="112"/>
        <v>243105.44425759319</v>
      </c>
      <c r="AG370">
        <f t="shared" si="113"/>
        <v>240500.94189232984</v>
      </c>
      <c r="AH370">
        <f t="shared" si="114"/>
        <v>237942.49601398906</v>
      </c>
      <c r="AI370">
        <f t="shared" si="121"/>
        <v>248752.10283413701</v>
      </c>
    </row>
    <row r="371" spans="2:35" x14ac:dyDescent="0.3">
      <c r="B371">
        <v>328</v>
      </c>
      <c r="C371">
        <v>73548.326799999995</v>
      </c>
      <c r="D371">
        <v>73497.134600000005</v>
      </c>
      <c r="E371">
        <v>74233.142699999997</v>
      </c>
      <c r="F371">
        <v>74357.676300000006</v>
      </c>
      <c r="G371">
        <v>75025.296700000006</v>
      </c>
      <c r="H371">
        <v>75808.465400000001</v>
      </c>
      <c r="I371">
        <v>9.4679639196590699</v>
      </c>
      <c r="J371">
        <v>9.436732488181514</v>
      </c>
      <c r="K371">
        <v>9.4138775616936616</v>
      </c>
      <c r="L371">
        <v>9.4017544077067878</v>
      </c>
      <c r="M371">
        <v>9.3769119403692596</v>
      </c>
      <c r="N371">
        <v>9.3512759942673345</v>
      </c>
      <c r="P371">
        <f t="shared" si="103"/>
        <v>210490.5907897721</v>
      </c>
      <c r="Q371">
        <f t="shared" si="104"/>
        <v>209604.84004544542</v>
      </c>
      <c r="R371">
        <f t="shared" si="105"/>
        <v>208183.18415080986</v>
      </c>
      <c r="S371">
        <f t="shared" si="106"/>
        <v>207694.95593120361</v>
      </c>
      <c r="T371">
        <f t="shared" si="107"/>
        <v>206282.0615110778</v>
      </c>
      <c r="U371">
        <f t="shared" si="108"/>
        <v>204729.81442802004</v>
      </c>
      <c r="V371">
        <f t="shared" si="115"/>
        <v>1</v>
      </c>
      <c r="W371">
        <f t="shared" si="116"/>
        <v>0</v>
      </c>
      <c r="X371">
        <f t="shared" si="117"/>
        <v>0</v>
      </c>
      <c r="Y371">
        <f t="shared" si="118"/>
        <v>0</v>
      </c>
      <c r="Z371">
        <f t="shared" si="119"/>
        <v>0</v>
      </c>
      <c r="AA371">
        <f t="shared" si="120"/>
        <v>0</v>
      </c>
      <c r="AC371">
        <f t="shared" si="109"/>
        <v>210490.5907897721</v>
      </c>
      <c r="AD371">
        <f t="shared" si="110"/>
        <v>209604.84004544542</v>
      </c>
      <c r="AE371">
        <f t="shared" si="111"/>
        <v>208183.18415080986</v>
      </c>
      <c r="AF371">
        <f t="shared" si="112"/>
        <v>207694.95593120361</v>
      </c>
      <c r="AG371">
        <f t="shared" si="113"/>
        <v>206282.0615110778</v>
      </c>
      <c r="AH371">
        <f t="shared" si="114"/>
        <v>204729.81442802004</v>
      </c>
      <c r="AI371">
        <f t="shared" si="121"/>
        <v>210490.5907897721</v>
      </c>
    </row>
    <row r="372" spans="2:35" x14ac:dyDescent="0.3">
      <c r="B372">
        <v>329</v>
      </c>
      <c r="C372">
        <v>72910.124500000005</v>
      </c>
      <c r="D372">
        <v>72211.960900000005</v>
      </c>
      <c r="E372">
        <v>72866.135399999999</v>
      </c>
      <c r="F372">
        <v>72683.335099999997</v>
      </c>
      <c r="G372">
        <v>73254.398499999996</v>
      </c>
      <c r="H372">
        <v>73833.368600000002</v>
      </c>
      <c r="I372">
        <v>8.3501692049777088</v>
      </c>
      <c r="J372">
        <v>8.3193732413288437</v>
      </c>
      <c r="K372">
        <v>8.2927770423273817</v>
      </c>
      <c r="L372">
        <v>8.2858929374748964</v>
      </c>
      <c r="M372">
        <v>8.2475172482655648</v>
      </c>
      <c r="N372">
        <v>8.2292789493405962</v>
      </c>
      <c r="P372">
        <f t="shared" si="103"/>
        <v>177594.95164933125</v>
      </c>
      <c r="Q372">
        <f t="shared" si="104"/>
        <v>177369.23633986531</v>
      </c>
      <c r="R372">
        <f t="shared" si="105"/>
        <v>175917.17586982145</v>
      </c>
      <c r="S372">
        <f t="shared" si="106"/>
        <v>175893.4530242469</v>
      </c>
      <c r="T372">
        <f t="shared" si="107"/>
        <v>174171.11894796696</v>
      </c>
      <c r="U372">
        <f t="shared" si="108"/>
        <v>173044.99988021789</v>
      </c>
      <c r="V372">
        <f t="shared" si="115"/>
        <v>1</v>
      </c>
      <c r="W372">
        <f t="shared" si="116"/>
        <v>0</v>
      </c>
      <c r="X372">
        <f t="shared" si="117"/>
        <v>0</v>
      </c>
      <c r="Y372">
        <f t="shared" si="118"/>
        <v>0</v>
      </c>
      <c r="Z372">
        <f t="shared" si="119"/>
        <v>0</v>
      </c>
      <c r="AA372">
        <f t="shared" si="120"/>
        <v>0</v>
      </c>
      <c r="AC372">
        <f t="shared" si="109"/>
        <v>177594.95164933125</v>
      </c>
      <c r="AD372">
        <f t="shared" si="110"/>
        <v>177369.23633986531</v>
      </c>
      <c r="AE372">
        <f t="shared" si="111"/>
        <v>175917.17586982145</v>
      </c>
      <c r="AF372">
        <f t="shared" si="112"/>
        <v>175893.4530242469</v>
      </c>
      <c r="AG372">
        <f t="shared" si="113"/>
        <v>174171.11894796696</v>
      </c>
      <c r="AH372">
        <f t="shared" si="114"/>
        <v>173044.99988021789</v>
      </c>
      <c r="AI372">
        <f t="shared" si="121"/>
        <v>177594.95164933125</v>
      </c>
    </row>
    <row r="373" spans="2:35" x14ac:dyDescent="0.3">
      <c r="B373">
        <v>330</v>
      </c>
      <c r="C373">
        <v>78879.183199999999</v>
      </c>
      <c r="D373">
        <v>78045.448499999999</v>
      </c>
      <c r="E373">
        <v>78245.198099999994</v>
      </c>
      <c r="F373">
        <v>78184.615000000005</v>
      </c>
      <c r="G373">
        <v>78435.173599999995</v>
      </c>
      <c r="H373">
        <v>78859.803700000004</v>
      </c>
      <c r="I373">
        <v>11.463351972582156</v>
      </c>
      <c r="J373">
        <v>11.399062697288764</v>
      </c>
      <c r="K373">
        <v>11.359589123989206</v>
      </c>
      <c r="L373">
        <v>11.329765083397715</v>
      </c>
      <c r="M373">
        <v>11.281121593991051</v>
      </c>
      <c r="N373">
        <v>11.235194404002364</v>
      </c>
      <c r="P373">
        <f t="shared" si="103"/>
        <v>265021.37597746472</v>
      </c>
      <c r="Q373">
        <f t="shared" si="104"/>
        <v>263926.43241866294</v>
      </c>
      <c r="R373">
        <f t="shared" si="105"/>
        <v>262542.47561967623</v>
      </c>
      <c r="S373">
        <f t="shared" si="106"/>
        <v>261708.33750193147</v>
      </c>
      <c r="T373">
        <f t="shared" si="107"/>
        <v>259998.47421973152</v>
      </c>
      <c r="U373">
        <f t="shared" si="108"/>
        <v>258196.02842007094</v>
      </c>
      <c r="V373">
        <f t="shared" si="115"/>
        <v>1</v>
      </c>
      <c r="W373">
        <f t="shared" si="116"/>
        <v>0</v>
      </c>
      <c r="X373">
        <f t="shared" si="117"/>
        <v>0</v>
      </c>
      <c r="Y373">
        <f t="shared" si="118"/>
        <v>0</v>
      </c>
      <c r="Z373">
        <f t="shared" si="119"/>
        <v>0</v>
      </c>
      <c r="AA373">
        <f t="shared" si="120"/>
        <v>0</v>
      </c>
      <c r="AC373">
        <f t="shared" si="109"/>
        <v>265021.37597746472</v>
      </c>
      <c r="AD373">
        <f t="shared" si="110"/>
        <v>263926.43241866294</v>
      </c>
      <c r="AE373">
        <f t="shared" si="111"/>
        <v>262542.47561967623</v>
      </c>
      <c r="AF373">
        <f t="shared" si="112"/>
        <v>261708.33750193147</v>
      </c>
      <c r="AG373">
        <f t="shared" si="113"/>
        <v>259998.47421973152</v>
      </c>
      <c r="AH373">
        <f t="shared" si="114"/>
        <v>258196.02842007094</v>
      </c>
      <c r="AI373">
        <f t="shared" si="121"/>
        <v>265021.37597746472</v>
      </c>
    </row>
    <row r="374" spans="2:35" x14ac:dyDescent="0.3">
      <c r="B374">
        <v>331</v>
      </c>
      <c r="C374">
        <v>72083.483099999998</v>
      </c>
      <c r="D374">
        <v>70445.782399999996</v>
      </c>
      <c r="E374">
        <v>70043.486900000004</v>
      </c>
      <c r="F374">
        <v>69794.687300000005</v>
      </c>
      <c r="G374">
        <v>69466.1682</v>
      </c>
      <c r="H374">
        <v>69130.969299999997</v>
      </c>
      <c r="I374">
        <v>10.781541315393165</v>
      </c>
      <c r="J374">
        <v>10.714790969894592</v>
      </c>
      <c r="K374">
        <v>10.666305937713808</v>
      </c>
      <c r="L374">
        <v>10.652045751881724</v>
      </c>
      <c r="M374">
        <v>10.612005536568438</v>
      </c>
      <c r="N374">
        <v>10.543781596278839</v>
      </c>
      <c r="P374">
        <f t="shared" si="103"/>
        <v>251362.75636179495</v>
      </c>
      <c r="Q374">
        <f t="shared" si="104"/>
        <v>250997.94669683775</v>
      </c>
      <c r="R374">
        <f t="shared" si="105"/>
        <v>249945.69123141421</v>
      </c>
      <c r="S374">
        <f t="shared" si="106"/>
        <v>249766.68525645172</v>
      </c>
      <c r="T374">
        <f t="shared" si="107"/>
        <v>248893.99789705314</v>
      </c>
      <c r="U374">
        <f t="shared" si="108"/>
        <v>247182.47858836519</v>
      </c>
      <c r="V374">
        <f t="shared" si="115"/>
        <v>1</v>
      </c>
      <c r="W374">
        <f t="shared" si="116"/>
        <v>0</v>
      </c>
      <c r="X374">
        <f t="shared" si="117"/>
        <v>0</v>
      </c>
      <c r="Y374">
        <f t="shared" si="118"/>
        <v>0</v>
      </c>
      <c r="Z374">
        <f t="shared" si="119"/>
        <v>0</v>
      </c>
      <c r="AA374">
        <f t="shared" si="120"/>
        <v>0</v>
      </c>
      <c r="AC374">
        <f t="shared" si="109"/>
        <v>251362.75636179495</v>
      </c>
      <c r="AD374">
        <f t="shared" si="110"/>
        <v>250997.94669683775</v>
      </c>
      <c r="AE374">
        <f t="shared" si="111"/>
        <v>249945.69123141421</v>
      </c>
      <c r="AF374">
        <f t="shared" si="112"/>
        <v>249766.68525645172</v>
      </c>
      <c r="AG374">
        <f t="shared" si="113"/>
        <v>248893.99789705314</v>
      </c>
      <c r="AH374">
        <f t="shared" si="114"/>
        <v>247182.47858836519</v>
      </c>
      <c r="AI374">
        <f t="shared" si="121"/>
        <v>251362.75636179495</v>
      </c>
    </row>
    <row r="375" spans="2:35" x14ac:dyDescent="0.3">
      <c r="B375">
        <v>332</v>
      </c>
      <c r="C375">
        <v>73317.4948</v>
      </c>
      <c r="D375">
        <v>73602.221099999995</v>
      </c>
      <c r="E375">
        <v>74607.360100000005</v>
      </c>
      <c r="F375">
        <v>74829.765599999999</v>
      </c>
      <c r="G375">
        <v>75992.479600000006</v>
      </c>
      <c r="H375">
        <v>77227.335500000001</v>
      </c>
      <c r="I375">
        <v>11.629482561306189</v>
      </c>
      <c r="J375">
        <v>11.626991106687932</v>
      </c>
      <c r="K375">
        <v>11.625045699253663</v>
      </c>
      <c r="L375">
        <v>11.624468124107452</v>
      </c>
      <c r="M375">
        <v>11.622427277130072</v>
      </c>
      <c r="N375">
        <v>11.620280982930181</v>
      </c>
      <c r="P375">
        <f t="shared" si="103"/>
        <v>275566.98203918565</v>
      </c>
      <c r="Q375">
        <f t="shared" si="104"/>
        <v>275207.51210063801</v>
      </c>
      <c r="R375">
        <f t="shared" si="105"/>
        <v>274144.01087760989</v>
      </c>
      <c r="S375">
        <f t="shared" si="106"/>
        <v>273904.27812322357</v>
      </c>
      <c r="T375">
        <f t="shared" si="107"/>
        <v>272680.33871390211</v>
      </c>
      <c r="U375">
        <f t="shared" si="108"/>
        <v>271381.09398790542</v>
      </c>
      <c r="V375">
        <f t="shared" si="115"/>
        <v>1</v>
      </c>
      <c r="W375">
        <f t="shared" si="116"/>
        <v>0</v>
      </c>
      <c r="X375">
        <f t="shared" si="117"/>
        <v>0</v>
      </c>
      <c r="Y375">
        <f t="shared" si="118"/>
        <v>0</v>
      </c>
      <c r="Z375">
        <f t="shared" si="119"/>
        <v>0</v>
      </c>
      <c r="AA375">
        <f t="shared" si="120"/>
        <v>0</v>
      </c>
      <c r="AC375">
        <f t="shared" si="109"/>
        <v>275566.98203918565</v>
      </c>
      <c r="AD375">
        <f t="shared" si="110"/>
        <v>275207.51210063801</v>
      </c>
      <c r="AE375">
        <f t="shared" si="111"/>
        <v>274144.01087760989</v>
      </c>
      <c r="AF375">
        <f t="shared" si="112"/>
        <v>273904.27812322357</v>
      </c>
      <c r="AG375">
        <f t="shared" si="113"/>
        <v>272680.33871390211</v>
      </c>
      <c r="AH375">
        <f t="shared" si="114"/>
        <v>271381.09398790542</v>
      </c>
      <c r="AI375">
        <f t="shared" si="121"/>
        <v>275566.98203918565</v>
      </c>
    </row>
    <row r="376" spans="2:35" x14ac:dyDescent="0.3">
      <c r="B376">
        <v>333</v>
      </c>
      <c r="C376">
        <v>77633.556599999996</v>
      </c>
      <c r="D376">
        <v>76078.318700000003</v>
      </c>
      <c r="E376">
        <v>75956.162500000006</v>
      </c>
      <c r="F376">
        <v>75494.7644</v>
      </c>
      <c r="G376">
        <v>75192.009699999995</v>
      </c>
      <c r="H376">
        <v>75069.299799999993</v>
      </c>
      <c r="I376">
        <v>9.7307187527244743</v>
      </c>
      <c r="J376">
        <v>9.6938306182906544</v>
      </c>
      <c r="K376">
        <v>9.6730662500706703</v>
      </c>
      <c r="L376">
        <v>9.6599471749981589</v>
      </c>
      <c r="M376">
        <v>9.6293090281819467</v>
      </c>
      <c r="N376">
        <v>9.6033393377457728</v>
      </c>
      <c r="P376">
        <f t="shared" si="103"/>
        <v>214288.0059817342</v>
      </c>
      <c r="Q376">
        <f t="shared" si="104"/>
        <v>214736.5998487196</v>
      </c>
      <c r="R376">
        <f t="shared" si="105"/>
        <v>214235.82500212008</v>
      </c>
      <c r="S376">
        <f t="shared" si="106"/>
        <v>214303.6508499448</v>
      </c>
      <c r="T376">
        <f t="shared" si="107"/>
        <v>213687.26114545838</v>
      </c>
      <c r="U376">
        <f t="shared" si="108"/>
        <v>213030.8803323732</v>
      </c>
      <c r="V376">
        <f t="shared" si="115"/>
        <v>0</v>
      </c>
      <c r="W376">
        <f t="shared" si="116"/>
        <v>1</v>
      </c>
      <c r="X376">
        <f t="shared" si="117"/>
        <v>0</v>
      </c>
      <c r="Y376">
        <f t="shared" si="118"/>
        <v>0</v>
      </c>
      <c r="Z376">
        <f t="shared" si="119"/>
        <v>0</v>
      </c>
      <c r="AA376">
        <f t="shared" si="120"/>
        <v>0</v>
      </c>
      <c r="AC376">
        <f t="shared" si="109"/>
        <v>214288.0059817342</v>
      </c>
      <c r="AD376">
        <f t="shared" si="110"/>
        <v>214736.5998487196</v>
      </c>
      <c r="AE376">
        <f t="shared" si="111"/>
        <v>214235.82500212008</v>
      </c>
      <c r="AF376">
        <f t="shared" si="112"/>
        <v>214303.6508499448</v>
      </c>
      <c r="AG376">
        <f t="shared" si="113"/>
        <v>213687.26114545838</v>
      </c>
      <c r="AH376">
        <f t="shared" si="114"/>
        <v>213030.8803323732</v>
      </c>
      <c r="AI376">
        <f t="shared" si="121"/>
        <v>214736.5998487196</v>
      </c>
    </row>
    <row r="377" spans="2:35" x14ac:dyDescent="0.3">
      <c r="B377">
        <v>334</v>
      </c>
      <c r="C377">
        <v>75219.1345</v>
      </c>
      <c r="D377">
        <v>74559.646999999997</v>
      </c>
      <c r="E377">
        <v>74856.258199999997</v>
      </c>
      <c r="F377">
        <v>74886.354000000007</v>
      </c>
      <c r="G377">
        <v>75263.020799999998</v>
      </c>
      <c r="H377">
        <v>75831.575100000002</v>
      </c>
      <c r="I377">
        <v>9.7657729838454745</v>
      </c>
      <c r="J377">
        <v>9.7462886270130618</v>
      </c>
      <c r="K377">
        <v>9.7351530657704526</v>
      </c>
      <c r="L377">
        <v>9.7266000777111365</v>
      </c>
      <c r="M377">
        <v>9.712793963551281</v>
      </c>
      <c r="N377">
        <v>9.6991602454997583</v>
      </c>
      <c r="P377">
        <f t="shared" si="103"/>
        <v>217754.05501536425</v>
      </c>
      <c r="Q377">
        <f t="shared" si="104"/>
        <v>217829.01181039185</v>
      </c>
      <c r="R377">
        <f t="shared" si="105"/>
        <v>217198.33377311361</v>
      </c>
      <c r="S377">
        <f t="shared" si="106"/>
        <v>216911.64833133412</v>
      </c>
      <c r="T377">
        <f t="shared" si="107"/>
        <v>216120.79810653842</v>
      </c>
      <c r="U377">
        <f t="shared" si="108"/>
        <v>215143.23226499272</v>
      </c>
      <c r="V377">
        <f t="shared" si="115"/>
        <v>0</v>
      </c>
      <c r="W377">
        <f t="shared" si="116"/>
        <v>1</v>
      </c>
      <c r="X377">
        <f t="shared" si="117"/>
        <v>0</v>
      </c>
      <c r="Y377">
        <f t="shared" si="118"/>
        <v>0</v>
      </c>
      <c r="Z377">
        <f t="shared" si="119"/>
        <v>0</v>
      </c>
      <c r="AA377">
        <f t="shared" si="120"/>
        <v>0</v>
      </c>
      <c r="AC377">
        <f t="shared" si="109"/>
        <v>217754.05501536425</v>
      </c>
      <c r="AD377">
        <f t="shared" si="110"/>
        <v>217829.01181039185</v>
      </c>
      <c r="AE377">
        <f t="shared" si="111"/>
        <v>217198.33377311361</v>
      </c>
      <c r="AF377">
        <f t="shared" si="112"/>
        <v>216911.64833133412</v>
      </c>
      <c r="AG377">
        <f t="shared" si="113"/>
        <v>216120.79810653842</v>
      </c>
      <c r="AH377">
        <f t="shared" si="114"/>
        <v>215143.23226499272</v>
      </c>
      <c r="AI377">
        <f t="shared" si="121"/>
        <v>217829.01181039185</v>
      </c>
    </row>
    <row r="378" spans="2:35" x14ac:dyDescent="0.3">
      <c r="B378">
        <v>335</v>
      </c>
      <c r="C378">
        <v>73621.213300000003</v>
      </c>
      <c r="D378">
        <v>73179.062600000005</v>
      </c>
      <c r="E378">
        <v>74133.611900000004</v>
      </c>
      <c r="F378">
        <v>74038.642900000006</v>
      </c>
      <c r="G378">
        <v>74962.195900000006</v>
      </c>
      <c r="H378">
        <v>75741.749299999996</v>
      </c>
      <c r="I378">
        <v>8.5143437164403881</v>
      </c>
      <c r="J378">
        <v>8.5071581490762771</v>
      </c>
      <c r="K378">
        <v>8.4981486137516491</v>
      </c>
      <c r="L378">
        <v>8.492959805274829</v>
      </c>
      <c r="M378">
        <v>8.4864126895851122</v>
      </c>
      <c r="N378">
        <v>8.4768712432078157</v>
      </c>
      <c r="P378">
        <f t="shared" si="103"/>
        <v>181809.09819321163</v>
      </c>
      <c r="Q378">
        <f t="shared" si="104"/>
        <v>182035.68187228832</v>
      </c>
      <c r="R378">
        <f t="shared" si="105"/>
        <v>180810.84651254944</v>
      </c>
      <c r="S378">
        <f t="shared" si="106"/>
        <v>180750.15125824485</v>
      </c>
      <c r="T378">
        <f t="shared" si="107"/>
        <v>179630.18478755339</v>
      </c>
      <c r="U378">
        <f t="shared" si="108"/>
        <v>178564.38799623447</v>
      </c>
      <c r="V378">
        <f t="shared" si="115"/>
        <v>0</v>
      </c>
      <c r="W378">
        <f t="shared" si="116"/>
        <v>1</v>
      </c>
      <c r="X378">
        <f t="shared" si="117"/>
        <v>0</v>
      </c>
      <c r="Y378">
        <f t="shared" si="118"/>
        <v>0</v>
      </c>
      <c r="Z378">
        <f t="shared" si="119"/>
        <v>0</v>
      </c>
      <c r="AA378">
        <f t="shared" si="120"/>
        <v>0</v>
      </c>
      <c r="AC378">
        <f t="shared" si="109"/>
        <v>181809.09819321163</v>
      </c>
      <c r="AD378">
        <f t="shared" si="110"/>
        <v>182035.68187228832</v>
      </c>
      <c r="AE378">
        <f t="shared" si="111"/>
        <v>180810.84651254944</v>
      </c>
      <c r="AF378">
        <f t="shared" si="112"/>
        <v>180750.15125824485</v>
      </c>
      <c r="AG378">
        <f t="shared" si="113"/>
        <v>179630.18478755339</v>
      </c>
      <c r="AH378">
        <f t="shared" si="114"/>
        <v>178564.38799623447</v>
      </c>
      <c r="AI378">
        <f t="shared" si="121"/>
        <v>182035.68187228832</v>
      </c>
    </row>
    <row r="379" spans="2:35" x14ac:dyDescent="0.3">
      <c r="B379">
        <v>336</v>
      </c>
      <c r="C379">
        <v>75935.092999999993</v>
      </c>
      <c r="D379">
        <v>75071.068499999994</v>
      </c>
      <c r="E379">
        <v>75513.543099999995</v>
      </c>
      <c r="F379">
        <v>75489.356400000004</v>
      </c>
      <c r="G379">
        <v>75815.522700000001</v>
      </c>
      <c r="H379">
        <v>76380.146500000003</v>
      </c>
      <c r="I379">
        <v>11.435090448342171</v>
      </c>
      <c r="J379">
        <v>11.383092640949576</v>
      </c>
      <c r="K379">
        <v>11.335890934087621</v>
      </c>
      <c r="L379">
        <v>11.317493474950663</v>
      </c>
      <c r="M379">
        <v>11.284095573925878</v>
      </c>
      <c r="N379">
        <v>11.229358563552029</v>
      </c>
      <c r="P379">
        <f t="shared" si="103"/>
        <v>267117.62045026512</v>
      </c>
      <c r="Q379">
        <f t="shared" si="104"/>
        <v>266421.71072848729</v>
      </c>
      <c r="R379">
        <f t="shared" si="105"/>
        <v>264563.18492262863</v>
      </c>
      <c r="S379">
        <f t="shared" si="106"/>
        <v>264035.44784851989</v>
      </c>
      <c r="T379">
        <f t="shared" si="107"/>
        <v>262707.34451777639</v>
      </c>
      <c r="U379">
        <f t="shared" si="108"/>
        <v>260500.61040656085</v>
      </c>
      <c r="V379">
        <f t="shared" si="115"/>
        <v>1</v>
      </c>
      <c r="W379">
        <f t="shared" si="116"/>
        <v>0</v>
      </c>
      <c r="X379">
        <f t="shared" si="117"/>
        <v>0</v>
      </c>
      <c r="Y379">
        <f t="shared" si="118"/>
        <v>0</v>
      </c>
      <c r="Z379">
        <f t="shared" si="119"/>
        <v>0</v>
      </c>
      <c r="AA379">
        <f t="shared" si="120"/>
        <v>0</v>
      </c>
      <c r="AC379">
        <f t="shared" si="109"/>
        <v>267117.62045026512</v>
      </c>
      <c r="AD379">
        <f t="shared" si="110"/>
        <v>266421.71072848729</v>
      </c>
      <c r="AE379">
        <f t="shared" si="111"/>
        <v>264563.18492262863</v>
      </c>
      <c r="AF379">
        <f t="shared" si="112"/>
        <v>264035.44784851989</v>
      </c>
      <c r="AG379">
        <f t="shared" si="113"/>
        <v>262707.34451777639</v>
      </c>
      <c r="AH379">
        <f t="shared" si="114"/>
        <v>260500.61040656085</v>
      </c>
      <c r="AI379">
        <f t="shared" si="121"/>
        <v>267117.62045026512</v>
      </c>
    </row>
    <row r="380" spans="2:35" x14ac:dyDescent="0.3">
      <c r="B380">
        <v>337</v>
      </c>
      <c r="C380">
        <v>73168.696800000005</v>
      </c>
      <c r="D380">
        <v>72476.035999999993</v>
      </c>
      <c r="E380">
        <v>72619.310700000002</v>
      </c>
      <c r="F380">
        <v>72629.747199999998</v>
      </c>
      <c r="G380">
        <v>73145.889899999995</v>
      </c>
      <c r="H380">
        <v>73346.105599999995</v>
      </c>
      <c r="I380">
        <v>10.021886046030783</v>
      </c>
      <c r="J380">
        <v>9.9937468159883558</v>
      </c>
      <c r="K380">
        <v>9.9812974697641117</v>
      </c>
      <c r="L380">
        <v>9.9739247363797592</v>
      </c>
      <c r="M380">
        <v>9.956408757358755</v>
      </c>
      <c r="N380">
        <v>9.9364314961993649</v>
      </c>
      <c r="P380">
        <f t="shared" si="103"/>
        <v>227487.88458092351</v>
      </c>
      <c r="Q380">
        <f t="shared" si="104"/>
        <v>227336.36847965067</v>
      </c>
      <c r="R380">
        <f t="shared" si="105"/>
        <v>226819.61339292335</v>
      </c>
      <c r="S380">
        <f t="shared" si="106"/>
        <v>226587.99489139277</v>
      </c>
      <c r="T380">
        <f t="shared" si="107"/>
        <v>225546.37282076263</v>
      </c>
      <c r="U380">
        <f t="shared" si="108"/>
        <v>224746.83928598091</v>
      </c>
      <c r="V380">
        <f t="shared" si="115"/>
        <v>1</v>
      </c>
      <c r="W380">
        <f t="shared" si="116"/>
        <v>0</v>
      </c>
      <c r="X380">
        <f t="shared" si="117"/>
        <v>0</v>
      </c>
      <c r="Y380">
        <f t="shared" si="118"/>
        <v>0</v>
      </c>
      <c r="Z380">
        <f t="shared" si="119"/>
        <v>0</v>
      </c>
      <c r="AA380">
        <f t="shared" si="120"/>
        <v>0</v>
      </c>
      <c r="AC380">
        <f t="shared" si="109"/>
        <v>227487.88458092351</v>
      </c>
      <c r="AD380">
        <f t="shared" si="110"/>
        <v>227336.36847965067</v>
      </c>
      <c r="AE380">
        <f t="shared" si="111"/>
        <v>226819.61339292335</v>
      </c>
      <c r="AF380">
        <f t="shared" si="112"/>
        <v>226587.99489139277</v>
      </c>
      <c r="AG380">
        <f t="shared" si="113"/>
        <v>225546.37282076263</v>
      </c>
      <c r="AH380">
        <f t="shared" si="114"/>
        <v>224746.83928598091</v>
      </c>
      <c r="AI380">
        <f t="shared" si="121"/>
        <v>227487.88458092351</v>
      </c>
    </row>
    <row r="381" spans="2:35" x14ac:dyDescent="0.3">
      <c r="B381">
        <v>338</v>
      </c>
      <c r="C381">
        <v>72517.544800000003</v>
      </c>
      <c r="D381">
        <v>70941.283899999995</v>
      </c>
      <c r="E381">
        <v>70667.306400000001</v>
      </c>
      <c r="F381">
        <v>70438.5818</v>
      </c>
      <c r="G381">
        <v>70123.730500000005</v>
      </c>
      <c r="H381">
        <v>69917.207800000004</v>
      </c>
      <c r="I381">
        <v>10.046148240634688</v>
      </c>
      <c r="J381">
        <v>10.009254782711606</v>
      </c>
      <c r="K381">
        <v>9.9886879663008976</v>
      </c>
      <c r="L381">
        <v>9.9842618031595283</v>
      </c>
      <c r="M381">
        <v>9.955741317605769</v>
      </c>
      <c r="N381">
        <v>9.9250504351525581</v>
      </c>
      <c r="P381">
        <f t="shared" si="103"/>
        <v>228866.90241904065</v>
      </c>
      <c r="Q381">
        <f t="shared" si="104"/>
        <v>229336.3595813482</v>
      </c>
      <c r="R381">
        <f t="shared" si="105"/>
        <v>228993.33258902695</v>
      </c>
      <c r="S381">
        <f t="shared" si="106"/>
        <v>229089.27229478589</v>
      </c>
      <c r="T381">
        <f t="shared" si="107"/>
        <v>228548.50902817305</v>
      </c>
      <c r="U381">
        <f t="shared" si="108"/>
        <v>227834.30525457676</v>
      </c>
      <c r="V381">
        <f t="shared" si="115"/>
        <v>0</v>
      </c>
      <c r="W381">
        <f t="shared" si="116"/>
        <v>1</v>
      </c>
      <c r="X381">
        <f t="shared" si="117"/>
        <v>0</v>
      </c>
      <c r="Y381">
        <f t="shared" si="118"/>
        <v>0</v>
      </c>
      <c r="Z381">
        <f t="shared" si="119"/>
        <v>0</v>
      </c>
      <c r="AA381">
        <f t="shared" si="120"/>
        <v>0</v>
      </c>
      <c r="AC381">
        <f t="shared" si="109"/>
        <v>228866.90241904065</v>
      </c>
      <c r="AD381">
        <f t="shared" si="110"/>
        <v>229336.3595813482</v>
      </c>
      <c r="AE381">
        <f t="shared" si="111"/>
        <v>228993.33258902695</v>
      </c>
      <c r="AF381">
        <f t="shared" si="112"/>
        <v>229089.27229478589</v>
      </c>
      <c r="AG381">
        <f t="shared" si="113"/>
        <v>228548.50902817305</v>
      </c>
      <c r="AH381">
        <f t="shared" si="114"/>
        <v>227834.30525457676</v>
      </c>
      <c r="AI381">
        <f t="shared" si="121"/>
        <v>229336.3595813482</v>
      </c>
    </row>
    <row r="382" spans="2:35" x14ac:dyDescent="0.3">
      <c r="B382">
        <v>339</v>
      </c>
      <c r="C382">
        <v>76635.3753</v>
      </c>
      <c r="D382">
        <v>75747.3986</v>
      </c>
      <c r="E382">
        <v>76343.272400000002</v>
      </c>
      <c r="F382">
        <v>76099.559299999994</v>
      </c>
      <c r="G382">
        <v>76540.474600000001</v>
      </c>
      <c r="H382">
        <v>77085.529299999995</v>
      </c>
      <c r="I382">
        <v>8.7078228136182254</v>
      </c>
      <c r="J382">
        <v>8.694270905137552</v>
      </c>
      <c r="K382">
        <v>8.679707136807588</v>
      </c>
      <c r="L382">
        <v>8.6764607197876398</v>
      </c>
      <c r="M382">
        <v>8.6643225866856763</v>
      </c>
      <c r="N382">
        <v>8.6493423990454161</v>
      </c>
      <c r="P382">
        <f t="shared" si="103"/>
        <v>184599.30910854676</v>
      </c>
      <c r="Q382">
        <f t="shared" si="104"/>
        <v>185080.72855412657</v>
      </c>
      <c r="R382">
        <f t="shared" si="105"/>
        <v>184047.94170422765</v>
      </c>
      <c r="S382">
        <f t="shared" si="106"/>
        <v>184194.2622936292</v>
      </c>
      <c r="T382">
        <f t="shared" si="107"/>
        <v>183389.2030005703</v>
      </c>
      <c r="U382">
        <f t="shared" si="108"/>
        <v>182394.7426713625</v>
      </c>
      <c r="V382">
        <f t="shared" si="115"/>
        <v>0</v>
      </c>
      <c r="W382">
        <f t="shared" si="116"/>
        <v>1</v>
      </c>
      <c r="X382">
        <f t="shared" si="117"/>
        <v>0</v>
      </c>
      <c r="Y382">
        <f t="shared" si="118"/>
        <v>0</v>
      </c>
      <c r="Z382">
        <f t="shared" si="119"/>
        <v>0</v>
      </c>
      <c r="AA382">
        <f t="shared" si="120"/>
        <v>0</v>
      </c>
      <c r="AC382">
        <f t="shared" si="109"/>
        <v>184599.30910854676</v>
      </c>
      <c r="AD382">
        <f t="shared" si="110"/>
        <v>185080.72855412657</v>
      </c>
      <c r="AE382">
        <f t="shared" si="111"/>
        <v>184047.94170422765</v>
      </c>
      <c r="AF382">
        <f t="shared" si="112"/>
        <v>184194.2622936292</v>
      </c>
      <c r="AG382">
        <f t="shared" si="113"/>
        <v>183389.2030005703</v>
      </c>
      <c r="AH382">
        <f t="shared" si="114"/>
        <v>182394.7426713625</v>
      </c>
      <c r="AI382">
        <f t="shared" si="121"/>
        <v>185080.72855412657</v>
      </c>
    </row>
    <row r="383" spans="2:35" x14ac:dyDescent="0.3">
      <c r="B383">
        <v>340</v>
      </c>
      <c r="C383">
        <v>81521.641099999993</v>
      </c>
      <c r="D383">
        <v>81069.679600000003</v>
      </c>
      <c r="E383">
        <v>81657.7261</v>
      </c>
      <c r="F383">
        <v>81623.631099999999</v>
      </c>
      <c r="G383">
        <v>82022.728900000002</v>
      </c>
      <c r="H383">
        <v>83000.194399999993</v>
      </c>
      <c r="I383">
        <v>10.325759508443554</v>
      </c>
      <c r="J383">
        <v>10.307556473237499</v>
      </c>
      <c r="K383">
        <v>10.291965766744275</v>
      </c>
      <c r="L383">
        <v>10.28250733230403</v>
      </c>
      <c r="M383">
        <v>10.256875505762007</v>
      </c>
      <c r="N383">
        <v>10.239465149252458</v>
      </c>
      <c r="P383">
        <f t="shared" si="103"/>
        <v>228251.14415330661</v>
      </c>
      <c r="Q383">
        <f t="shared" si="104"/>
        <v>228157.01459712497</v>
      </c>
      <c r="R383">
        <f t="shared" si="105"/>
        <v>227101.24690232825</v>
      </c>
      <c r="S383">
        <f t="shared" si="106"/>
        <v>226851.58886912093</v>
      </c>
      <c r="T383">
        <f t="shared" si="107"/>
        <v>225683.53627286025</v>
      </c>
      <c r="U383">
        <f t="shared" si="108"/>
        <v>224183.76007757377</v>
      </c>
      <c r="V383">
        <f t="shared" si="115"/>
        <v>1</v>
      </c>
      <c r="W383">
        <f t="shared" si="116"/>
        <v>0</v>
      </c>
      <c r="X383">
        <f t="shared" si="117"/>
        <v>0</v>
      </c>
      <c r="Y383">
        <f t="shared" si="118"/>
        <v>0</v>
      </c>
      <c r="Z383">
        <f t="shared" si="119"/>
        <v>0</v>
      </c>
      <c r="AA383">
        <f t="shared" si="120"/>
        <v>0</v>
      </c>
      <c r="AC383">
        <f t="shared" si="109"/>
        <v>228251.14415330661</v>
      </c>
      <c r="AD383">
        <f t="shared" si="110"/>
        <v>228157.01459712497</v>
      </c>
      <c r="AE383">
        <f t="shared" si="111"/>
        <v>227101.24690232825</v>
      </c>
      <c r="AF383">
        <f t="shared" si="112"/>
        <v>226851.58886912093</v>
      </c>
      <c r="AG383">
        <f t="shared" si="113"/>
        <v>225683.53627286025</v>
      </c>
      <c r="AH383">
        <f t="shared" si="114"/>
        <v>224183.76007757377</v>
      </c>
      <c r="AI383">
        <f t="shared" si="121"/>
        <v>228251.14415330661</v>
      </c>
    </row>
    <row r="384" spans="2:35" x14ac:dyDescent="0.3">
      <c r="B384">
        <v>341</v>
      </c>
      <c r="C384">
        <v>75912.239300000001</v>
      </c>
      <c r="D384">
        <v>75506.7451</v>
      </c>
      <c r="E384">
        <v>75734.112099999998</v>
      </c>
      <c r="F384">
        <v>75729.839800000002</v>
      </c>
      <c r="G384">
        <v>76241.688599999994</v>
      </c>
      <c r="H384">
        <v>76627.3</v>
      </c>
      <c r="I384">
        <v>8.5193802341098248</v>
      </c>
      <c r="J384">
        <v>8.4915462907609918</v>
      </c>
      <c r="K384">
        <v>8.47579673847072</v>
      </c>
      <c r="L384">
        <v>8.4666537130885011</v>
      </c>
      <c r="M384">
        <v>8.4439237862840226</v>
      </c>
      <c r="N384">
        <v>8.4272423807711832</v>
      </c>
      <c r="P384">
        <f t="shared" si="103"/>
        <v>179669.16772329475</v>
      </c>
      <c r="Q384">
        <f t="shared" si="104"/>
        <v>179239.64362282975</v>
      </c>
      <c r="R384">
        <f t="shared" si="105"/>
        <v>178539.79005412161</v>
      </c>
      <c r="S384">
        <f t="shared" si="106"/>
        <v>178269.77159265504</v>
      </c>
      <c r="T384">
        <f t="shared" si="107"/>
        <v>177076.02498852069</v>
      </c>
      <c r="U384">
        <f t="shared" si="108"/>
        <v>176189.97142313549</v>
      </c>
      <c r="V384">
        <f t="shared" si="115"/>
        <v>1</v>
      </c>
      <c r="W384">
        <f t="shared" si="116"/>
        <v>0</v>
      </c>
      <c r="X384">
        <f t="shared" si="117"/>
        <v>0</v>
      </c>
      <c r="Y384">
        <f t="shared" si="118"/>
        <v>0</v>
      </c>
      <c r="Z384">
        <f t="shared" si="119"/>
        <v>0</v>
      </c>
      <c r="AA384">
        <f t="shared" si="120"/>
        <v>0</v>
      </c>
      <c r="AC384">
        <f t="shared" si="109"/>
        <v>179669.16772329475</v>
      </c>
      <c r="AD384">
        <f t="shared" si="110"/>
        <v>179239.64362282975</v>
      </c>
      <c r="AE384">
        <f t="shared" si="111"/>
        <v>178539.79005412161</v>
      </c>
      <c r="AF384">
        <f t="shared" si="112"/>
        <v>178269.77159265504</v>
      </c>
      <c r="AG384">
        <f t="shared" si="113"/>
        <v>177076.02498852069</v>
      </c>
      <c r="AH384">
        <f t="shared" si="114"/>
        <v>176189.97142313549</v>
      </c>
      <c r="AI384">
        <f t="shared" si="121"/>
        <v>179669.16772329475</v>
      </c>
    </row>
    <row r="385" spans="2:35" x14ac:dyDescent="0.3">
      <c r="B385">
        <v>342</v>
      </c>
      <c r="C385">
        <v>78962.139200000005</v>
      </c>
      <c r="D385">
        <v>78162.9084</v>
      </c>
      <c r="E385">
        <v>79006.793900000004</v>
      </c>
      <c r="F385">
        <v>78791.847399999999</v>
      </c>
      <c r="G385">
        <v>79548.130099999995</v>
      </c>
      <c r="H385">
        <v>80192.121799999994</v>
      </c>
      <c r="I385">
        <v>9.7786818284521715</v>
      </c>
      <c r="J385">
        <v>9.7550313883936077</v>
      </c>
      <c r="K385">
        <v>9.7240003986656287</v>
      </c>
      <c r="L385">
        <v>9.7219215424380963</v>
      </c>
      <c r="M385">
        <v>9.6958011102374044</v>
      </c>
      <c r="N385">
        <v>9.667721421551752</v>
      </c>
      <c r="P385">
        <f t="shared" si="103"/>
        <v>214398.31565356514</v>
      </c>
      <c r="Q385">
        <f t="shared" si="104"/>
        <v>214488.0332518082</v>
      </c>
      <c r="R385">
        <f t="shared" si="105"/>
        <v>212713.21805996884</v>
      </c>
      <c r="S385">
        <f t="shared" si="106"/>
        <v>212865.79887314289</v>
      </c>
      <c r="T385">
        <f t="shared" si="107"/>
        <v>211325.90320712212</v>
      </c>
      <c r="U385">
        <f t="shared" si="108"/>
        <v>209839.52084655259</v>
      </c>
      <c r="V385">
        <f t="shared" si="115"/>
        <v>0</v>
      </c>
      <c r="W385">
        <f t="shared" si="116"/>
        <v>1</v>
      </c>
      <c r="X385">
        <f t="shared" si="117"/>
        <v>0</v>
      </c>
      <c r="Y385">
        <f t="shared" si="118"/>
        <v>0</v>
      </c>
      <c r="Z385">
        <f t="shared" si="119"/>
        <v>0</v>
      </c>
      <c r="AA385">
        <f t="shared" si="120"/>
        <v>0</v>
      </c>
      <c r="AC385">
        <f t="shared" si="109"/>
        <v>214398.31565356514</v>
      </c>
      <c r="AD385">
        <f t="shared" si="110"/>
        <v>214488.0332518082</v>
      </c>
      <c r="AE385">
        <f t="shared" si="111"/>
        <v>212713.21805996884</v>
      </c>
      <c r="AF385">
        <f t="shared" si="112"/>
        <v>212865.79887314289</v>
      </c>
      <c r="AG385">
        <f t="shared" si="113"/>
        <v>211325.90320712212</v>
      </c>
      <c r="AH385">
        <f t="shared" si="114"/>
        <v>209839.52084655259</v>
      </c>
      <c r="AI385">
        <f t="shared" si="121"/>
        <v>214488.0332518082</v>
      </c>
    </row>
    <row r="386" spans="2:35" x14ac:dyDescent="0.3">
      <c r="B386">
        <v>343</v>
      </c>
      <c r="C386">
        <v>79178.023700000005</v>
      </c>
      <c r="D386">
        <v>77284.4715</v>
      </c>
      <c r="E386">
        <v>76739.632599999997</v>
      </c>
      <c r="F386">
        <v>76234.570099999997</v>
      </c>
      <c r="G386">
        <v>75684.452399999995</v>
      </c>
      <c r="H386">
        <v>75082.684200000003</v>
      </c>
      <c r="I386">
        <v>10.482491117407497</v>
      </c>
      <c r="J386">
        <v>10.465626676689217</v>
      </c>
      <c r="K386">
        <v>10.450394316509307</v>
      </c>
      <c r="L386">
        <v>10.439757485169233</v>
      </c>
      <c r="M386">
        <v>10.423890422648332</v>
      </c>
      <c r="N386">
        <v>10.405074945494743</v>
      </c>
      <c r="P386">
        <f t="shared" si="103"/>
        <v>235296.70982222486</v>
      </c>
      <c r="Q386">
        <f t="shared" si="104"/>
        <v>236684.32880067651</v>
      </c>
      <c r="R386">
        <f t="shared" si="105"/>
        <v>236772.19689527922</v>
      </c>
      <c r="S386">
        <f t="shared" si="106"/>
        <v>236958.15445507696</v>
      </c>
      <c r="T386">
        <f t="shared" si="107"/>
        <v>237032.26027944998</v>
      </c>
      <c r="U386">
        <f t="shared" si="108"/>
        <v>237069.56416484225</v>
      </c>
      <c r="V386">
        <f t="shared" si="115"/>
        <v>0</v>
      </c>
      <c r="W386">
        <f t="shared" si="116"/>
        <v>0</v>
      </c>
      <c r="X386">
        <f t="shared" si="117"/>
        <v>0</v>
      </c>
      <c r="Y386">
        <f t="shared" si="118"/>
        <v>0</v>
      </c>
      <c r="Z386">
        <f t="shared" si="119"/>
        <v>0</v>
      </c>
      <c r="AA386">
        <f t="shared" si="120"/>
        <v>1</v>
      </c>
      <c r="AC386">
        <f t="shared" si="109"/>
        <v>235296.70982222486</v>
      </c>
      <c r="AD386">
        <f t="shared" si="110"/>
        <v>236684.32880067651</v>
      </c>
      <c r="AE386">
        <f t="shared" si="111"/>
        <v>236772.19689527922</v>
      </c>
      <c r="AF386">
        <f t="shared" si="112"/>
        <v>236958.15445507696</v>
      </c>
      <c r="AG386">
        <f t="shared" si="113"/>
        <v>237032.26027944998</v>
      </c>
      <c r="AH386">
        <f t="shared" si="114"/>
        <v>237069.56416484225</v>
      </c>
      <c r="AI386">
        <f t="shared" si="121"/>
        <v>237069.56416484225</v>
      </c>
    </row>
    <row r="387" spans="2:35" x14ac:dyDescent="0.3">
      <c r="B387">
        <v>344</v>
      </c>
      <c r="C387">
        <v>84544.381599999993</v>
      </c>
      <c r="D387">
        <v>83484.670299999998</v>
      </c>
      <c r="E387">
        <v>83558.224700000006</v>
      </c>
      <c r="F387">
        <v>83292.148700000005</v>
      </c>
      <c r="G387">
        <v>83421.391900000002</v>
      </c>
      <c r="H387">
        <v>83577.392900000006</v>
      </c>
      <c r="I387">
        <v>10.714026765072106</v>
      </c>
      <c r="J387">
        <v>10.700655707592727</v>
      </c>
      <c r="K387">
        <v>10.689589585338444</v>
      </c>
      <c r="L387">
        <v>10.684749950323599</v>
      </c>
      <c r="M387">
        <v>10.67592232123395</v>
      </c>
      <c r="N387">
        <v>10.66365386023913</v>
      </c>
      <c r="P387">
        <f t="shared" si="103"/>
        <v>236876.42135216316</v>
      </c>
      <c r="Q387">
        <f t="shared" si="104"/>
        <v>237535.0009277818</v>
      </c>
      <c r="R387">
        <f t="shared" si="105"/>
        <v>237129.46286015329</v>
      </c>
      <c r="S387">
        <f t="shared" si="106"/>
        <v>237250.34980970796</v>
      </c>
      <c r="T387">
        <f t="shared" si="107"/>
        <v>236856.27773701848</v>
      </c>
      <c r="U387">
        <f t="shared" si="108"/>
        <v>236332.22290717388</v>
      </c>
      <c r="V387">
        <f t="shared" si="115"/>
        <v>0</v>
      </c>
      <c r="W387">
        <f t="shared" si="116"/>
        <v>1</v>
      </c>
      <c r="X387">
        <f t="shared" si="117"/>
        <v>0</v>
      </c>
      <c r="Y387">
        <f t="shared" si="118"/>
        <v>0</v>
      </c>
      <c r="Z387">
        <f t="shared" si="119"/>
        <v>0</v>
      </c>
      <c r="AA387">
        <f t="shared" si="120"/>
        <v>0</v>
      </c>
      <c r="AC387">
        <f t="shared" si="109"/>
        <v>236876.42135216316</v>
      </c>
      <c r="AD387">
        <f t="shared" si="110"/>
        <v>237535.0009277818</v>
      </c>
      <c r="AE387">
        <f t="shared" si="111"/>
        <v>237129.46286015329</v>
      </c>
      <c r="AF387">
        <f t="shared" si="112"/>
        <v>237250.34980970796</v>
      </c>
      <c r="AG387">
        <f t="shared" si="113"/>
        <v>236856.27773701848</v>
      </c>
      <c r="AH387">
        <f t="shared" si="114"/>
        <v>236332.22290717388</v>
      </c>
      <c r="AI387">
        <f t="shared" si="121"/>
        <v>237535.0009277818</v>
      </c>
    </row>
    <row r="388" spans="2:35" x14ac:dyDescent="0.3">
      <c r="B388">
        <v>345</v>
      </c>
      <c r="C388">
        <v>77408.221999999994</v>
      </c>
      <c r="D388">
        <v>76559.311600000001</v>
      </c>
      <c r="E388">
        <v>77241.818199999994</v>
      </c>
      <c r="F388">
        <v>77028.416899999997</v>
      </c>
      <c r="G388">
        <v>77600.130999999994</v>
      </c>
      <c r="H388">
        <v>78062.340899999996</v>
      </c>
      <c r="I388">
        <v>9.9630934388051511</v>
      </c>
      <c r="J388">
        <v>9.924882481195695</v>
      </c>
      <c r="K388">
        <v>9.8904541929534719</v>
      </c>
      <c r="L388">
        <v>9.8780729447048223</v>
      </c>
      <c r="M388">
        <v>9.8430549333118034</v>
      </c>
      <c r="N388">
        <v>9.8040172196960356</v>
      </c>
      <c r="P388">
        <f t="shared" si="103"/>
        <v>221484.58116415452</v>
      </c>
      <c r="Q388">
        <f t="shared" si="104"/>
        <v>221187.16283587081</v>
      </c>
      <c r="R388">
        <f t="shared" si="105"/>
        <v>219471.80758860416</v>
      </c>
      <c r="S388">
        <f t="shared" si="106"/>
        <v>219313.77144114464</v>
      </c>
      <c r="T388">
        <f t="shared" si="107"/>
        <v>217691.51699935412</v>
      </c>
      <c r="U388">
        <f t="shared" si="108"/>
        <v>216058.17569088103</v>
      </c>
      <c r="V388">
        <f t="shared" si="115"/>
        <v>1</v>
      </c>
      <c r="W388">
        <f t="shared" si="116"/>
        <v>0</v>
      </c>
      <c r="X388">
        <f t="shared" si="117"/>
        <v>0</v>
      </c>
      <c r="Y388">
        <f t="shared" si="118"/>
        <v>0</v>
      </c>
      <c r="Z388">
        <f t="shared" si="119"/>
        <v>0</v>
      </c>
      <c r="AA388">
        <f t="shared" si="120"/>
        <v>0</v>
      </c>
      <c r="AC388">
        <f t="shared" si="109"/>
        <v>221484.58116415452</v>
      </c>
      <c r="AD388">
        <f t="shared" si="110"/>
        <v>221187.16283587081</v>
      </c>
      <c r="AE388">
        <f t="shared" si="111"/>
        <v>219471.80758860416</v>
      </c>
      <c r="AF388">
        <f t="shared" si="112"/>
        <v>219313.77144114464</v>
      </c>
      <c r="AG388">
        <f t="shared" si="113"/>
        <v>217691.51699935412</v>
      </c>
      <c r="AH388">
        <f t="shared" si="114"/>
        <v>216058.17569088103</v>
      </c>
      <c r="AI388">
        <f t="shared" si="121"/>
        <v>221484.58116415452</v>
      </c>
    </row>
    <row r="389" spans="2:35" x14ac:dyDescent="0.3">
      <c r="B389">
        <v>346</v>
      </c>
      <c r="C389">
        <v>79934.380600000004</v>
      </c>
      <c r="D389">
        <v>78431.284400000004</v>
      </c>
      <c r="E389">
        <v>78514.462599999999</v>
      </c>
      <c r="F389">
        <v>78256.323300000004</v>
      </c>
      <c r="G389">
        <v>77995.221799999999</v>
      </c>
      <c r="H389">
        <v>78119.9954</v>
      </c>
      <c r="I389">
        <v>9.2123280212711354</v>
      </c>
      <c r="J389">
        <v>9.1894217887955936</v>
      </c>
      <c r="K389">
        <v>9.1763821129036121</v>
      </c>
      <c r="L389">
        <v>9.1702376156527219</v>
      </c>
      <c r="M389">
        <v>9.1492158781742638</v>
      </c>
      <c r="N389">
        <v>9.1333229708869332</v>
      </c>
      <c r="P389">
        <f t="shared" si="103"/>
        <v>196435.46003813404</v>
      </c>
      <c r="Q389">
        <f t="shared" si="104"/>
        <v>197251.36926386779</v>
      </c>
      <c r="R389">
        <f t="shared" si="105"/>
        <v>196777.00078710835</v>
      </c>
      <c r="S389">
        <f t="shared" si="106"/>
        <v>196850.80516958167</v>
      </c>
      <c r="T389">
        <f t="shared" si="107"/>
        <v>196481.25454522792</v>
      </c>
      <c r="U389">
        <f t="shared" si="108"/>
        <v>195879.69372660801</v>
      </c>
      <c r="V389">
        <f t="shared" si="115"/>
        <v>0</v>
      </c>
      <c r="W389">
        <f t="shared" si="116"/>
        <v>1</v>
      </c>
      <c r="X389">
        <f t="shared" si="117"/>
        <v>0</v>
      </c>
      <c r="Y389">
        <f t="shared" si="118"/>
        <v>0</v>
      </c>
      <c r="Z389">
        <f t="shared" si="119"/>
        <v>0</v>
      </c>
      <c r="AA389">
        <f t="shared" si="120"/>
        <v>0</v>
      </c>
      <c r="AC389">
        <f t="shared" si="109"/>
        <v>196435.46003813404</v>
      </c>
      <c r="AD389">
        <f t="shared" si="110"/>
        <v>197251.36926386779</v>
      </c>
      <c r="AE389">
        <f t="shared" si="111"/>
        <v>196777.00078710835</v>
      </c>
      <c r="AF389">
        <f t="shared" si="112"/>
        <v>196850.80516958167</v>
      </c>
      <c r="AG389">
        <f t="shared" si="113"/>
        <v>196481.25454522792</v>
      </c>
      <c r="AH389">
        <f t="shared" si="114"/>
        <v>195879.69372660801</v>
      </c>
      <c r="AI389">
        <f t="shared" si="121"/>
        <v>197251.36926386779</v>
      </c>
    </row>
    <row r="390" spans="2:35" x14ac:dyDescent="0.3">
      <c r="B390">
        <v>347</v>
      </c>
      <c r="C390">
        <v>84780.179399999994</v>
      </c>
      <c r="D390">
        <v>83936.7595</v>
      </c>
      <c r="E390">
        <v>84239.384300000005</v>
      </c>
      <c r="F390">
        <v>84244.376900000003</v>
      </c>
      <c r="G390">
        <v>84619.563299999994</v>
      </c>
      <c r="H390">
        <v>84916.442500000005</v>
      </c>
      <c r="I390">
        <v>10.350369698784526</v>
      </c>
      <c r="J390">
        <v>10.31128174260005</v>
      </c>
      <c r="K390">
        <v>10.277741115764552</v>
      </c>
      <c r="L390">
        <v>10.265637403175125</v>
      </c>
      <c r="M390">
        <v>10.235750849712966</v>
      </c>
      <c r="N390">
        <v>10.204119995044369</v>
      </c>
      <c r="P390">
        <f t="shared" si="103"/>
        <v>225730.91156353577</v>
      </c>
      <c r="Q390">
        <f t="shared" si="104"/>
        <v>225401.69277800154</v>
      </c>
      <c r="R390">
        <f t="shared" si="105"/>
        <v>224092.84917293655</v>
      </c>
      <c r="S390">
        <f t="shared" si="106"/>
        <v>223724.74519525378</v>
      </c>
      <c r="T390">
        <f t="shared" si="107"/>
        <v>222452.962191389</v>
      </c>
      <c r="U390">
        <f t="shared" si="108"/>
        <v>221207.15735133109</v>
      </c>
      <c r="V390">
        <f t="shared" si="115"/>
        <v>1</v>
      </c>
      <c r="W390">
        <f t="shared" si="116"/>
        <v>0</v>
      </c>
      <c r="X390">
        <f t="shared" si="117"/>
        <v>0</v>
      </c>
      <c r="Y390">
        <f t="shared" si="118"/>
        <v>0</v>
      </c>
      <c r="Z390">
        <f t="shared" si="119"/>
        <v>0</v>
      </c>
      <c r="AA390">
        <f t="shared" si="120"/>
        <v>0</v>
      </c>
      <c r="AC390">
        <f t="shared" si="109"/>
        <v>225730.91156353577</v>
      </c>
      <c r="AD390">
        <f t="shared" si="110"/>
        <v>225401.69277800154</v>
      </c>
      <c r="AE390">
        <f t="shared" si="111"/>
        <v>224092.84917293655</v>
      </c>
      <c r="AF390">
        <f t="shared" si="112"/>
        <v>223724.74519525378</v>
      </c>
      <c r="AG390">
        <f t="shared" si="113"/>
        <v>222452.962191389</v>
      </c>
      <c r="AH390">
        <f t="shared" si="114"/>
        <v>221207.15735133109</v>
      </c>
      <c r="AI390">
        <f t="shared" si="121"/>
        <v>225730.91156353577</v>
      </c>
    </row>
    <row r="391" spans="2:35" x14ac:dyDescent="0.3">
      <c r="B391">
        <v>348</v>
      </c>
      <c r="C391">
        <v>80052.585399999996</v>
      </c>
      <c r="D391">
        <v>78715.347299999994</v>
      </c>
      <c r="E391">
        <v>78736.664900000003</v>
      </c>
      <c r="F391">
        <v>78449.434699999998</v>
      </c>
      <c r="G391">
        <v>78581.604399999997</v>
      </c>
      <c r="H391">
        <v>78497.248999999996</v>
      </c>
      <c r="I391">
        <v>8.4501735672984104</v>
      </c>
      <c r="J391">
        <v>8.4283379692049252</v>
      </c>
      <c r="K391">
        <v>8.4171649245295814</v>
      </c>
      <c r="L391">
        <v>8.4088594947902564</v>
      </c>
      <c r="M391">
        <v>8.3977398059424342</v>
      </c>
      <c r="N391">
        <v>8.3807148962239193</v>
      </c>
      <c r="P391">
        <f t="shared" si="103"/>
        <v>173452.62161895231</v>
      </c>
      <c r="Q391">
        <f t="shared" si="104"/>
        <v>174134.79177614776</v>
      </c>
      <c r="R391">
        <f t="shared" si="105"/>
        <v>173778.28283588742</v>
      </c>
      <c r="S391">
        <f t="shared" si="106"/>
        <v>173816.35014370771</v>
      </c>
      <c r="T391">
        <f t="shared" si="107"/>
        <v>173350.58977827302</v>
      </c>
      <c r="U391">
        <f t="shared" si="108"/>
        <v>172924.19788671756</v>
      </c>
      <c r="V391">
        <f t="shared" si="115"/>
        <v>0</v>
      </c>
      <c r="W391">
        <f t="shared" si="116"/>
        <v>1</v>
      </c>
      <c r="X391">
        <f t="shared" si="117"/>
        <v>0</v>
      </c>
      <c r="Y391">
        <f t="shared" si="118"/>
        <v>0</v>
      </c>
      <c r="Z391">
        <f t="shared" si="119"/>
        <v>0</v>
      </c>
      <c r="AA391">
        <f t="shared" si="120"/>
        <v>0</v>
      </c>
      <c r="AC391">
        <f t="shared" si="109"/>
        <v>173452.62161895231</v>
      </c>
      <c r="AD391">
        <f t="shared" si="110"/>
        <v>174134.79177614776</v>
      </c>
      <c r="AE391">
        <f t="shared" si="111"/>
        <v>173778.28283588742</v>
      </c>
      <c r="AF391">
        <f t="shared" si="112"/>
        <v>173816.35014370771</v>
      </c>
      <c r="AG391">
        <f t="shared" si="113"/>
        <v>173350.58977827302</v>
      </c>
      <c r="AH391">
        <f t="shared" si="114"/>
        <v>172924.19788671756</v>
      </c>
      <c r="AI391">
        <f t="shared" si="121"/>
        <v>174134.79177614776</v>
      </c>
    </row>
    <row r="392" spans="2:35" x14ac:dyDescent="0.3">
      <c r="B392">
        <v>349</v>
      </c>
      <c r="C392">
        <v>85769.419800000003</v>
      </c>
      <c r="D392">
        <v>84870.462299999999</v>
      </c>
      <c r="E392">
        <v>85027.225999999995</v>
      </c>
      <c r="F392">
        <v>84849.156400000007</v>
      </c>
      <c r="G392">
        <v>85106.038</v>
      </c>
      <c r="H392">
        <v>85581.467099999994</v>
      </c>
      <c r="I392">
        <v>9.2190423400356973</v>
      </c>
      <c r="J392">
        <v>9.2079092781203009</v>
      </c>
      <c r="K392">
        <v>9.2015364460401869</v>
      </c>
      <c r="L392">
        <v>9.1967727836109496</v>
      </c>
      <c r="M392">
        <v>9.189685111066666</v>
      </c>
      <c r="N392">
        <v>9.1825637283019486</v>
      </c>
      <c r="P392">
        <f t="shared" si="103"/>
        <v>190801.85040107093</v>
      </c>
      <c r="Q392">
        <f t="shared" si="104"/>
        <v>191366.816043609</v>
      </c>
      <c r="R392">
        <f t="shared" si="105"/>
        <v>191018.86738120564</v>
      </c>
      <c r="S392">
        <f t="shared" si="106"/>
        <v>191054.0271083285</v>
      </c>
      <c r="T392">
        <f t="shared" si="107"/>
        <v>190584.51533199998</v>
      </c>
      <c r="U392">
        <f t="shared" si="108"/>
        <v>189895.44474905846</v>
      </c>
      <c r="V392">
        <f t="shared" si="115"/>
        <v>0</v>
      </c>
      <c r="W392">
        <f t="shared" si="116"/>
        <v>1</v>
      </c>
      <c r="X392">
        <f t="shared" si="117"/>
        <v>0</v>
      </c>
      <c r="Y392">
        <f t="shared" si="118"/>
        <v>0</v>
      </c>
      <c r="Z392">
        <f t="shared" si="119"/>
        <v>0</v>
      </c>
      <c r="AA392">
        <f t="shared" si="120"/>
        <v>0</v>
      </c>
      <c r="AC392">
        <f t="shared" si="109"/>
        <v>190801.85040107093</v>
      </c>
      <c r="AD392">
        <f t="shared" si="110"/>
        <v>191366.816043609</v>
      </c>
      <c r="AE392">
        <f t="shared" si="111"/>
        <v>191018.86738120564</v>
      </c>
      <c r="AF392">
        <f t="shared" si="112"/>
        <v>191054.0271083285</v>
      </c>
      <c r="AG392">
        <f t="shared" si="113"/>
        <v>190584.51533199998</v>
      </c>
      <c r="AH392">
        <f t="shared" si="114"/>
        <v>189895.44474905846</v>
      </c>
      <c r="AI392">
        <f t="shared" si="121"/>
        <v>191366.816043609</v>
      </c>
    </row>
    <row r="393" spans="2:35" x14ac:dyDescent="0.3">
      <c r="B393">
        <v>350</v>
      </c>
      <c r="C393">
        <v>72350.334400000007</v>
      </c>
      <c r="D393">
        <v>72407.809800000003</v>
      </c>
      <c r="E393">
        <v>73246.836800000005</v>
      </c>
      <c r="F393">
        <v>73230.547900000005</v>
      </c>
      <c r="G393">
        <v>74139.912599999996</v>
      </c>
      <c r="H393">
        <v>75500.565199999997</v>
      </c>
      <c r="I393">
        <v>10.690497225830478</v>
      </c>
      <c r="J393">
        <v>10.662204648544549</v>
      </c>
      <c r="K393">
        <v>10.643195289855765</v>
      </c>
      <c r="L393">
        <v>10.633648168892137</v>
      </c>
      <c r="M393">
        <v>10.611364112800135</v>
      </c>
      <c r="N393">
        <v>10.586889275972197</v>
      </c>
      <c r="P393">
        <f t="shared" si="103"/>
        <v>248364.58237491437</v>
      </c>
      <c r="Q393">
        <f t="shared" si="104"/>
        <v>247458.32965633646</v>
      </c>
      <c r="R393">
        <f t="shared" si="105"/>
        <v>246049.02189567295</v>
      </c>
      <c r="S393">
        <f t="shared" si="106"/>
        <v>245778.89716676407</v>
      </c>
      <c r="T393">
        <f t="shared" si="107"/>
        <v>244201.01078400406</v>
      </c>
      <c r="U393">
        <f t="shared" si="108"/>
        <v>242106.11307916592</v>
      </c>
      <c r="V393">
        <f t="shared" si="115"/>
        <v>1</v>
      </c>
      <c r="W393">
        <f t="shared" si="116"/>
        <v>0</v>
      </c>
      <c r="X393">
        <f t="shared" si="117"/>
        <v>0</v>
      </c>
      <c r="Y393">
        <f t="shared" si="118"/>
        <v>0</v>
      </c>
      <c r="Z393">
        <f t="shared" si="119"/>
        <v>0</v>
      </c>
      <c r="AA393">
        <f t="shared" si="120"/>
        <v>0</v>
      </c>
      <c r="AC393">
        <f t="shared" si="109"/>
        <v>248364.58237491437</v>
      </c>
      <c r="AD393">
        <f t="shared" si="110"/>
        <v>247458.32965633646</v>
      </c>
      <c r="AE393">
        <f t="shared" si="111"/>
        <v>246049.02189567295</v>
      </c>
      <c r="AF393">
        <f t="shared" si="112"/>
        <v>245778.89716676407</v>
      </c>
      <c r="AG393">
        <f t="shared" si="113"/>
        <v>244201.01078400406</v>
      </c>
      <c r="AH393">
        <f t="shared" si="114"/>
        <v>242106.11307916592</v>
      </c>
      <c r="AI393">
        <f t="shared" si="121"/>
        <v>248364.58237491437</v>
      </c>
    </row>
    <row r="394" spans="2:35" x14ac:dyDescent="0.3">
      <c r="B394">
        <v>351</v>
      </c>
      <c r="C394">
        <v>75792.691000000006</v>
      </c>
      <c r="D394">
        <v>75479.142600000006</v>
      </c>
      <c r="E394">
        <v>76333.545299999998</v>
      </c>
      <c r="F394">
        <v>76289.717000000004</v>
      </c>
      <c r="G394">
        <v>77153.986199999999</v>
      </c>
      <c r="H394">
        <v>77928.205199999997</v>
      </c>
      <c r="I394">
        <v>10.430688604010514</v>
      </c>
      <c r="J394">
        <v>10.399856846325642</v>
      </c>
      <c r="K394">
        <v>10.378435700575784</v>
      </c>
      <c r="L394">
        <v>10.3675338081049</v>
      </c>
      <c r="M394">
        <v>10.337669019077204</v>
      </c>
      <c r="N394">
        <v>10.316536118078147</v>
      </c>
      <c r="P394">
        <f t="shared" si="103"/>
        <v>237127.96712031541</v>
      </c>
      <c r="Q394">
        <f t="shared" si="104"/>
        <v>236516.56278976926</v>
      </c>
      <c r="R394">
        <f t="shared" si="105"/>
        <v>235019.52571727353</v>
      </c>
      <c r="S394">
        <f t="shared" si="106"/>
        <v>234736.29724314698</v>
      </c>
      <c r="T394">
        <f t="shared" si="107"/>
        <v>232976.08437231614</v>
      </c>
      <c r="U394">
        <f t="shared" si="108"/>
        <v>231567.8783423444</v>
      </c>
      <c r="V394">
        <f t="shared" si="115"/>
        <v>1</v>
      </c>
      <c r="W394">
        <f t="shared" si="116"/>
        <v>0</v>
      </c>
      <c r="X394">
        <f t="shared" si="117"/>
        <v>0</v>
      </c>
      <c r="Y394">
        <f t="shared" si="118"/>
        <v>0</v>
      </c>
      <c r="Z394">
        <f t="shared" si="119"/>
        <v>0</v>
      </c>
      <c r="AA394">
        <f t="shared" si="120"/>
        <v>0</v>
      </c>
      <c r="AC394">
        <f t="shared" si="109"/>
        <v>237127.96712031541</v>
      </c>
      <c r="AD394">
        <f t="shared" si="110"/>
        <v>236516.56278976926</v>
      </c>
      <c r="AE394">
        <f t="shared" si="111"/>
        <v>235019.52571727353</v>
      </c>
      <c r="AF394">
        <f t="shared" si="112"/>
        <v>234736.29724314698</v>
      </c>
      <c r="AG394">
        <f t="shared" si="113"/>
        <v>232976.08437231614</v>
      </c>
      <c r="AH394">
        <f t="shared" si="114"/>
        <v>231567.8783423444</v>
      </c>
      <c r="AI394">
        <f t="shared" si="121"/>
        <v>237127.96712031541</v>
      </c>
    </row>
    <row r="395" spans="2:35" x14ac:dyDescent="0.3">
      <c r="B395">
        <v>352</v>
      </c>
      <c r="C395">
        <v>83765.085999999996</v>
      </c>
      <c r="D395">
        <v>83630.122900000002</v>
      </c>
      <c r="E395">
        <v>84590.038</v>
      </c>
      <c r="F395">
        <v>84103.834300000002</v>
      </c>
      <c r="G395">
        <v>85154.649900000004</v>
      </c>
      <c r="H395">
        <v>85865.662500000006</v>
      </c>
      <c r="I395">
        <v>9.3917893911339974</v>
      </c>
      <c r="J395">
        <v>9.3555807386987357</v>
      </c>
      <c r="K395">
        <v>9.3261034044892916</v>
      </c>
      <c r="L395">
        <v>9.3225424077698484</v>
      </c>
      <c r="M395">
        <v>9.292923063532756</v>
      </c>
      <c r="N395">
        <v>9.2612739671602462</v>
      </c>
      <c r="P395">
        <f t="shared" si="103"/>
        <v>197988.59573401994</v>
      </c>
      <c r="Q395">
        <f t="shared" si="104"/>
        <v>197037.29926096206</v>
      </c>
      <c r="R395">
        <f t="shared" si="105"/>
        <v>195193.06413467875</v>
      </c>
      <c r="S395">
        <f t="shared" si="106"/>
        <v>195572.43793309544</v>
      </c>
      <c r="T395">
        <f t="shared" si="107"/>
        <v>193633.04200598266</v>
      </c>
      <c r="U395">
        <f t="shared" si="108"/>
        <v>191972.55651480737</v>
      </c>
      <c r="V395">
        <f t="shared" si="115"/>
        <v>1</v>
      </c>
      <c r="W395">
        <f t="shared" si="116"/>
        <v>0</v>
      </c>
      <c r="X395">
        <f t="shared" si="117"/>
        <v>0</v>
      </c>
      <c r="Y395">
        <f t="shared" si="118"/>
        <v>0</v>
      </c>
      <c r="Z395">
        <f t="shared" si="119"/>
        <v>0</v>
      </c>
      <c r="AA395">
        <f t="shared" si="120"/>
        <v>0</v>
      </c>
      <c r="AC395">
        <f t="shared" si="109"/>
        <v>197988.59573401994</v>
      </c>
      <c r="AD395">
        <f t="shared" si="110"/>
        <v>197037.29926096206</v>
      </c>
      <c r="AE395">
        <f t="shared" si="111"/>
        <v>195193.06413467875</v>
      </c>
      <c r="AF395">
        <f t="shared" si="112"/>
        <v>195572.43793309544</v>
      </c>
      <c r="AG395">
        <f t="shared" si="113"/>
        <v>193633.04200598266</v>
      </c>
      <c r="AH395">
        <f t="shared" si="114"/>
        <v>191972.55651480737</v>
      </c>
      <c r="AI395">
        <f t="shared" si="121"/>
        <v>197988.59573401994</v>
      </c>
    </row>
    <row r="396" spans="2:35" x14ac:dyDescent="0.3">
      <c r="B396">
        <v>353</v>
      </c>
      <c r="C396">
        <v>67586.571400000001</v>
      </c>
      <c r="D396">
        <v>66734.127900000007</v>
      </c>
      <c r="E396">
        <v>67130.375100000005</v>
      </c>
      <c r="F396">
        <v>67286.018200000006</v>
      </c>
      <c r="G396">
        <v>67457.631599999993</v>
      </c>
      <c r="H396">
        <v>67980.430600000007</v>
      </c>
      <c r="I396">
        <v>10.132255960114426</v>
      </c>
      <c r="J396">
        <v>10.10889880930619</v>
      </c>
      <c r="K396">
        <v>10.095077817708663</v>
      </c>
      <c r="L396">
        <v>10.082874119387755</v>
      </c>
      <c r="M396">
        <v>10.070642314731108</v>
      </c>
      <c r="N396">
        <v>10.048963326289442</v>
      </c>
      <c r="P396">
        <f t="shared" si="103"/>
        <v>236381.10740343278</v>
      </c>
      <c r="Q396">
        <f t="shared" si="104"/>
        <v>236532.83637918567</v>
      </c>
      <c r="R396">
        <f t="shared" si="105"/>
        <v>235721.95943125989</v>
      </c>
      <c r="S396">
        <f t="shared" si="106"/>
        <v>235200.20538163267</v>
      </c>
      <c r="T396">
        <f t="shared" si="107"/>
        <v>234661.63784193326</v>
      </c>
      <c r="U396">
        <f t="shared" si="108"/>
        <v>233488.46918868326</v>
      </c>
      <c r="V396">
        <f t="shared" si="115"/>
        <v>0</v>
      </c>
      <c r="W396">
        <f t="shared" si="116"/>
        <v>1</v>
      </c>
      <c r="X396">
        <f t="shared" si="117"/>
        <v>0</v>
      </c>
      <c r="Y396">
        <f t="shared" si="118"/>
        <v>0</v>
      </c>
      <c r="Z396">
        <f t="shared" si="119"/>
        <v>0</v>
      </c>
      <c r="AA396">
        <f t="shared" si="120"/>
        <v>0</v>
      </c>
      <c r="AC396">
        <f t="shared" si="109"/>
        <v>236381.10740343278</v>
      </c>
      <c r="AD396">
        <f t="shared" si="110"/>
        <v>236532.83637918567</v>
      </c>
      <c r="AE396">
        <f t="shared" si="111"/>
        <v>235721.95943125989</v>
      </c>
      <c r="AF396">
        <f t="shared" si="112"/>
        <v>235200.20538163267</v>
      </c>
      <c r="AG396">
        <f t="shared" si="113"/>
        <v>234661.63784193326</v>
      </c>
      <c r="AH396">
        <f t="shared" si="114"/>
        <v>233488.46918868326</v>
      </c>
      <c r="AI396">
        <f t="shared" si="121"/>
        <v>236532.83637918567</v>
      </c>
    </row>
    <row r="397" spans="2:35" x14ac:dyDescent="0.3">
      <c r="B397">
        <v>354</v>
      </c>
      <c r="C397">
        <v>94875.442200000005</v>
      </c>
      <c r="D397">
        <v>93656.950599999996</v>
      </c>
      <c r="E397">
        <v>93650.285300000003</v>
      </c>
      <c r="F397">
        <v>93450.752800000002</v>
      </c>
      <c r="G397">
        <v>93534.848100000003</v>
      </c>
      <c r="H397">
        <v>93525.782300000006</v>
      </c>
      <c r="I397">
        <v>10.424709286671856</v>
      </c>
      <c r="J397">
        <v>10.357451439666043</v>
      </c>
      <c r="K397">
        <v>10.302045108234063</v>
      </c>
      <c r="L397">
        <v>10.278366456249753</v>
      </c>
      <c r="M397">
        <v>10.230494544954341</v>
      </c>
      <c r="N397">
        <v>10.179936967938863</v>
      </c>
      <c r="P397">
        <f t="shared" si="103"/>
        <v>217865.83640015568</v>
      </c>
      <c r="Q397">
        <f t="shared" si="104"/>
        <v>217066.59258998133</v>
      </c>
      <c r="R397">
        <f t="shared" si="105"/>
        <v>215411.06794702192</v>
      </c>
      <c r="S397">
        <f t="shared" si="106"/>
        <v>214900.24088749255</v>
      </c>
      <c r="T397">
        <f t="shared" si="107"/>
        <v>213379.98824863025</v>
      </c>
      <c r="U397">
        <f t="shared" si="108"/>
        <v>211872.32673816587</v>
      </c>
      <c r="V397">
        <f t="shared" si="115"/>
        <v>1</v>
      </c>
      <c r="W397">
        <f t="shared" si="116"/>
        <v>0</v>
      </c>
      <c r="X397">
        <f t="shared" si="117"/>
        <v>0</v>
      </c>
      <c r="Y397">
        <f t="shared" si="118"/>
        <v>0</v>
      </c>
      <c r="Z397">
        <f t="shared" si="119"/>
        <v>0</v>
      </c>
      <c r="AA397">
        <f t="shared" si="120"/>
        <v>0</v>
      </c>
      <c r="AC397">
        <f t="shared" si="109"/>
        <v>217865.83640015568</v>
      </c>
      <c r="AD397">
        <f t="shared" si="110"/>
        <v>217066.59258998133</v>
      </c>
      <c r="AE397">
        <f t="shared" si="111"/>
        <v>215411.06794702192</v>
      </c>
      <c r="AF397">
        <f t="shared" si="112"/>
        <v>214900.24088749255</v>
      </c>
      <c r="AG397">
        <f t="shared" si="113"/>
        <v>213379.98824863025</v>
      </c>
      <c r="AH397">
        <f t="shared" si="114"/>
        <v>211872.32673816587</v>
      </c>
      <c r="AI397">
        <f t="shared" si="121"/>
        <v>217865.83640015568</v>
      </c>
    </row>
    <row r="398" spans="2:35" x14ac:dyDescent="0.3">
      <c r="B398">
        <v>355</v>
      </c>
      <c r="C398">
        <v>75697.208199999994</v>
      </c>
      <c r="D398">
        <v>75223.195800000001</v>
      </c>
      <c r="E398">
        <v>76070.904399999999</v>
      </c>
      <c r="F398">
        <v>75813.093399999998</v>
      </c>
      <c r="G398">
        <v>76399.412500000006</v>
      </c>
      <c r="H398">
        <v>77348.158200000005</v>
      </c>
      <c r="I398">
        <v>10.823464585580714</v>
      </c>
      <c r="J398">
        <v>10.789766409939759</v>
      </c>
      <c r="K398">
        <v>10.755989851801788</v>
      </c>
      <c r="L398">
        <v>10.751038589097689</v>
      </c>
      <c r="M398">
        <v>10.722826260094626</v>
      </c>
      <c r="N398">
        <v>10.690475426940136</v>
      </c>
      <c r="P398">
        <f t="shared" si="103"/>
        <v>249006.72936742142</v>
      </c>
      <c r="Q398">
        <f t="shared" si="104"/>
        <v>248469.79649819277</v>
      </c>
      <c r="R398">
        <f t="shared" si="105"/>
        <v>246608.79115405364</v>
      </c>
      <c r="S398">
        <f t="shared" si="106"/>
        <v>246718.06427293067</v>
      </c>
      <c r="T398">
        <f t="shared" si="107"/>
        <v>245285.37530283877</v>
      </c>
      <c r="U398">
        <f t="shared" si="108"/>
        <v>243366.1046082041</v>
      </c>
      <c r="V398">
        <f t="shared" si="115"/>
        <v>1</v>
      </c>
      <c r="W398">
        <f t="shared" si="116"/>
        <v>0</v>
      </c>
      <c r="X398">
        <f t="shared" si="117"/>
        <v>0</v>
      </c>
      <c r="Y398">
        <f t="shared" si="118"/>
        <v>0</v>
      </c>
      <c r="Z398">
        <f t="shared" si="119"/>
        <v>0</v>
      </c>
      <c r="AA398">
        <f t="shared" si="120"/>
        <v>0</v>
      </c>
      <c r="AC398">
        <f t="shared" si="109"/>
        <v>249006.72936742142</v>
      </c>
      <c r="AD398">
        <f t="shared" si="110"/>
        <v>248469.79649819277</v>
      </c>
      <c r="AE398">
        <f t="shared" si="111"/>
        <v>246608.79115405364</v>
      </c>
      <c r="AF398">
        <f t="shared" si="112"/>
        <v>246718.06427293067</v>
      </c>
      <c r="AG398">
        <f t="shared" si="113"/>
        <v>245285.37530283877</v>
      </c>
      <c r="AH398">
        <f t="shared" si="114"/>
        <v>243366.1046082041</v>
      </c>
      <c r="AI398">
        <f t="shared" si="121"/>
        <v>249006.72936742142</v>
      </c>
    </row>
    <row r="399" spans="2:35" x14ac:dyDescent="0.3">
      <c r="B399">
        <v>356</v>
      </c>
      <c r="C399">
        <v>78584.630099999995</v>
      </c>
      <c r="D399">
        <v>76604.494999999995</v>
      </c>
      <c r="E399">
        <v>76111.039799999999</v>
      </c>
      <c r="F399">
        <v>75575.718699999998</v>
      </c>
      <c r="G399">
        <v>75237.415500000003</v>
      </c>
      <c r="H399">
        <v>74671.7264</v>
      </c>
      <c r="I399">
        <v>12.062234380408601</v>
      </c>
      <c r="J399">
        <v>12.016222728066076</v>
      </c>
      <c r="K399">
        <v>11.977271472635381</v>
      </c>
      <c r="L399">
        <v>11.955746420076769</v>
      </c>
      <c r="M399">
        <v>11.924972517011614</v>
      </c>
      <c r="N399">
        <v>11.890703984782721</v>
      </c>
      <c r="P399">
        <f t="shared" si="103"/>
        <v>283282.40131225804</v>
      </c>
      <c r="Q399">
        <f t="shared" si="104"/>
        <v>283882.1868419823</v>
      </c>
      <c r="R399">
        <f t="shared" si="105"/>
        <v>283207.10437906149</v>
      </c>
      <c r="S399">
        <f t="shared" si="106"/>
        <v>283096.6739023031</v>
      </c>
      <c r="T399">
        <f t="shared" si="107"/>
        <v>282511.7600103484</v>
      </c>
      <c r="U399">
        <f t="shared" si="108"/>
        <v>282049.39314348163</v>
      </c>
      <c r="V399">
        <f t="shared" si="115"/>
        <v>0</v>
      </c>
      <c r="W399">
        <f t="shared" si="116"/>
        <v>1</v>
      </c>
      <c r="X399">
        <f t="shared" si="117"/>
        <v>0</v>
      </c>
      <c r="Y399">
        <f t="shared" si="118"/>
        <v>0</v>
      </c>
      <c r="Z399">
        <f t="shared" si="119"/>
        <v>0</v>
      </c>
      <c r="AA399">
        <f t="shared" si="120"/>
        <v>0</v>
      </c>
      <c r="AC399">
        <f t="shared" si="109"/>
        <v>283282.40131225804</v>
      </c>
      <c r="AD399">
        <f t="shared" si="110"/>
        <v>283882.1868419823</v>
      </c>
      <c r="AE399">
        <f t="shared" si="111"/>
        <v>283207.10437906149</v>
      </c>
      <c r="AF399">
        <f t="shared" si="112"/>
        <v>283096.6739023031</v>
      </c>
      <c r="AG399">
        <f t="shared" si="113"/>
        <v>282511.7600103484</v>
      </c>
      <c r="AH399">
        <f t="shared" si="114"/>
        <v>282049.39314348163</v>
      </c>
      <c r="AI399">
        <f t="shared" si="121"/>
        <v>283882.1868419823</v>
      </c>
    </row>
    <row r="400" spans="2:35" x14ac:dyDescent="0.3">
      <c r="B400">
        <v>357</v>
      </c>
      <c r="C400">
        <v>69157.251699999993</v>
      </c>
      <c r="D400">
        <v>68910.189100000003</v>
      </c>
      <c r="E400">
        <v>69632.169299999994</v>
      </c>
      <c r="F400">
        <v>69351.515199999994</v>
      </c>
      <c r="G400">
        <v>70265.666700000002</v>
      </c>
      <c r="H400">
        <v>70980.3027</v>
      </c>
      <c r="I400">
        <v>11.336272878608197</v>
      </c>
      <c r="J400">
        <v>11.305266899881907</v>
      </c>
      <c r="K400">
        <v>11.283395108706531</v>
      </c>
      <c r="L400">
        <v>11.280722803533942</v>
      </c>
      <c r="M400">
        <v>11.248358171308602</v>
      </c>
      <c r="N400">
        <v>11.225278997416494</v>
      </c>
      <c r="P400">
        <f t="shared" si="103"/>
        <v>270930.93465824588</v>
      </c>
      <c r="Q400">
        <f t="shared" si="104"/>
        <v>270247.81789645721</v>
      </c>
      <c r="R400">
        <f t="shared" si="105"/>
        <v>268869.68396119593</v>
      </c>
      <c r="S400">
        <f t="shared" si="106"/>
        <v>269070.16890601825</v>
      </c>
      <c r="T400">
        <f t="shared" si="107"/>
        <v>267185.0784392581</v>
      </c>
      <c r="U400">
        <f t="shared" si="108"/>
        <v>265778.06722249481</v>
      </c>
      <c r="V400">
        <f t="shared" si="115"/>
        <v>1</v>
      </c>
      <c r="W400">
        <f t="shared" si="116"/>
        <v>0</v>
      </c>
      <c r="X400">
        <f t="shared" si="117"/>
        <v>0</v>
      </c>
      <c r="Y400">
        <f t="shared" si="118"/>
        <v>0</v>
      </c>
      <c r="Z400">
        <f t="shared" si="119"/>
        <v>0</v>
      </c>
      <c r="AA400">
        <f t="shared" si="120"/>
        <v>0</v>
      </c>
      <c r="AC400">
        <f t="shared" si="109"/>
        <v>270930.93465824588</v>
      </c>
      <c r="AD400">
        <f t="shared" si="110"/>
        <v>270247.81789645721</v>
      </c>
      <c r="AE400">
        <f t="shared" si="111"/>
        <v>268869.68396119593</v>
      </c>
      <c r="AF400">
        <f t="shared" si="112"/>
        <v>269070.16890601825</v>
      </c>
      <c r="AG400">
        <f t="shared" si="113"/>
        <v>267185.0784392581</v>
      </c>
      <c r="AH400">
        <f t="shared" si="114"/>
        <v>265778.06722249481</v>
      </c>
      <c r="AI400">
        <f t="shared" si="121"/>
        <v>270930.93465824588</v>
      </c>
    </row>
    <row r="401" spans="2:35" x14ac:dyDescent="0.3">
      <c r="B401">
        <v>358</v>
      </c>
      <c r="C401">
        <v>75662.864499999996</v>
      </c>
      <c r="D401">
        <v>75312.724000000002</v>
      </c>
      <c r="E401">
        <v>76035.928700000004</v>
      </c>
      <c r="F401">
        <v>75940.214900000006</v>
      </c>
      <c r="G401">
        <v>77062.677100000001</v>
      </c>
      <c r="H401">
        <v>77477.990399999995</v>
      </c>
      <c r="I401">
        <v>9.4313479425562594</v>
      </c>
      <c r="J401">
        <v>9.4058375048266267</v>
      </c>
      <c r="K401">
        <v>9.3918107992432098</v>
      </c>
      <c r="L401">
        <v>9.3846762500642917</v>
      </c>
      <c r="M401">
        <v>9.3656979653003507</v>
      </c>
      <c r="N401">
        <v>9.3449334278001288</v>
      </c>
      <c r="P401">
        <f t="shared" si="103"/>
        <v>207277.57377668776</v>
      </c>
      <c r="Q401">
        <f t="shared" si="104"/>
        <v>206862.40114479879</v>
      </c>
      <c r="R401">
        <f t="shared" si="105"/>
        <v>205718.39527729631</v>
      </c>
      <c r="S401">
        <f t="shared" si="106"/>
        <v>205600.07260192872</v>
      </c>
      <c r="T401">
        <f t="shared" si="107"/>
        <v>203908.26185901053</v>
      </c>
      <c r="U401">
        <f t="shared" si="108"/>
        <v>202870.01243400387</v>
      </c>
      <c r="V401">
        <f t="shared" si="115"/>
        <v>1</v>
      </c>
      <c r="W401">
        <f t="shared" si="116"/>
        <v>0</v>
      </c>
      <c r="X401">
        <f t="shared" si="117"/>
        <v>0</v>
      </c>
      <c r="Y401">
        <f t="shared" si="118"/>
        <v>0</v>
      </c>
      <c r="Z401">
        <f t="shared" si="119"/>
        <v>0</v>
      </c>
      <c r="AA401">
        <f t="shared" si="120"/>
        <v>0</v>
      </c>
      <c r="AC401">
        <f t="shared" si="109"/>
        <v>207277.57377668776</v>
      </c>
      <c r="AD401">
        <f t="shared" si="110"/>
        <v>206862.40114479879</v>
      </c>
      <c r="AE401">
        <f t="shared" si="111"/>
        <v>205718.39527729631</v>
      </c>
      <c r="AF401">
        <f t="shared" si="112"/>
        <v>205600.07260192872</v>
      </c>
      <c r="AG401">
        <f t="shared" si="113"/>
        <v>203908.26185901053</v>
      </c>
      <c r="AH401">
        <f t="shared" si="114"/>
        <v>202870.01243400387</v>
      </c>
      <c r="AI401">
        <f t="shared" si="121"/>
        <v>207277.57377668776</v>
      </c>
    </row>
    <row r="402" spans="2:35" x14ac:dyDescent="0.3">
      <c r="B402">
        <v>359</v>
      </c>
      <c r="C402">
        <v>83500.089300000007</v>
      </c>
      <c r="D402">
        <v>81685.409199999995</v>
      </c>
      <c r="E402">
        <v>81388.305500000002</v>
      </c>
      <c r="F402">
        <v>81221.964099999997</v>
      </c>
      <c r="G402">
        <v>80558.949099999998</v>
      </c>
      <c r="H402">
        <v>80290.804399999994</v>
      </c>
      <c r="I402">
        <v>11.349610002889118</v>
      </c>
      <c r="J402">
        <v>11.327019332552576</v>
      </c>
      <c r="K402">
        <v>11.311950165520159</v>
      </c>
      <c r="L402">
        <v>11.310970200912227</v>
      </c>
      <c r="M402">
        <v>11.284394530610891</v>
      </c>
      <c r="N402">
        <v>11.267328298884454</v>
      </c>
      <c r="P402">
        <f t="shared" si="103"/>
        <v>256988.21078667359</v>
      </c>
      <c r="Q402">
        <f t="shared" si="104"/>
        <v>258125.17077657726</v>
      </c>
      <c r="R402">
        <f t="shared" si="105"/>
        <v>257970.19946560473</v>
      </c>
      <c r="S402">
        <f t="shared" si="106"/>
        <v>258107.14192736684</v>
      </c>
      <c r="T402">
        <f t="shared" si="107"/>
        <v>257972.88681832675</v>
      </c>
      <c r="U402">
        <f t="shared" si="108"/>
        <v>257729.04456653362</v>
      </c>
      <c r="V402">
        <f t="shared" si="115"/>
        <v>0</v>
      </c>
      <c r="W402">
        <f t="shared" si="116"/>
        <v>1</v>
      </c>
      <c r="X402">
        <f t="shared" si="117"/>
        <v>0</v>
      </c>
      <c r="Y402">
        <f t="shared" si="118"/>
        <v>0</v>
      </c>
      <c r="Z402">
        <f t="shared" si="119"/>
        <v>0</v>
      </c>
      <c r="AA402">
        <f t="shared" si="120"/>
        <v>0</v>
      </c>
      <c r="AC402">
        <f t="shared" si="109"/>
        <v>256988.21078667359</v>
      </c>
      <c r="AD402">
        <f t="shared" si="110"/>
        <v>258125.17077657726</v>
      </c>
      <c r="AE402">
        <f t="shared" si="111"/>
        <v>257970.19946560473</v>
      </c>
      <c r="AF402">
        <f t="shared" si="112"/>
        <v>258107.14192736684</v>
      </c>
      <c r="AG402">
        <f t="shared" si="113"/>
        <v>257972.88681832675</v>
      </c>
      <c r="AH402">
        <f t="shared" si="114"/>
        <v>257729.04456653362</v>
      </c>
      <c r="AI402">
        <f t="shared" si="121"/>
        <v>258125.17077657726</v>
      </c>
    </row>
    <row r="403" spans="2:35" x14ac:dyDescent="0.3">
      <c r="B403">
        <v>360</v>
      </c>
      <c r="C403">
        <v>82250.571800000005</v>
      </c>
      <c r="D403">
        <v>81209.494300000006</v>
      </c>
      <c r="E403">
        <v>81541.2696</v>
      </c>
      <c r="F403">
        <v>81438.8986</v>
      </c>
      <c r="G403">
        <v>81708.875199999995</v>
      </c>
      <c r="H403">
        <v>81951.260299999994</v>
      </c>
      <c r="I403">
        <v>10.73355789533896</v>
      </c>
      <c r="J403">
        <v>10.66453874381661</v>
      </c>
      <c r="K403">
        <v>10.601627174735084</v>
      </c>
      <c r="L403">
        <v>10.606376575102587</v>
      </c>
      <c r="M403">
        <v>10.545530438097398</v>
      </c>
      <c r="N403">
        <v>10.487700901647248</v>
      </c>
      <c r="P403">
        <f t="shared" si="103"/>
        <v>239756.1650601688</v>
      </c>
      <c r="Q403">
        <f t="shared" si="104"/>
        <v>238726.66801449831</v>
      </c>
      <c r="R403">
        <f t="shared" si="105"/>
        <v>236507.54564205254</v>
      </c>
      <c r="S403">
        <f t="shared" si="106"/>
        <v>236752.3986530776</v>
      </c>
      <c r="T403">
        <f t="shared" si="107"/>
        <v>234657.03794292192</v>
      </c>
      <c r="U403">
        <f t="shared" si="108"/>
        <v>232679.76674941744</v>
      </c>
      <c r="V403">
        <f t="shared" si="115"/>
        <v>1</v>
      </c>
      <c r="W403">
        <f t="shared" si="116"/>
        <v>0</v>
      </c>
      <c r="X403">
        <f t="shared" si="117"/>
        <v>0</v>
      </c>
      <c r="Y403">
        <f t="shared" si="118"/>
        <v>0</v>
      </c>
      <c r="Z403">
        <f t="shared" si="119"/>
        <v>0</v>
      </c>
      <c r="AA403">
        <f t="shared" si="120"/>
        <v>0</v>
      </c>
      <c r="AC403">
        <f t="shared" si="109"/>
        <v>239756.1650601688</v>
      </c>
      <c r="AD403">
        <f t="shared" si="110"/>
        <v>238726.66801449831</v>
      </c>
      <c r="AE403">
        <f t="shared" si="111"/>
        <v>236507.54564205254</v>
      </c>
      <c r="AF403">
        <f t="shared" si="112"/>
        <v>236752.3986530776</v>
      </c>
      <c r="AG403">
        <f t="shared" si="113"/>
        <v>234657.03794292192</v>
      </c>
      <c r="AH403">
        <f t="shared" si="114"/>
        <v>232679.76674941744</v>
      </c>
      <c r="AI403">
        <f t="shared" si="121"/>
        <v>239756.1650601688</v>
      </c>
    </row>
    <row r="404" spans="2:35" x14ac:dyDescent="0.3">
      <c r="B404">
        <v>361</v>
      </c>
      <c r="C404">
        <v>74651.609700000001</v>
      </c>
      <c r="D404">
        <v>74060.815700000006</v>
      </c>
      <c r="E404">
        <v>74556.847599999994</v>
      </c>
      <c r="F404">
        <v>74358.637199999997</v>
      </c>
      <c r="G404">
        <v>74929.407699999996</v>
      </c>
      <c r="H404">
        <v>75299.451300000001</v>
      </c>
      <c r="I404">
        <v>9.964291796740536</v>
      </c>
      <c r="J404">
        <v>9.9499147540257322</v>
      </c>
      <c r="K404">
        <v>9.9391701260053527</v>
      </c>
      <c r="L404">
        <v>9.9387658126142036</v>
      </c>
      <c r="M404">
        <v>9.9270908840406271</v>
      </c>
      <c r="N404">
        <v>9.9141206398894663</v>
      </c>
      <c r="P404">
        <f t="shared" si="103"/>
        <v>224277.14420221609</v>
      </c>
      <c r="Q404">
        <f t="shared" si="104"/>
        <v>224436.62692077199</v>
      </c>
      <c r="R404">
        <f t="shared" si="105"/>
        <v>223618.25618016062</v>
      </c>
      <c r="S404">
        <f t="shared" si="106"/>
        <v>223804.3371784261</v>
      </c>
      <c r="T404">
        <f t="shared" si="107"/>
        <v>222883.31882121885</v>
      </c>
      <c r="U404">
        <f t="shared" si="108"/>
        <v>222124.16789668397</v>
      </c>
      <c r="V404">
        <f t="shared" si="115"/>
        <v>0</v>
      </c>
      <c r="W404">
        <f t="shared" si="116"/>
        <v>1</v>
      </c>
      <c r="X404">
        <f t="shared" si="117"/>
        <v>0</v>
      </c>
      <c r="Y404">
        <f t="shared" si="118"/>
        <v>0</v>
      </c>
      <c r="Z404">
        <f t="shared" si="119"/>
        <v>0</v>
      </c>
      <c r="AA404">
        <f t="shared" si="120"/>
        <v>0</v>
      </c>
      <c r="AC404">
        <f t="shared" si="109"/>
        <v>224277.14420221609</v>
      </c>
      <c r="AD404">
        <f t="shared" si="110"/>
        <v>224436.62692077199</v>
      </c>
      <c r="AE404">
        <f t="shared" si="111"/>
        <v>223618.25618016062</v>
      </c>
      <c r="AF404">
        <f t="shared" si="112"/>
        <v>223804.3371784261</v>
      </c>
      <c r="AG404">
        <f t="shared" si="113"/>
        <v>222883.31882121885</v>
      </c>
      <c r="AH404">
        <f t="shared" si="114"/>
        <v>222124.16789668397</v>
      </c>
      <c r="AI404">
        <f t="shared" si="121"/>
        <v>224436.62692077199</v>
      </c>
    </row>
    <row r="405" spans="2:35" x14ac:dyDescent="0.3">
      <c r="B405">
        <v>362</v>
      </c>
      <c r="C405">
        <v>72139.575800000006</v>
      </c>
      <c r="D405">
        <v>72269.402799999996</v>
      </c>
      <c r="E405">
        <v>73510.2834</v>
      </c>
      <c r="F405">
        <v>73459.685400000002</v>
      </c>
      <c r="G405">
        <v>74324.724100000007</v>
      </c>
      <c r="H405">
        <v>75710.514999999999</v>
      </c>
      <c r="I405">
        <v>10.906223605326131</v>
      </c>
      <c r="J405">
        <v>10.898844091623575</v>
      </c>
      <c r="K405">
        <v>10.891925496994975</v>
      </c>
      <c r="L405">
        <v>10.890617327027648</v>
      </c>
      <c r="M405">
        <v>10.885510310612535</v>
      </c>
      <c r="N405">
        <v>10.87771633214617</v>
      </c>
      <c r="P405">
        <f t="shared" si="103"/>
        <v>255047.13235978392</v>
      </c>
      <c r="Q405">
        <f t="shared" si="104"/>
        <v>254695.91994870728</v>
      </c>
      <c r="R405">
        <f t="shared" si="105"/>
        <v>253247.48150984925</v>
      </c>
      <c r="S405">
        <f t="shared" si="106"/>
        <v>253258.83441082941</v>
      </c>
      <c r="T405">
        <f t="shared" si="107"/>
        <v>252240.58521837607</v>
      </c>
      <c r="U405">
        <f t="shared" si="108"/>
        <v>250620.9749643851</v>
      </c>
      <c r="V405">
        <f t="shared" si="115"/>
        <v>1</v>
      </c>
      <c r="W405">
        <f t="shared" si="116"/>
        <v>0</v>
      </c>
      <c r="X405">
        <f t="shared" si="117"/>
        <v>0</v>
      </c>
      <c r="Y405">
        <f t="shared" si="118"/>
        <v>0</v>
      </c>
      <c r="Z405">
        <f t="shared" si="119"/>
        <v>0</v>
      </c>
      <c r="AA405">
        <f t="shared" si="120"/>
        <v>0</v>
      </c>
      <c r="AC405">
        <f t="shared" si="109"/>
        <v>255047.13235978392</v>
      </c>
      <c r="AD405">
        <f t="shared" si="110"/>
        <v>254695.91994870728</v>
      </c>
      <c r="AE405">
        <f t="shared" si="111"/>
        <v>253247.48150984925</v>
      </c>
      <c r="AF405">
        <f t="shared" si="112"/>
        <v>253258.83441082941</v>
      </c>
      <c r="AG405">
        <f t="shared" si="113"/>
        <v>252240.58521837607</v>
      </c>
      <c r="AH405">
        <f t="shared" si="114"/>
        <v>250620.9749643851</v>
      </c>
      <c r="AI405">
        <f t="shared" si="121"/>
        <v>255047.13235978392</v>
      </c>
    </row>
    <row r="406" spans="2:35" x14ac:dyDescent="0.3">
      <c r="B406">
        <v>363</v>
      </c>
      <c r="C406">
        <v>65666.642099999997</v>
      </c>
      <c r="D406">
        <v>64936.616900000001</v>
      </c>
      <c r="E406">
        <v>65308.313099999999</v>
      </c>
      <c r="F406">
        <v>65200.610800000002</v>
      </c>
      <c r="G406">
        <v>65662.224700000006</v>
      </c>
      <c r="H406">
        <v>66320.797399999996</v>
      </c>
      <c r="I406">
        <v>10.969056098062014</v>
      </c>
      <c r="J406">
        <v>10.957219602406276</v>
      </c>
      <c r="K406">
        <v>10.947299795411693</v>
      </c>
      <c r="L406">
        <v>10.944343454808767</v>
      </c>
      <c r="M406">
        <v>10.935843750259334</v>
      </c>
      <c r="N406">
        <v>10.92308722215988</v>
      </c>
      <c r="P406">
        <f t="shared" si="103"/>
        <v>263405.04084186041</v>
      </c>
      <c r="Q406">
        <f t="shared" si="104"/>
        <v>263779.97117218829</v>
      </c>
      <c r="R406">
        <f t="shared" si="105"/>
        <v>263110.68076235079</v>
      </c>
      <c r="S406">
        <f t="shared" si="106"/>
        <v>263129.69284426299</v>
      </c>
      <c r="T406">
        <f t="shared" si="107"/>
        <v>262413.08780778002</v>
      </c>
      <c r="U406">
        <f t="shared" si="108"/>
        <v>261371.81926479645</v>
      </c>
      <c r="V406">
        <f t="shared" si="115"/>
        <v>0</v>
      </c>
      <c r="W406">
        <f t="shared" si="116"/>
        <v>1</v>
      </c>
      <c r="X406">
        <f t="shared" si="117"/>
        <v>0</v>
      </c>
      <c r="Y406">
        <f t="shared" si="118"/>
        <v>0</v>
      </c>
      <c r="Z406">
        <f t="shared" si="119"/>
        <v>0</v>
      </c>
      <c r="AA406">
        <f t="shared" si="120"/>
        <v>0</v>
      </c>
      <c r="AC406">
        <f t="shared" si="109"/>
        <v>263405.04084186041</v>
      </c>
      <c r="AD406">
        <f t="shared" si="110"/>
        <v>263779.97117218829</v>
      </c>
      <c r="AE406">
        <f t="shared" si="111"/>
        <v>263110.68076235079</v>
      </c>
      <c r="AF406">
        <f t="shared" si="112"/>
        <v>263129.69284426299</v>
      </c>
      <c r="AG406">
        <f t="shared" si="113"/>
        <v>262413.08780778002</v>
      </c>
      <c r="AH406">
        <f t="shared" si="114"/>
        <v>261371.81926479645</v>
      </c>
      <c r="AI406">
        <f t="shared" si="121"/>
        <v>263779.97117218829</v>
      </c>
    </row>
    <row r="407" spans="2:35" x14ac:dyDescent="0.3">
      <c r="B407">
        <v>364</v>
      </c>
      <c r="C407">
        <v>73598.066000000006</v>
      </c>
      <c r="D407">
        <v>72660.862399999998</v>
      </c>
      <c r="E407">
        <v>73048.982300000003</v>
      </c>
      <c r="F407">
        <v>72825.703500000003</v>
      </c>
      <c r="G407">
        <v>73085.227700000003</v>
      </c>
      <c r="H407">
        <v>73423.794599999994</v>
      </c>
      <c r="I407">
        <v>9.8925137567931181</v>
      </c>
      <c r="J407">
        <v>9.835239855382687</v>
      </c>
      <c r="K407">
        <v>9.7902470629766984</v>
      </c>
      <c r="L407">
        <v>9.7852983119541737</v>
      </c>
      <c r="M407">
        <v>9.738156049049719</v>
      </c>
      <c r="N407">
        <v>9.6911007718432671</v>
      </c>
      <c r="P407">
        <f t="shared" si="103"/>
        <v>223177.34670379356</v>
      </c>
      <c r="Q407">
        <f t="shared" si="104"/>
        <v>222396.33326148061</v>
      </c>
      <c r="R407">
        <f t="shared" si="105"/>
        <v>220658.42958930097</v>
      </c>
      <c r="S407">
        <f t="shared" si="106"/>
        <v>220733.24585862522</v>
      </c>
      <c r="T407">
        <f t="shared" si="107"/>
        <v>219059.45377149159</v>
      </c>
      <c r="U407">
        <f t="shared" si="108"/>
        <v>217309.22855529803</v>
      </c>
      <c r="V407">
        <f t="shared" si="115"/>
        <v>1</v>
      </c>
      <c r="W407">
        <f t="shared" si="116"/>
        <v>0</v>
      </c>
      <c r="X407">
        <f t="shared" si="117"/>
        <v>0</v>
      </c>
      <c r="Y407">
        <f t="shared" si="118"/>
        <v>0</v>
      </c>
      <c r="Z407">
        <f t="shared" si="119"/>
        <v>0</v>
      </c>
      <c r="AA407">
        <f t="shared" si="120"/>
        <v>0</v>
      </c>
      <c r="AC407">
        <f t="shared" si="109"/>
        <v>223177.34670379356</v>
      </c>
      <c r="AD407">
        <f t="shared" si="110"/>
        <v>222396.33326148061</v>
      </c>
      <c r="AE407">
        <f t="shared" si="111"/>
        <v>220658.42958930097</v>
      </c>
      <c r="AF407">
        <f t="shared" si="112"/>
        <v>220733.24585862522</v>
      </c>
      <c r="AG407">
        <f t="shared" si="113"/>
        <v>219059.45377149159</v>
      </c>
      <c r="AH407">
        <f t="shared" si="114"/>
        <v>217309.22855529803</v>
      </c>
      <c r="AI407">
        <f t="shared" si="121"/>
        <v>223177.34670379356</v>
      </c>
    </row>
    <row r="408" spans="2:35" x14ac:dyDescent="0.3">
      <c r="B408">
        <v>365</v>
      </c>
      <c r="C408">
        <v>71056.523799999995</v>
      </c>
      <c r="D408">
        <v>70382.4372</v>
      </c>
      <c r="E408">
        <v>70829.981299999999</v>
      </c>
      <c r="F408">
        <v>70957.962299999999</v>
      </c>
      <c r="G408">
        <v>71200.6348</v>
      </c>
      <c r="H408">
        <v>71936.887300000002</v>
      </c>
      <c r="I408">
        <v>9.7450822190910262</v>
      </c>
      <c r="J408">
        <v>9.725031433740229</v>
      </c>
      <c r="K408">
        <v>9.7069673105633569</v>
      </c>
      <c r="L408">
        <v>9.6975034626104275</v>
      </c>
      <c r="M408">
        <v>9.6877163997951516</v>
      </c>
      <c r="N408">
        <v>9.6676078240448913</v>
      </c>
      <c r="P408">
        <f t="shared" si="103"/>
        <v>221295.94277273081</v>
      </c>
      <c r="Q408">
        <f t="shared" si="104"/>
        <v>221368.50581220689</v>
      </c>
      <c r="R408">
        <f t="shared" si="105"/>
        <v>220379.03801690071</v>
      </c>
      <c r="S408">
        <f t="shared" si="106"/>
        <v>219967.14157831279</v>
      </c>
      <c r="T408">
        <f t="shared" si="107"/>
        <v>219430.85719385452</v>
      </c>
      <c r="U408">
        <f t="shared" si="108"/>
        <v>218091.34742134676</v>
      </c>
      <c r="V408">
        <f t="shared" si="115"/>
        <v>0</v>
      </c>
      <c r="W408">
        <f t="shared" si="116"/>
        <v>1</v>
      </c>
      <c r="X408">
        <f t="shared" si="117"/>
        <v>0</v>
      </c>
      <c r="Y408">
        <f t="shared" si="118"/>
        <v>0</v>
      </c>
      <c r="Z408">
        <f t="shared" si="119"/>
        <v>0</v>
      </c>
      <c r="AA408">
        <f t="shared" si="120"/>
        <v>0</v>
      </c>
      <c r="AC408">
        <f t="shared" si="109"/>
        <v>221295.94277273081</v>
      </c>
      <c r="AD408">
        <f t="shared" si="110"/>
        <v>221368.50581220689</v>
      </c>
      <c r="AE408">
        <f t="shared" si="111"/>
        <v>220379.03801690071</v>
      </c>
      <c r="AF408">
        <f t="shared" si="112"/>
        <v>219967.14157831279</v>
      </c>
      <c r="AG408">
        <f t="shared" si="113"/>
        <v>219430.85719385452</v>
      </c>
      <c r="AH408">
        <f t="shared" si="114"/>
        <v>218091.34742134676</v>
      </c>
      <c r="AI408">
        <f t="shared" si="121"/>
        <v>221368.50581220689</v>
      </c>
    </row>
    <row r="409" spans="2:35" x14ac:dyDescent="0.3">
      <c r="B409">
        <v>366</v>
      </c>
      <c r="C409">
        <v>80391.111600000004</v>
      </c>
      <c r="D409">
        <v>79088.304999999993</v>
      </c>
      <c r="E409">
        <v>79034.881699999998</v>
      </c>
      <c r="F409">
        <v>78722.765599999999</v>
      </c>
      <c r="G409">
        <v>78539.9179</v>
      </c>
      <c r="H409">
        <v>78675.044599999994</v>
      </c>
      <c r="I409">
        <v>11.379472490616219</v>
      </c>
      <c r="J409">
        <v>11.34265427539215</v>
      </c>
      <c r="K409">
        <v>11.317577247514045</v>
      </c>
      <c r="L409">
        <v>11.300791353953166</v>
      </c>
      <c r="M409">
        <v>11.273345800260001</v>
      </c>
      <c r="N409">
        <v>11.246772425771292</v>
      </c>
      <c r="P409">
        <f t="shared" si="103"/>
        <v>260993.06311848661</v>
      </c>
      <c r="Q409">
        <f t="shared" si="104"/>
        <v>261191.32326176448</v>
      </c>
      <c r="R409">
        <f t="shared" si="105"/>
        <v>260492.43572542132</v>
      </c>
      <c r="S409">
        <f t="shared" si="106"/>
        <v>260300.975018595</v>
      </c>
      <c r="T409">
        <f t="shared" si="107"/>
        <v>259660.45610780001</v>
      </c>
      <c r="U409">
        <f t="shared" si="108"/>
        <v>258728.12817313874</v>
      </c>
      <c r="V409">
        <f t="shared" si="115"/>
        <v>0</v>
      </c>
      <c r="W409">
        <f t="shared" si="116"/>
        <v>1</v>
      </c>
      <c r="X409">
        <f t="shared" si="117"/>
        <v>0</v>
      </c>
      <c r="Y409">
        <f t="shared" si="118"/>
        <v>0</v>
      </c>
      <c r="Z409">
        <f t="shared" si="119"/>
        <v>0</v>
      </c>
      <c r="AA409">
        <f t="shared" si="120"/>
        <v>0</v>
      </c>
      <c r="AC409">
        <f t="shared" si="109"/>
        <v>260993.06311848661</v>
      </c>
      <c r="AD409">
        <f t="shared" si="110"/>
        <v>261191.32326176448</v>
      </c>
      <c r="AE409">
        <f t="shared" si="111"/>
        <v>260492.43572542132</v>
      </c>
      <c r="AF409">
        <f t="shared" si="112"/>
        <v>260300.975018595</v>
      </c>
      <c r="AG409">
        <f t="shared" si="113"/>
        <v>259660.45610780001</v>
      </c>
      <c r="AH409">
        <f t="shared" si="114"/>
        <v>258728.12817313874</v>
      </c>
      <c r="AI409">
        <f t="shared" si="121"/>
        <v>261191.32326176448</v>
      </c>
    </row>
    <row r="410" spans="2:35" x14ac:dyDescent="0.3">
      <c r="B410">
        <v>367</v>
      </c>
      <c r="C410">
        <v>84089.706000000006</v>
      </c>
      <c r="D410">
        <v>83590.243499999997</v>
      </c>
      <c r="E410">
        <v>84164.112699999998</v>
      </c>
      <c r="F410">
        <v>84245.926200000002</v>
      </c>
      <c r="G410">
        <v>84767.353400000007</v>
      </c>
      <c r="H410">
        <v>85453.270300000004</v>
      </c>
      <c r="I410">
        <v>10.627013377680194</v>
      </c>
      <c r="J410">
        <v>10.60402489413149</v>
      </c>
      <c r="K410">
        <v>10.590336635113806</v>
      </c>
      <c r="L410">
        <v>10.581375718127932</v>
      </c>
      <c r="M410">
        <v>10.565870624029905</v>
      </c>
      <c r="N410">
        <v>10.552137195718915</v>
      </c>
      <c r="P410">
        <f t="shared" si="103"/>
        <v>234720.69533040584</v>
      </c>
      <c r="Q410">
        <f t="shared" si="104"/>
        <v>234530.50332394469</v>
      </c>
      <c r="R410">
        <f t="shared" si="105"/>
        <v>233545.98635341419</v>
      </c>
      <c r="S410">
        <f t="shared" si="106"/>
        <v>233195.34534383798</v>
      </c>
      <c r="T410">
        <f t="shared" si="107"/>
        <v>232208.76532089716</v>
      </c>
      <c r="U410">
        <f t="shared" si="108"/>
        <v>231110.84557156745</v>
      </c>
      <c r="V410">
        <f t="shared" si="115"/>
        <v>1</v>
      </c>
      <c r="W410">
        <f t="shared" si="116"/>
        <v>0</v>
      </c>
      <c r="X410">
        <f t="shared" si="117"/>
        <v>0</v>
      </c>
      <c r="Y410">
        <f t="shared" si="118"/>
        <v>0</v>
      </c>
      <c r="Z410">
        <f t="shared" si="119"/>
        <v>0</v>
      </c>
      <c r="AA410">
        <f t="shared" si="120"/>
        <v>0</v>
      </c>
      <c r="AC410">
        <f t="shared" si="109"/>
        <v>234720.69533040584</v>
      </c>
      <c r="AD410">
        <f t="shared" si="110"/>
        <v>234530.50332394469</v>
      </c>
      <c r="AE410">
        <f t="shared" si="111"/>
        <v>233545.98635341419</v>
      </c>
      <c r="AF410">
        <f t="shared" si="112"/>
        <v>233195.34534383798</v>
      </c>
      <c r="AG410">
        <f t="shared" si="113"/>
        <v>232208.76532089716</v>
      </c>
      <c r="AH410">
        <f t="shared" si="114"/>
        <v>231110.84557156745</v>
      </c>
      <c r="AI410">
        <f t="shared" si="121"/>
        <v>234720.69533040584</v>
      </c>
    </row>
    <row r="411" spans="2:35" x14ac:dyDescent="0.3">
      <c r="B411">
        <v>368</v>
      </c>
      <c r="C411">
        <v>81877.591700000004</v>
      </c>
      <c r="D411">
        <v>81304.525399999999</v>
      </c>
      <c r="E411">
        <v>81677.749200000006</v>
      </c>
      <c r="F411">
        <v>81664.139299999995</v>
      </c>
      <c r="G411">
        <v>82220.622199999998</v>
      </c>
      <c r="H411">
        <v>82527.755499999999</v>
      </c>
      <c r="I411">
        <v>9.8473222602088644</v>
      </c>
      <c r="J411">
        <v>9.8202748308953645</v>
      </c>
      <c r="K411">
        <v>9.8074422536553403</v>
      </c>
      <c r="L411">
        <v>9.7986600570557858</v>
      </c>
      <c r="M411">
        <v>9.7797360089074203</v>
      </c>
      <c r="N411">
        <v>9.7584222736849835</v>
      </c>
      <c r="P411">
        <f t="shared" si="103"/>
        <v>213542.07610626594</v>
      </c>
      <c r="Q411">
        <f t="shared" si="104"/>
        <v>213303.71952686092</v>
      </c>
      <c r="R411">
        <f t="shared" si="105"/>
        <v>212545.5184096602</v>
      </c>
      <c r="S411">
        <f t="shared" si="106"/>
        <v>212295.66241167358</v>
      </c>
      <c r="T411">
        <f t="shared" si="107"/>
        <v>211171.45806722261</v>
      </c>
      <c r="U411">
        <f t="shared" si="108"/>
        <v>210224.91271054951</v>
      </c>
      <c r="V411">
        <f t="shared" si="115"/>
        <v>1</v>
      </c>
      <c r="W411">
        <f t="shared" si="116"/>
        <v>0</v>
      </c>
      <c r="X411">
        <f t="shared" si="117"/>
        <v>0</v>
      </c>
      <c r="Y411">
        <f t="shared" si="118"/>
        <v>0</v>
      </c>
      <c r="Z411">
        <f t="shared" si="119"/>
        <v>0</v>
      </c>
      <c r="AA411">
        <f t="shared" si="120"/>
        <v>0</v>
      </c>
      <c r="AC411">
        <f t="shared" si="109"/>
        <v>213542.07610626594</v>
      </c>
      <c r="AD411">
        <f t="shared" si="110"/>
        <v>213303.71952686092</v>
      </c>
      <c r="AE411">
        <f t="shared" si="111"/>
        <v>212545.5184096602</v>
      </c>
      <c r="AF411">
        <f t="shared" si="112"/>
        <v>212295.66241167358</v>
      </c>
      <c r="AG411">
        <f t="shared" si="113"/>
        <v>211171.45806722261</v>
      </c>
      <c r="AH411">
        <f t="shared" si="114"/>
        <v>210224.91271054951</v>
      </c>
      <c r="AI411">
        <f t="shared" si="121"/>
        <v>213542.07610626594</v>
      </c>
    </row>
    <row r="412" spans="2:35" x14ac:dyDescent="0.3">
      <c r="B412">
        <v>369</v>
      </c>
      <c r="C412">
        <v>72583.751600000003</v>
      </c>
      <c r="D412">
        <v>72680.837799999994</v>
      </c>
      <c r="E412">
        <v>73375.2356</v>
      </c>
      <c r="F412">
        <v>73043.780700000003</v>
      </c>
      <c r="G412">
        <v>74281.415900000007</v>
      </c>
      <c r="H412">
        <v>75260.930200000003</v>
      </c>
      <c r="I412">
        <v>11.05850757873954</v>
      </c>
      <c r="J412">
        <v>11.018536660783408</v>
      </c>
      <c r="K412">
        <v>10.983900332664744</v>
      </c>
      <c r="L412">
        <v>10.987577297772606</v>
      </c>
      <c r="M412">
        <v>10.959420679884955</v>
      </c>
      <c r="N412">
        <v>10.918275976139302</v>
      </c>
      <c r="P412">
        <f t="shared" si="103"/>
        <v>259171.47576218616</v>
      </c>
      <c r="Q412">
        <f t="shared" si="104"/>
        <v>257875.26202350226</v>
      </c>
      <c r="R412">
        <f t="shared" si="105"/>
        <v>256141.77437994233</v>
      </c>
      <c r="S412">
        <f t="shared" si="106"/>
        <v>256583.5382331782</v>
      </c>
      <c r="T412">
        <f t="shared" si="107"/>
        <v>254501.20449654863</v>
      </c>
      <c r="U412">
        <f t="shared" si="108"/>
        <v>252287.34908417909</v>
      </c>
      <c r="V412">
        <f t="shared" si="115"/>
        <v>1</v>
      </c>
      <c r="W412">
        <f t="shared" si="116"/>
        <v>0</v>
      </c>
      <c r="X412">
        <f t="shared" si="117"/>
        <v>0</v>
      </c>
      <c r="Y412">
        <f t="shared" si="118"/>
        <v>0</v>
      </c>
      <c r="Z412">
        <f t="shared" si="119"/>
        <v>0</v>
      </c>
      <c r="AA412">
        <f t="shared" si="120"/>
        <v>0</v>
      </c>
      <c r="AC412">
        <f t="shared" si="109"/>
        <v>259171.47576218616</v>
      </c>
      <c r="AD412">
        <f t="shared" si="110"/>
        <v>257875.26202350226</v>
      </c>
      <c r="AE412">
        <f t="shared" si="111"/>
        <v>256141.77437994233</v>
      </c>
      <c r="AF412">
        <f t="shared" si="112"/>
        <v>256583.5382331782</v>
      </c>
      <c r="AG412">
        <f t="shared" si="113"/>
        <v>254501.20449654863</v>
      </c>
      <c r="AH412">
        <f t="shared" si="114"/>
        <v>252287.34908417909</v>
      </c>
      <c r="AI412">
        <f t="shared" si="121"/>
        <v>259171.47576218616</v>
      </c>
    </row>
    <row r="413" spans="2:35" x14ac:dyDescent="0.3">
      <c r="B413">
        <v>370</v>
      </c>
      <c r="C413">
        <v>77803.736099999995</v>
      </c>
      <c r="D413">
        <v>76926.952099999995</v>
      </c>
      <c r="E413">
        <v>77322.629400000005</v>
      </c>
      <c r="F413">
        <v>77225.803</v>
      </c>
      <c r="G413">
        <v>77712.312300000005</v>
      </c>
      <c r="H413">
        <v>78018.237599999993</v>
      </c>
      <c r="I413">
        <v>10.184880365628144</v>
      </c>
      <c r="J413">
        <v>10.163669251268217</v>
      </c>
      <c r="K413">
        <v>10.141223324679169</v>
      </c>
      <c r="L413">
        <v>10.133991354846273</v>
      </c>
      <c r="M413">
        <v>10.111931060874202</v>
      </c>
      <c r="N413">
        <v>10.095087248927326</v>
      </c>
      <c r="P413">
        <f t="shared" si="103"/>
        <v>227742.67486884433</v>
      </c>
      <c r="Q413">
        <f t="shared" si="104"/>
        <v>227983.12543804653</v>
      </c>
      <c r="R413">
        <f t="shared" si="105"/>
        <v>226914.07034037504</v>
      </c>
      <c r="S413">
        <f t="shared" si="106"/>
        <v>226793.93764538819</v>
      </c>
      <c r="T413">
        <f t="shared" si="107"/>
        <v>225645.61952622607</v>
      </c>
      <c r="U413">
        <f t="shared" si="108"/>
        <v>224834.37986781978</v>
      </c>
      <c r="V413">
        <f t="shared" si="115"/>
        <v>0</v>
      </c>
      <c r="W413">
        <f t="shared" si="116"/>
        <v>1</v>
      </c>
      <c r="X413">
        <f t="shared" si="117"/>
        <v>0</v>
      </c>
      <c r="Y413">
        <f t="shared" si="118"/>
        <v>0</v>
      </c>
      <c r="Z413">
        <f t="shared" si="119"/>
        <v>0</v>
      </c>
      <c r="AA413">
        <f t="shared" si="120"/>
        <v>0</v>
      </c>
      <c r="AC413">
        <f t="shared" si="109"/>
        <v>227742.67486884433</v>
      </c>
      <c r="AD413">
        <f t="shared" si="110"/>
        <v>227983.12543804653</v>
      </c>
      <c r="AE413">
        <f t="shared" si="111"/>
        <v>226914.07034037504</v>
      </c>
      <c r="AF413">
        <f t="shared" si="112"/>
        <v>226793.93764538819</v>
      </c>
      <c r="AG413">
        <f t="shared" si="113"/>
        <v>225645.61952622607</v>
      </c>
      <c r="AH413">
        <f t="shared" si="114"/>
        <v>224834.37986781978</v>
      </c>
      <c r="AI413">
        <f t="shared" si="121"/>
        <v>227983.12543804653</v>
      </c>
    </row>
    <row r="414" spans="2:35" x14ac:dyDescent="0.3">
      <c r="B414">
        <v>371</v>
      </c>
      <c r="C414">
        <v>71837.905499999993</v>
      </c>
      <c r="D414">
        <v>71574.510599999994</v>
      </c>
      <c r="E414">
        <v>72224.541200000007</v>
      </c>
      <c r="F414">
        <v>72259.615399999995</v>
      </c>
      <c r="G414">
        <v>73008.958599999998</v>
      </c>
      <c r="H414">
        <v>73820.8508</v>
      </c>
      <c r="I414">
        <v>11.284531786709708</v>
      </c>
      <c r="J414">
        <v>11.269648428195302</v>
      </c>
      <c r="K414">
        <v>11.261989354239896</v>
      </c>
      <c r="L414">
        <v>11.258538879074303</v>
      </c>
      <c r="M414">
        <v>11.247355717462215</v>
      </c>
      <c r="N414">
        <v>11.23610509615084</v>
      </c>
      <c r="P414">
        <f t="shared" si="103"/>
        <v>266698.04810129124</v>
      </c>
      <c r="Q414">
        <f t="shared" si="104"/>
        <v>266514.94224585907</v>
      </c>
      <c r="R414">
        <f t="shared" si="105"/>
        <v>265635.13942719682</v>
      </c>
      <c r="S414">
        <f t="shared" si="106"/>
        <v>265496.5509722291</v>
      </c>
      <c r="T414">
        <f t="shared" si="107"/>
        <v>264411.71292386641</v>
      </c>
      <c r="U414">
        <f t="shared" si="108"/>
        <v>263262.30208452517</v>
      </c>
      <c r="V414">
        <f t="shared" si="115"/>
        <v>1</v>
      </c>
      <c r="W414">
        <f t="shared" si="116"/>
        <v>0</v>
      </c>
      <c r="X414">
        <f t="shared" si="117"/>
        <v>0</v>
      </c>
      <c r="Y414">
        <f t="shared" si="118"/>
        <v>0</v>
      </c>
      <c r="Z414">
        <f t="shared" si="119"/>
        <v>0</v>
      </c>
      <c r="AA414">
        <f t="shared" si="120"/>
        <v>0</v>
      </c>
      <c r="AC414">
        <f t="shared" si="109"/>
        <v>266698.04810129124</v>
      </c>
      <c r="AD414">
        <f t="shared" si="110"/>
        <v>266514.94224585907</v>
      </c>
      <c r="AE414">
        <f t="shared" si="111"/>
        <v>265635.13942719682</v>
      </c>
      <c r="AF414">
        <f t="shared" si="112"/>
        <v>265496.5509722291</v>
      </c>
      <c r="AG414">
        <f t="shared" si="113"/>
        <v>264411.71292386641</v>
      </c>
      <c r="AH414">
        <f t="shared" si="114"/>
        <v>263262.30208452517</v>
      </c>
      <c r="AI414">
        <f t="shared" si="121"/>
        <v>266698.04810129124</v>
      </c>
    </row>
    <row r="415" spans="2:35" x14ac:dyDescent="0.3">
      <c r="B415">
        <v>372</v>
      </c>
      <c r="C415">
        <v>76359.768100000001</v>
      </c>
      <c r="D415">
        <v>75419.401500000007</v>
      </c>
      <c r="E415">
        <v>75552.507700000002</v>
      </c>
      <c r="F415">
        <v>75405.035399999993</v>
      </c>
      <c r="G415">
        <v>75610.645300000004</v>
      </c>
      <c r="H415">
        <v>75769.655299999999</v>
      </c>
      <c r="I415">
        <v>9.5589932122618357</v>
      </c>
      <c r="J415">
        <v>9.5201404101301588</v>
      </c>
      <c r="K415">
        <v>9.4703455450499412</v>
      </c>
      <c r="L415">
        <v>9.4524091904134089</v>
      </c>
      <c r="M415">
        <v>9.4204840548453248</v>
      </c>
      <c r="N415">
        <v>9.3716582752856716</v>
      </c>
      <c r="P415">
        <f t="shared" si="103"/>
        <v>210410.02826785506</v>
      </c>
      <c r="Q415">
        <f t="shared" si="104"/>
        <v>210184.81080390475</v>
      </c>
      <c r="R415">
        <f t="shared" si="105"/>
        <v>208557.85865149822</v>
      </c>
      <c r="S415">
        <f t="shared" si="106"/>
        <v>208167.24031240225</v>
      </c>
      <c r="T415">
        <f t="shared" si="107"/>
        <v>207003.87634535975</v>
      </c>
      <c r="U415">
        <f t="shared" si="108"/>
        <v>205380.09295857017</v>
      </c>
      <c r="V415">
        <f t="shared" si="115"/>
        <v>1</v>
      </c>
      <c r="W415">
        <f t="shared" si="116"/>
        <v>0</v>
      </c>
      <c r="X415">
        <f t="shared" si="117"/>
        <v>0</v>
      </c>
      <c r="Y415">
        <f t="shared" si="118"/>
        <v>0</v>
      </c>
      <c r="Z415">
        <f t="shared" si="119"/>
        <v>0</v>
      </c>
      <c r="AA415">
        <f t="shared" si="120"/>
        <v>0</v>
      </c>
      <c r="AC415">
        <f t="shared" si="109"/>
        <v>210410.02826785506</v>
      </c>
      <c r="AD415">
        <f t="shared" si="110"/>
        <v>210184.81080390475</v>
      </c>
      <c r="AE415">
        <f t="shared" si="111"/>
        <v>208557.85865149822</v>
      </c>
      <c r="AF415">
        <f t="shared" si="112"/>
        <v>208167.24031240225</v>
      </c>
      <c r="AG415">
        <f t="shared" si="113"/>
        <v>207003.87634535975</v>
      </c>
      <c r="AH415">
        <f t="shared" si="114"/>
        <v>205380.09295857017</v>
      </c>
      <c r="AI415">
        <f t="shared" si="121"/>
        <v>210410.02826785506</v>
      </c>
    </row>
    <row r="416" spans="2:35" x14ac:dyDescent="0.3">
      <c r="B416">
        <v>373</v>
      </c>
      <c r="C416">
        <v>83453.135999999999</v>
      </c>
      <c r="D416">
        <v>82460.208899999998</v>
      </c>
      <c r="E416">
        <v>82687.005900000004</v>
      </c>
      <c r="F416">
        <v>82695.243300000002</v>
      </c>
      <c r="G416">
        <v>82975.960399999996</v>
      </c>
      <c r="H416">
        <v>83147.248399999997</v>
      </c>
      <c r="I416">
        <v>10.653631364496176</v>
      </c>
      <c r="J416">
        <v>10.633242143646354</v>
      </c>
      <c r="K416">
        <v>10.617129616452448</v>
      </c>
      <c r="L416">
        <v>10.609501398200367</v>
      </c>
      <c r="M416">
        <v>10.596728483952671</v>
      </c>
      <c r="N416">
        <v>10.581527225377931</v>
      </c>
      <c r="P416">
        <f t="shared" si="103"/>
        <v>236155.80493488529</v>
      </c>
      <c r="Q416">
        <f t="shared" si="104"/>
        <v>236537.05540939062</v>
      </c>
      <c r="R416">
        <f t="shared" si="105"/>
        <v>235826.88259357348</v>
      </c>
      <c r="S416">
        <f t="shared" si="106"/>
        <v>235589.79864601101</v>
      </c>
      <c r="T416">
        <f t="shared" si="107"/>
        <v>234925.89411858015</v>
      </c>
      <c r="U416">
        <f t="shared" si="108"/>
        <v>234298.56836133794</v>
      </c>
      <c r="V416">
        <f t="shared" si="115"/>
        <v>0</v>
      </c>
      <c r="W416">
        <f t="shared" si="116"/>
        <v>1</v>
      </c>
      <c r="X416">
        <f t="shared" si="117"/>
        <v>0</v>
      </c>
      <c r="Y416">
        <f t="shared" si="118"/>
        <v>0</v>
      </c>
      <c r="Z416">
        <f t="shared" si="119"/>
        <v>0</v>
      </c>
      <c r="AA416">
        <f t="shared" si="120"/>
        <v>0</v>
      </c>
      <c r="AC416">
        <f t="shared" si="109"/>
        <v>236155.80493488529</v>
      </c>
      <c r="AD416">
        <f t="shared" si="110"/>
        <v>236537.05540939062</v>
      </c>
      <c r="AE416">
        <f t="shared" si="111"/>
        <v>235826.88259357348</v>
      </c>
      <c r="AF416">
        <f t="shared" si="112"/>
        <v>235589.79864601101</v>
      </c>
      <c r="AG416">
        <f t="shared" si="113"/>
        <v>234925.89411858015</v>
      </c>
      <c r="AH416">
        <f t="shared" si="114"/>
        <v>234298.56836133794</v>
      </c>
      <c r="AI416">
        <f t="shared" si="121"/>
        <v>236537.05540939062</v>
      </c>
    </row>
    <row r="417" spans="2:35" x14ac:dyDescent="0.3">
      <c r="B417">
        <v>374</v>
      </c>
      <c r="C417">
        <v>80069.358699999997</v>
      </c>
      <c r="D417">
        <v>80141.455799999996</v>
      </c>
      <c r="E417">
        <v>81146.392699999997</v>
      </c>
      <c r="F417">
        <v>81534.813099999999</v>
      </c>
      <c r="G417">
        <v>82404.078299999994</v>
      </c>
      <c r="H417">
        <v>83294.5242</v>
      </c>
      <c r="I417">
        <v>10.520923926235122</v>
      </c>
      <c r="J417">
        <v>10.47294861068214</v>
      </c>
      <c r="K417">
        <v>10.442485043074464</v>
      </c>
      <c r="L417">
        <v>10.417983288708248</v>
      </c>
      <c r="M417">
        <v>10.381683148653654</v>
      </c>
      <c r="N417">
        <v>10.350350183587903</v>
      </c>
      <c r="P417">
        <f t="shared" si="103"/>
        <v>235558.35908705369</v>
      </c>
      <c r="Q417">
        <f t="shared" si="104"/>
        <v>234047.00252046419</v>
      </c>
      <c r="R417">
        <f t="shared" si="105"/>
        <v>232128.15859223393</v>
      </c>
      <c r="S417">
        <f t="shared" si="106"/>
        <v>231004.68556124743</v>
      </c>
      <c r="T417">
        <f t="shared" si="107"/>
        <v>229046.41615960962</v>
      </c>
      <c r="U417">
        <f t="shared" si="108"/>
        <v>227215.98130763712</v>
      </c>
      <c r="V417">
        <f t="shared" si="115"/>
        <v>1</v>
      </c>
      <c r="W417">
        <f t="shared" si="116"/>
        <v>0</v>
      </c>
      <c r="X417">
        <f t="shared" si="117"/>
        <v>0</v>
      </c>
      <c r="Y417">
        <f t="shared" si="118"/>
        <v>0</v>
      </c>
      <c r="Z417">
        <f t="shared" si="119"/>
        <v>0</v>
      </c>
      <c r="AA417">
        <f t="shared" si="120"/>
        <v>0</v>
      </c>
      <c r="AC417">
        <f t="shared" si="109"/>
        <v>235558.35908705369</v>
      </c>
      <c r="AD417">
        <f t="shared" si="110"/>
        <v>234047.00252046419</v>
      </c>
      <c r="AE417">
        <f t="shared" si="111"/>
        <v>232128.15859223393</v>
      </c>
      <c r="AF417">
        <f t="shared" si="112"/>
        <v>231004.68556124743</v>
      </c>
      <c r="AG417">
        <f t="shared" si="113"/>
        <v>229046.41615960962</v>
      </c>
      <c r="AH417">
        <f t="shared" si="114"/>
        <v>227215.98130763712</v>
      </c>
      <c r="AI417">
        <f t="shared" si="121"/>
        <v>235558.35908705369</v>
      </c>
    </row>
    <row r="418" spans="2:35" x14ac:dyDescent="0.3">
      <c r="B418">
        <v>375</v>
      </c>
      <c r="C418">
        <v>82700.352799999993</v>
      </c>
      <c r="D418">
        <v>82237.618199999997</v>
      </c>
      <c r="E418">
        <v>82889.249299999996</v>
      </c>
      <c r="F418">
        <v>82834.194600000003</v>
      </c>
      <c r="G418">
        <v>83683.099100000007</v>
      </c>
      <c r="H418">
        <v>84214.433099999995</v>
      </c>
      <c r="I418">
        <v>9.2008184887906594</v>
      </c>
      <c r="J418">
        <v>9.1788786632848538</v>
      </c>
      <c r="K418">
        <v>9.1606925008870963</v>
      </c>
      <c r="L418">
        <v>9.1579336468809007</v>
      </c>
      <c r="M418">
        <v>9.1356343681635046</v>
      </c>
      <c r="N418">
        <v>9.1172351889178547</v>
      </c>
      <c r="P418">
        <f t="shared" si="103"/>
        <v>193324.20186371979</v>
      </c>
      <c r="Q418">
        <f t="shared" si="104"/>
        <v>193128.74169854561</v>
      </c>
      <c r="R418">
        <f t="shared" si="105"/>
        <v>191931.52572661292</v>
      </c>
      <c r="S418">
        <f t="shared" si="106"/>
        <v>191903.81480642705</v>
      </c>
      <c r="T418">
        <f t="shared" si="107"/>
        <v>190385.93194490514</v>
      </c>
      <c r="U418">
        <f t="shared" si="108"/>
        <v>189302.62256753564</v>
      </c>
      <c r="V418">
        <f t="shared" si="115"/>
        <v>1</v>
      </c>
      <c r="W418">
        <f t="shared" si="116"/>
        <v>0</v>
      </c>
      <c r="X418">
        <f t="shared" si="117"/>
        <v>0</v>
      </c>
      <c r="Y418">
        <f t="shared" si="118"/>
        <v>0</v>
      </c>
      <c r="Z418">
        <f t="shared" si="119"/>
        <v>0</v>
      </c>
      <c r="AA418">
        <f t="shared" si="120"/>
        <v>0</v>
      </c>
      <c r="AC418">
        <f t="shared" si="109"/>
        <v>193324.20186371979</v>
      </c>
      <c r="AD418">
        <f t="shared" si="110"/>
        <v>193128.74169854561</v>
      </c>
      <c r="AE418">
        <f t="shared" si="111"/>
        <v>191931.52572661292</v>
      </c>
      <c r="AF418">
        <f t="shared" si="112"/>
        <v>191903.81480642705</v>
      </c>
      <c r="AG418">
        <f t="shared" si="113"/>
        <v>190385.93194490514</v>
      </c>
      <c r="AH418">
        <f t="shared" si="114"/>
        <v>189302.62256753564</v>
      </c>
      <c r="AI418">
        <f t="shared" si="121"/>
        <v>193324.20186371979</v>
      </c>
    </row>
    <row r="419" spans="2:35" x14ac:dyDescent="0.3">
      <c r="B419">
        <v>376</v>
      </c>
      <c r="C419">
        <v>84355.118000000002</v>
      </c>
      <c r="D419">
        <v>83561.304499999998</v>
      </c>
      <c r="E419">
        <v>83829.726699999999</v>
      </c>
      <c r="F419">
        <v>83594.947100000005</v>
      </c>
      <c r="G419">
        <v>84124.220700000005</v>
      </c>
      <c r="H419">
        <v>84328.709700000007</v>
      </c>
      <c r="I419">
        <v>10.835453129482909</v>
      </c>
      <c r="J419">
        <v>10.777935030249326</v>
      </c>
      <c r="K419">
        <v>10.738617060670364</v>
      </c>
      <c r="L419">
        <v>10.732817801728491</v>
      </c>
      <c r="M419">
        <v>10.691474568169294</v>
      </c>
      <c r="N419">
        <v>10.644158272611653</v>
      </c>
      <c r="P419">
        <f t="shared" si="103"/>
        <v>240708.47588448727</v>
      </c>
      <c r="Q419">
        <f t="shared" si="104"/>
        <v>239776.74640747978</v>
      </c>
      <c r="R419">
        <f t="shared" si="105"/>
        <v>238328.78512011096</v>
      </c>
      <c r="S419">
        <f t="shared" si="106"/>
        <v>238389.5869518547</v>
      </c>
      <c r="T419">
        <f t="shared" si="107"/>
        <v>236620.01634507882</v>
      </c>
      <c r="U419">
        <f t="shared" si="108"/>
        <v>234996.03847834957</v>
      </c>
      <c r="V419">
        <f t="shared" si="115"/>
        <v>1</v>
      </c>
      <c r="W419">
        <f t="shared" si="116"/>
        <v>0</v>
      </c>
      <c r="X419">
        <f t="shared" si="117"/>
        <v>0</v>
      </c>
      <c r="Y419">
        <f t="shared" si="118"/>
        <v>0</v>
      </c>
      <c r="Z419">
        <f t="shared" si="119"/>
        <v>0</v>
      </c>
      <c r="AA419">
        <f t="shared" si="120"/>
        <v>0</v>
      </c>
      <c r="AC419">
        <f t="shared" si="109"/>
        <v>240708.47588448727</v>
      </c>
      <c r="AD419">
        <f t="shared" si="110"/>
        <v>239776.74640747978</v>
      </c>
      <c r="AE419">
        <f t="shared" si="111"/>
        <v>238328.78512011096</v>
      </c>
      <c r="AF419">
        <f t="shared" si="112"/>
        <v>238389.5869518547</v>
      </c>
      <c r="AG419">
        <f t="shared" si="113"/>
        <v>236620.01634507882</v>
      </c>
      <c r="AH419">
        <f t="shared" si="114"/>
        <v>234996.03847834957</v>
      </c>
      <c r="AI419">
        <f t="shared" si="121"/>
        <v>240708.47588448727</v>
      </c>
    </row>
    <row r="420" spans="2:35" x14ac:dyDescent="0.3">
      <c r="B420">
        <v>377</v>
      </c>
      <c r="C420">
        <v>79038.956099999996</v>
      </c>
      <c r="D420">
        <v>78125.683999999994</v>
      </c>
      <c r="E420">
        <v>78230.478300000002</v>
      </c>
      <c r="F420">
        <v>78135.256599999993</v>
      </c>
      <c r="G420">
        <v>78161.417199999996</v>
      </c>
      <c r="H420">
        <v>78416.833299999998</v>
      </c>
      <c r="I420">
        <v>10.773678679497058</v>
      </c>
      <c r="J420">
        <v>10.721911046671572</v>
      </c>
      <c r="K420">
        <v>10.681797371783629</v>
      </c>
      <c r="L420">
        <v>10.664736366054525</v>
      </c>
      <c r="M420">
        <v>10.630181687662065</v>
      </c>
      <c r="N420">
        <v>10.586567301618265</v>
      </c>
      <c r="P420">
        <f t="shared" si="103"/>
        <v>244171.40428491175</v>
      </c>
      <c r="Q420">
        <f t="shared" si="104"/>
        <v>243531.64740014717</v>
      </c>
      <c r="R420">
        <f t="shared" si="105"/>
        <v>242223.44285350887</v>
      </c>
      <c r="S420">
        <f t="shared" si="106"/>
        <v>241806.83438163574</v>
      </c>
      <c r="T420">
        <f t="shared" si="107"/>
        <v>240744.03342986191</v>
      </c>
      <c r="U420">
        <f t="shared" si="108"/>
        <v>239180.18574854796</v>
      </c>
      <c r="V420">
        <f t="shared" si="115"/>
        <v>1</v>
      </c>
      <c r="W420">
        <f t="shared" si="116"/>
        <v>0</v>
      </c>
      <c r="X420">
        <f t="shared" si="117"/>
        <v>0</v>
      </c>
      <c r="Y420">
        <f t="shared" si="118"/>
        <v>0</v>
      </c>
      <c r="Z420">
        <f t="shared" si="119"/>
        <v>0</v>
      </c>
      <c r="AA420">
        <f t="shared" si="120"/>
        <v>0</v>
      </c>
      <c r="AC420">
        <f t="shared" si="109"/>
        <v>244171.40428491175</v>
      </c>
      <c r="AD420">
        <f t="shared" si="110"/>
        <v>243531.64740014717</v>
      </c>
      <c r="AE420">
        <f t="shared" si="111"/>
        <v>242223.44285350887</v>
      </c>
      <c r="AF420">
        <f t="shared" si="112"/>
        <v>241806.83438163574</v>
      </c>
      <c r="AG420">
        <f t="shared" si="113"/>
        <v>240744.03342986191</v>
      </c>
      <c r="AH420">
        <f t="shared" si="114"/>
        <v>239180.18574854796</v>
      </c>
      <c r="AI420">
        <f t="shared" si="121"/>
        <v>244171.40428491175</v>
      </c>
    </row>
    <row r="421" spans="2:35" x14ac:dyDescent="0.3">
      <c r="B421">
        <v>378</v>
      </c>
      <c r="C421">
        <v>82851.753200000006</v>
      </c>
      <c r="D421">
        <v>81391.122799999997</v>
      </c>
      <c r="E421">
        <v>81436.608999999997</v>
      </c>
      <c r="F421">
        <v>81287.0481</v>
      </c>
      <c r="G421">
        <v>81183.342699999994</v>
      </c>
      <c r="H421">
        <v>81187.789799999999</v>
      </c>
      <c r="I421">
        <v>9.9928227749610148</v>
      </c>
      <c r="J421">
        <v>9.9587982893286959</v>
      </c>
      <c r="K421">
        <v>9.9392025885114244</v>
      </c>
      <c r="L421">
        <v>9.9310937043190055</v>
      </c>
      <c r="M421">
        <v>9.9034157540753878</v>
      </c>
      <c r="N421">
        <v>9.8797140183581345</v>
      </c>
      <c r="P421">
        <f t="shared" si="103"/>
        <v>216932.93004883043</v>
      </c>
      <c r="Q421">
        <f t="shared" si="104"/>
        <v>217372.82587986084</v>
      </c>
      <c r="R421">
        <f t="shared" si="105"/>
        <v>216739.46865534276</v>
      </c>
      <c r="S421">
        <f t="shared" si="106"/>
        <v>216645.76302957017</v>
      </c>
      <c r="T421">
        <f t="shared" si="107"/>
        <v>215919.12992226164</v>
      </c>
      <c r="U421">
        <f t="shared" si="108"/>
        <v>215203.63075074405</v>
      </c>
      <c r="V421">
        <f t="shared" si="115"/>
        <v>0</v>
      </c>
      <c r="W421">
        <f t="shared" si="116"/>
        <v>1</v>
      </c>
      <c r="X421">
        <f t="shared" si="117"/>
        <v>0</v>
      </c>
      <c r="Y421">
        <f t="shared" si="118"/>
        <v>0</v>
      </c>
      <c r="Z421">
        <f t="shared" si="119"/>
        <v>0</v>
      </c>
      <c r="AA421">
        <f t="shared" si="120"/>
        <v>0</v>
      </c>
      <c r="AC421">
        <f t="shared" si="109"/>
        <v>216932.93004883043</v>
      </c>
      <c r="AD421">
        <f t="shared" si="110"/>
        <v>217372.82587986084</v>
      </c>
      <c r="AE421">
        <f t="shared" si="111"/>
        <v>216739.46865534276</v>
      </c>
      <c r="AF421">
        <f t="shared" si="112"/>
        <v>216645.76302957017</v>
      </c>
      <c r="AG421">
        <f t="shared" si="113"/>
        <v>215919.12992226164</v>
      </c>
      <c r="AH421">
        <f t="shared" si="114"/>
        <v>215203.63075074405</v>
      </c>
      <c r="AI421">
        <f t="shared" si="121"/>
        <v>217372.82587986084</v>
      </c>
    </row>
    <row r="422" spans="2:35" x14ac:dyDescent="0.3">
      <c r="B422">
        <v>379</v>
      </c>
      <c r="C422">
        <v>75122.233800000002</v>
      </c>
      <c r="D422">
        <v>73552.296300000002</v>
      </c>
      <c r="E422">
        <v>73601.558099999995</v>
      </c>
      <c r="F422">
        <v>73352.2984</v>
      </c>
      <c r="G422">
        <v>73058.556700000001</v>
      </c>
      <c r="H422">
        <v>73079.914999999994</v>
      </c>
      <c r="I422">
        <v>10.607596952531512</v>
      </c>
      <c r="J422">
        <v>10.545018686566822</v>
      </c>
      <c r="K422">
        <v>10.519035544602225</v>
      </c>
      <c r="L422">
        <v>10.513036385108904</v>
      </c>
      <c r="M422">
        <v>10.442870369652384</v>
      </c>
      <c r="N422">
        <v>10.414610025848184</v>
      </c>
      <c r="P422">
        <f t="shared" si="103"/>
        <v>243105.67477594537</v>
      </c>
      <c r="Q422">
        <f t="shared" si="104"/>
        <v>242798.26429700467</v>
      </c>
      <c r="R422">
        <f t="shared" si="105"/>
        <v>241969.50823806677</v>
      </c>
      <c r="S422">
        <f t="shared" si="106"/>
        <v>242038.79315326715</v>
      </c>
      <c r="T422">
        <f t="shared" si="107"/>
        <v>240227.55438957154</v>
      </c>
      <c r="U422">
        <f t="shared" si="108"/>
        <v>239358.38577544555</v>
      </c>
      <c r="V422">
        <f t="shared" si="115"/>
        <v>1</v>
      </c>
      <c r="W422">
        <f t="shared" si="116"/>
        <v>0</v>
      </c>
      <c r="X422">
        <f t="shared" si="117"/>
        <v>0</v>
      </c>
      <c r="Y422">
        <f t="shared" si="118"/>
        <v>0</v>
      </c>
      <c r="Z422">
        <f t="shared" si="119"/>
        <v>0</v>
      </c>
      <c r="AA422">
        <f t="shared" si="120"/>
        <v>0</v>
      </c>
      <c r="AC422">
        <f t="shared" si="109"/>
        <v>243105.67477594537</v>
      </c>
      <c r="AD422">
        <f t="shared" si="110"/>
        <v>242798.26429700467</v>
      </c>
      <c r="AE422">
        <f t="shared" si="111"/>
        <v>241969.50823806677</v>
      </c>
      <c r="AF422">
        <f t="shared" si="112"/>
        <v>242038.79315326715</v>
      </c>
      <c r="AG422">
        <f t="shared" si="113"/>
        <v>240227.55438957154</v>
      </c>
      <c r="AH422">
        <f t="shared" si="114"/>
        <v>239358.38577544555</v>
      </c>
      <c r="AI422">
        <f t="shared" si="121"/>
        <v>243105.67477594537</v>
      </c>
    </row>
    <row r="423" spans="2:35" x14ac:dyDescent="0.3">
      <c r="B423">
        <v>380</v>
      </c>
      <c r="C423">
        <v>86480.688099999999</v>
      </c>
      <c r="D423">
        <v>85959.142300000007</v>
      </c>
      <c r="E423">
        <v>86482.737099999998</v>
      </c>
      <c r="F423">
        <v>86840.452399999995</v>
      </c>
      <c r="G423">
        <v>87357.747099999993</v>
      </c>
      <c r="H423">
        <v>88046.376499999998</v>
      </c>
      <c r="I423">
        <v>8.7788748450056051</v>
      </c>
      <c r="J423">
        <v>8.7440103875378234</v>
      </c>
      <c r="K423">
        <v>8.7259477184695591</v>
      </c>
      <c r="L423">
        <v>8.710671352649527</v>
      </c>
      <c r="M423">
        <v>8.690583743672418</v>
      </c>
      <c r="N423">
        <v>8.6655629756997286</v>
      </c>
      <c r="P423">
        <f t="shared" si="103"/>
        <v>176885.55725016815</v>
      </c>
      <c r="Q423">
        <f t="shared" si="104"/>
        <v>176361.16932613472</v>
      </c>
      <c r="R423">
        <f t="shared" si="105"/>
        <v>175295.69445408677</v>
      </c>
      <c r="S423">
        <f t="shared" si="106"/>
        <v>174479.68817948579</v>
      </c>
      <c r="T423">
        <f t="shared" si="107"/>
        <v>173359.76521017257</v>
      </c>
      <c r="U423">
        <f t="shared" si="108"/>
        <v>171920.51277099183</v>
      </c>
      <c r="V423">
        <f t="shared" si="115"/>
        <v>1</v>
      </c>
      <c r="W423">
        <f t="shared" si="116"/>
        <v>0</v>
      </c>
      <c r="X423">
        <f t="shared" si="117"/>
        <v>0</v>
      </c>
      <c r="Y423">
        <f t="shared" si="118"/>
        <v>0</v>
      </c>
      <c r="Z423">
        <f t="shared" si="119"/>
        <v>0</v>
      </c>
      <c r="AA423">
        <f t="shared" si="120"/>
        <v>0</v>
      </c>
      <c r="AC423">
        <f t="shared" si="109"/>
        <v>176885.55725016815</v>
      </c>
      <c r="AD423">
        <f t="shared" si="110"/>
        <v>176361.16932613472</v>
      </c>
      <c r="AE423">
        <f t="shared" si="111"/>
        <v>175295.69445408677</v>
      </c>
      <c r="AF423">
        <f t="shared" si="112"/>
        <v>174479.68817948579</v>
      </c>
      <c r="AG423">
        <f t="shared" si="113"/>
        <v>173359.76521017257</v>
      </c>
      <c r="AH423">
        <f t="shared" si="114"/>
        <v>171920.51277099183</v>
      </c>
      <c r="AI423">
        <f t="shared" si="121"/>
        <v>176885.55725016815</v>
      </c>
    </row>
    <row r="424" spans="2:35" x14ac:dyDescent="0.3">
      <c r="B424">
        <v>381</v>
      </c>
      <c r="C424">
        <v>70135.001900000003</v>
      </c>
      <c r="D424">
        <v>68186.785300000003</v>
      </c>
      <c r="E424">
        <v>67568.890100000004</v>
      </c>
      <c r="F424">
        <v>67206.882899999997</v>
      </c>
      <c r="G424">
        <v>66729.405899999998</v>
      </c>
      <c r="H424">
        <v>66085.440000000002</v>
      </c>
      <c r="I424">
        <v>9.6804649114179782</v>
      </c>
      <c r="J424">
        <v>9.6491992768945263</v>
      </c>
      <c r="K424">
        <v>9.6241768711694462</v>
      </c>
      <c r="L424">
        <v>9.6133224392617098</v>
      </c>
      <c r="M424">
        <v>9.5929430478043063</v>
      </c>
      <c r="N424">
        <v>9.5674393220753107</v>
      </c>
      <c r="P424">
        <f t="shared" si="103"/>
        <v>220278.94544253932</v>
      </c>
      <c r="Q424">
        <f t="shared" si="104"/>
        <v>221289.19300683582</v>
      </c>
      <c r="R424">
        <f t="shared" si="105"/>
        <v>221156.41603508336</v>
      </c>
      <c r="S424">
        <f t="shared" si="106"/>
        <v>221192.79027785131</v>
      </c>
      <c r="T424">
        <f t="shared" si="107"/>
        <v>221058.88553412916</v>
      </c>
      <c r="U424">
        <f t="shared" si="108"/>
        <v>220937.73966225929</v>
      </c>
      <c r="V424">
        <f t="shared" si="115"/>
        <v>0</v>
      </c>
      <c r="W424">
        <f t="shared" si="116"/>
        <v>1</v>
      </c>
      <c r="X424">
        <f t="shared" si="117"/>
        <v>0</v>
      </c>
      <c r="Y424">
        <f t="shared" si="118"/>
        <v>0</v>
      </c>
      <c r="Z424">
        <f t="shared" si="119"/>
        <v>0</v>
      </c>
      <c r="AA424">
        <f t="shared" si="120"/>
        <v>0</v>
      </c>
      <c r="AC424">
        <f t="shared" si="109"/>
        <v>220278.94544253932</v>
      </c>
      <c r="AD424">
        <f t="shared" si="110"/>
        <v>221289.19300683582</v>
      </c>
      <c r="AE424">
        <f t="shared" si="111"/>
        <v>221156.41603508336</v>
      </c>
      <c r="AF424">
        <f t="shared" si="112"/>
        <v>221192.79027785131</v>
      </c>
      <c r="AG424">
        <f t="shared" si="113"/>
        <v>221058.88553412916</v>
      </c>
      <c r="AH424">
        <f t="shared" si="114"/>
        <v>220937.73966225929</v>
      </c>
      <c r="AI424">
        <f t="shared" si="121"/>
        <v>221289.19300683582</v>
      </c>
    </row>
    <row r="425" spans="2:35" x14ac:dyDescent="0.3">
      <c r="B425">
        <v>382</v>
      </c>
      <c r="C425">
        <v>81903.801000000007</v>
      </c>
      <c r="D425">
        <v>80586.846000000005</v>
      </c>
      <c r="E425">
        <v>80527.181200000006</v>
      </c>
      <c r="F425">
        <v>80290.615099999995</v>
      </c>
      <c r="G425">
        <v>80129.882700000002</v>
      </c>
      <c r="H425">
        <v>80195.818599999999</v>
      </c>
      <c r="I425">
        <v>9.2723019391366606</v>
      </c>
      <c r="J425">
        <v>9.2453350036758444</v>
      </c>
      <c r="K425">
        <v>9.2178247520126799</v>
      </c>
      <c r="L425">
        <v>9.2119185693352446</v>
      </c>
      <c r="M425">
        <v>9.1881160662268222</v>
      </c>
      <c r="N425">
        <v>9.1700124560817322</v>
      </c>
      <c r="P425">
        <f t="shared" si="103"/>
        <v>196265.25717409982</v>
      </c>
      <c r="Q425">
        <f t="shared" si="104"/>
        <v>196773.20411027531</v>
      </c>
      <c r="R425">
        <f t="shared" si="105"/>
        <v>196007.56136038038</v>
      </c>
      <c r="S425">
        <f t="shared" si="106"/>
        <v>196066.94198005734</v>
      </c>
      <c r="T425">
        <f t="shared" si="107"/>
        <v>195513.59928680467</v>
      </c>
      <c r="U425">
        <f t="shared" si="108"/>
        <v>194904.55508245196</v>
      </c>
      <c r="V425">
        <f t="shared" si="115"/>
        <v>0</v>
      </c>
      <c r="W425">
        <f t="shared" si="116"/>
        <v>1</v>
      </c>
      <c r="X425">
        <f t="shared" si="117"/>
        <v>0</v>
      </c>
      <c r="Y425">
        <f t="shared" si="118"/>
        <v>0</v>
      </c>
      <c r="Z425">
        <f t="shared" si="119"/>
        <v>0</v>
      </c>
      <c r="AA425">
        <f t="shared" si="120"/>
        <v>0</v>
      </c>
      <c r="AC425">
        <f t="shared" si="109"/>
        <v>196265.25717409982</v>
      </c>
      <c r="AD425">
        <f t="shared" si="110"/>
        <v>196773.20411027531</v>
      </c>
      <c r="AE425">
        <f t="shared" si="111"/>
        <v>196007.56136038038</v>
      </c>
      <c r="AF425">
        <f t="shared" si="112"/>
        <v>196066.94198005734</v>
      </c>
      <c r="AG425">
        <f t="shared" si="113"/>
        <v>195513.59928680467</v>
      </c>
      <c r="AH425">
        <f t="shared" si="114"/>
        <v>194904.55508245196</v>
      </c>
      <c r="AI425">
        <f t="shared" si="121"/>
        <v>196773.20411027531</v>
      </c>
    </row>
    <row r="426" spans="2:35" x14ac:dyDescent="0.3">
      <c r="B426">
        <v>383</v>
      </c>
      <c r="C426">
        <v>79563.987699999998</v>
      </c>
      <c r="D426">
        <v>78218.452900000004</v>
      </c>
      <c r="E426">
        <v>78236.429699999993</v>
      </c>
      <c r="F426">
        <v>78014.9951</v>
      </c>
      <c r="G426">
        <v>78095.231499999994</v>
      </c>
      <c r="H426">
        <v>78009.902000000002</v>
      </c>
      <c r="I426">
        <v>11.095326339014138</v>
      </c>
      <c r="J426">
        <v>11.06071559391798</v>
      </c>
      <c r="K426">
        <v>11.03942560064087</v>
      </c>
      <c r="L426">
        <v>11.02757218415605</v>
      </c>
      <c r="M426">
        <v>11.002622421693593</v>
      </c>
      <c r="N426">
        <v>10.977250517022924</v>
      </c>
      <c r="P426">
        <f t="shared" si="103"/>
        <v>253295.80247042415</v>
      </c>
      <c r="Q426">
        <f t="shared" si="104"/>
        <v>253603.0149175394</v>
      </c>
      <c r="R426">
        <f t="shared" si="105"/>
        <v>252946.33831922611</v>
      </c>
      <c r="S426">
        <f t="shared" si="106"/>
        <v>252812.17042468151</v>
      </c>
      <c r="T426">
        <f t="shared" si="107"/>
        <v>251983.44115080778</v>
      </c>
      <c r="U426">
        <f t="shared" si="108"/>
        <v>251307.61351068772</v>
      </c>
      <c r="V426">
        <f t="shared" si="115"/>
        <v>0</v>
      </c>
      <c r="W426">
        <f t="shared" si="116"/>
        <v>1</v>
      </c>
      <c r="X426">
        <f t="shared" si="117"/>
        <v>0</v>
      </c>
      <c r="Y426">
        <f t="shared" si="118"/>
        <v>0</v>
      </c>
      <c r="Z426">
        <f t="shared" si="119"/>
        <v>0</v>
      </c>
      <c r="AA426">
        <f t="shared" si="120"/>
        <v>0</v>
      </c>
      <c r="AC426">
        <f t="shared" si="109"/>
        <v>253295.80247042415</v>
      </c>
      <c r="AD426">
        <f t="shared" si="110"/>
        <v>253603.0149175394</v>
      </c>
      <c r="AE426">
        <f t="shared" si="111"/>
        <v>252946.33831922611</v>
      </c>
      <c r="AF426">
        <f t="shared" si="112"/>
        <v>252812.17042468151</v>
      </c>
      <c r="AG426">
        <f t="shared" si="113"/>
        <v>251983.44115080778</v>
      </c>
      <c r="AH426">
        <f t="shared" si="114"/>
        <v>251307.61351068772</v>
      </c>
      <c r="AI426">
        <f t="shared" si="121"/>
        <v>253603.0149175394</v>
      </c>
    </row>
    <row r="427" spans="2:35" x14ac:dyDescent="0.3">
      <c r="B427">
        <v>384</v>
      </c>
      <c r="C427">
        <v>70776.6247</v>
      </c>
      <c r="D427">
        <v>69000.638600000006</v>
      </c>
      <c r="E427">
        <v>68814.6486</v>
      </c>
      <c r="F427">
        <v>68424.957999999999</v>
      </c>
      <c r="G427">
        <v>68035.694799999997</v>
      </c>
      <c r="H427">
        <v>67724.118900000001</v>
      </c>
      <c r="I427">
        <v>9.4976612709817836</v>
      </c>
      <c r="J427">
        <v>9.425458133988311</v>
      </c>
      <c r="K427">
        <v>9.3878770729967798</v>
      </c>
      <c r="L427">
        <v>9.3585809716294612</v>
      </c>
      <c r="M427">
        <v>9.3011042164449229</v>
      </c>
      <c r="N427">
        <v>9.2547921054049205</v>
      </c>
      <c r="P427">
        <f t="shared" si="103"/>
        <v>214153.21342945355</v>
      </c>
      <c r="Q427">
        <f t="shared" si="104"/>
        <v>213763.10541964934</v>
      </c>
      <c r="R427">
        <f t="shared" si="105"/>
        <v>212821.66358990339</v>
      </c>
      <c r="S427">
        <f t="shared" si="106"/>
        <v>212332.47114888387</v>
      </c>
      <c r="T427">
        <f t="shared" si="107"/>
        <v>210997.43169334769</v>
      </c>
      <c r="U427">
        <f t="shared" si="108"/>
        <v>209919.6442621476</v>
      </c>
      <c r="V427">
        <f t="shared" si="115"/>
        <v>1</v>
      </c>
      <c r="W427">
        <f t="shared" si="116"/>
        <v>0</v>
      </c>
      <c r="X427">
        <f t="shared" si="117"/>
        <v>0</v>
      </c>
      <c r="Y427">
        <f t="shared" si="118"/>
        <v>0</v>
      </c>
      <c r="Z427">
        <f t="shared" si="119"/>
        <v>0</v>
      </c>
      <c r="AA427">
        <f t="shared" si="120"/>
        <v>0</v>
      </c>
      <c r="AC427">
        <f t="shared" si="109"/>
        <v>214153.21342945355</v>
      </c>
      <c r="AD427">
        <f t="shared" si="110"/>
        <v>213763.10541964934</v>
      </c>
      <c r="AE427">
        <f t="shared" si="111"/>
        <v>212821.66358990339</v>
      </c>
      <c r="AF427">
        <f t="shared" si="112"/>
        <v>212332.47114888387</v>
      </c>
      <c r="AG427">
        <f t="shared" si="113"/>
        <v>210997.43169334769</v>
      </c>
      <c r="AH427">
        <f t="shared" si="114"/>
        <v>209919.6442621476</v>
      </c>
      <c r="AI427">
        <f t="shared" si="121"/>
        <v>214153.21342945355</v>
      </c>
    </row>
    <row r="428" spans="2:35" x14ac:dyDescent="0.3">
      <c r="B428">
        <v>385</v>
      </c>
      <c r="C428">
        <v>78692.420299999998</v>
      </c>
      <c r="D428">
        <v>77519.835300000006</v>
      </c>
      <c r="E428">
        <v>77407.6728</v>
      </c>
      <c r="F428">
        <v>77062.650399999999</v>
      </c>
      <c r="G428">
        <v>76912.619000000006</v>
      </c>
      <c r="H428">
        <v>76946.545700000002</v>
      </c>
      <c r="I428">
        <v>9.0859011831237932</v>
      </c>
      <c r="J428">
        <v>9.04635521174907</v>
      </c>
      <c r="K428">
        <v>9.0148348318551541</v>
      </c>
      <c r="L428">
        <v>8.9999786152124912</v>
      </c>
      <c r="M428">
        <v>8.9517445166361735</v>
      </c>
      <c r="N428">
        <v>8.9263397583268773</v>
      </c>
      <c r="P428">
        <f t="shared" ref="P428:P491" si="122">Threshold*I428-C428</f>
        <v>193884.61519371381</v>
      </c>
      <c r="Q428">
        <f t="shared" ref="Q428:Q491" si="123">Threshold*J428-D428</f>
        <v>193870.82105247208</v>
      </c>
      <c r="R428">
        <f t="shared" ref="R428:R491" si="124">Threshold*K428-E428</f>
        <v>193037.37215565465</v>
      </c>
      <c r="S428">
        <f t="shared" ref="S428:S491" si="125">Threshold*L428-F428</f>
        <v>192936.70805637474</v>
      </c>
      <c r="T428">
        <f t="shared" ref="T428:T491" si="126">Threshold*M428-G428</f>
        <v>191639.71649908519</v>
      </c>
      <c r="U428">
        <f t="shared" ref="U428:U491" si="127">Threshold*N428-H428</f>
        <v>190843.64704980631</v>
      </c>
      <c r="V428">
        <f t="shared" si="115"/>
        <v>1</v>
      </c>
      <c r="W428">
        <f t="shared" si="116"/>
        <v>0</v>
      </c>
      <c r="X428">
        <f t="shared" si="117"/>
        <v>0</v>
      </c>
      <c r="Y428">
        <f t="shared" si="118"/>
        <v>0</v>
      </c>
      <c r="Z428">
        <f t="shared" si="119"/>
        <v>0</v>
      </c>
      <c r="AA428">
        <f t="shared" si="120"/>
        <v>0</v>
      </c>
      <c r="AC428">
        <f t="shared" ref="AC428:AC491" si="128">Threshold*I428-C428</f>
        <v>193884.61519371381</v>
      </c>
      <c r="AD428">
        <f t="shared" ref="AD428:AD491" si="129">Threshold*J428-D428</f>
        <v>193870.82105247208</v>
      </c>
      <c r="AE428">
        <f t="shared" ref="AE428:AE491" si="130">Threshold*K428-E428</f>
        <v>193037.37215565465</v>
      </c>
      <c r="AF428">
        <f t="shared" ref="AF428:AF491" si="131">Threshold*L428-F428</f>
        <v>192936.70805637474</v>
      </c>
      <c r="AG428">
        <f t="shared" ref="AG428:AG491" si="132">Threshold*M428-G428</f>
        <v>191639.71649908519</v>
      </c>
      <c r="AH428">
        <f t="shared" ref="AH428:AH491" si="133">Threshold*N428-H428</f>
        <v>190843.64704980631</v>
      </c>
      <c r="AI428">
        <f t="shared" si="121"/>
        <v>193884.61519371381</v>
      </c>
    </row>
    <row r="429" spans="2:35" x14ac:dyDescent="0.3">
      <c r="B429">
        <v>386</v>
      </c>
      <c r="C429">
        <v>78542.158299999996</v>
      </c>
      <c r="D429">
        <v>78375.567200000005</v>
      </c>
      <c r="E429">
        <v>78971.217000000004</v>
      </c>
      <c r="F429">
        <v>79114.758000000002</v>
      </c>
      <c r="G429">
        <v>80291.502299999993</v>
      </c>
      <c r="H429">
        <v>81123.224199999997</v>
      </c>
      <c r="I429">
        <v>10.077366441364775</v>
      </c>
      <c r="J429">
        <v>10.061476234000583</v>
      </c>
      <c r="K429">
        <v>10.051853252131567</v>
      </c>
      <c r="L429">
        <v>10.046509903109159</v>
      </c>
      <c r="M429">
        <v>10.034620364676382</v>
      </c>
      <c r="N429">
        <v>10.020981891698304</v>
      </c>
      <c r="P429">
        <f t="shared" si="122"/>
        <v>223778.83494094323</v>
      </c>
      <c r="Q429">
        <f t="shared" si="123"/>
        <v>223468.71982001752</v>
      </c>
      <c r="R429">
        <f t="shared" si="124"/>
        <v>222584.38056394702</v>
      </c>
      <c r="S429">
        <f t="shared" si="125"/>
        <v>222280.53909327477</v>
      </c>
      <c r="T429">
        <f t="shared" si="126"/>
        <v>220747.10864029144</v>
      </c>
      <c r="U429">
        <f t="shared" si="127"/>
        <v>219506.23255094909</v>
      </c>
      <c r="V429">
        <f t="shared" ref="V429:V492" si="134">IF(MAX(P429:U429)=P429, 1, 0)</f>
        <v>1</v>
      </c>
      <c r="W429">
        <f t="shared" ref="W429:W492" si="135">IF(MAX(P429:U429)=Q429, 1, 0)</f>
        <v>0</v>
      </c>
      <c r="X429">
        <f t="shared" ref="X429:X492" si="136">IF(MAX(P429:U429)=R429, 1, 0)</f>
        <v>0</v>
      </c>
      <c r="Y429">
        <f t="shared" ref="Y429:Y492" si="137">IF(MAX(P429:U429)=S429, 1, 0)</f>
        <v>0</v>
      </c>
      <c r="Z429">
        <f t="shared" ref="Z429:Z492" si="138">IF(MAX(P429:U429)=T429, 1, 0)</f>
        <v>0</v>
      </c>
      <c r="AA429">
        <f t="shared" ref="AA429:AA492" si="139">IF(MAX(P429:U429)=U429, 1, 0)</f>
        <v>0</v>
      </c>
      <c r="AC429">
        <f t="shared" si="128"/>
        <v>223778.83494094323</v>
      </c>
      <c r="AD429">
        <f t="shared" si="129"/>
        <v>223468.71982001752</v>
      </c>
      <c r="AE429">
        <f t="shared" si="130"/>
        <v>222584.38056394702</v>
      </c>
      <c r="AF429">
        <f t="shared" si="131"/>
        <v>222280.53909327477</v>
      </c>
      <c r="AG429">
        <f t="shared" si="132"/>
        <v>220747.10864029144</v>
      </c>
      <c r="AH429">
        <f t="shared" si="133"/>
        <v>219506.23255094909</v>
      </c>
      <c r="AI429">
        <f t="shared" ref="AI429:AI492" si="140">MAX(AC429:AH429)</f>
        <v>223778.83494094323</v>
      </c>
    </row>
    <row r="430" spans="2:35" x14ac:dyDescent="0.3">
      <c r="B430">
        <v>387</v>
      </c>
      <c r="C430">
        <v>74522.140299999999</v>
      </c>
      <c r="D430">
        <v>74165.044399999999</v>
      </c>
      <c r="E430">
        <v>74918.998800000001</v>
      </c>
      <c r="F430">
        <v>74713.127099999998</v>
      </c>
      <c r="G430">
        <v>75484.379499999995</v>
      </c>
      <c r="H430">
        <v>76320.530799999993</v>
      </c>
      <c r="I430">
        <v>10.718484706343911</v>
      </c>
      <c r="J430">
        <v>10.689043204562246</v>
      </c>
      <c r="K430">
        <v>10.667952945688</v>
      </c>
      <c r="L430">
        <v>10.663550181979749</v>
      </c>
      <c r="M430">
        <v>10.63593567051487</v>
      </c>
      <c r="N430">
        <v>10.615483312814327</v>
      </c>
      <c r="P430">
        <f t="shared" si="122"/>
        <v>247032.40089031737</v>
      </c>
      <c r="Q430">
        <f t="shared" si="123"/>
        <v>246506.25173686736</v>
      </c>
      <c r="R430">
        <f t="shared" si="124"/>
        <v>245119.58957064</v>
      </c>
      <c r="S430">
        <f t="shared" si="125"/>
        <v>245193.37835939252</v>
      </c>
      <c r="T430">
        <f t="shared" si="126"/>
        <v>243593.69061544613</v>
      </c>
      <c r="U430">
        <f t="shared" si="127"/>
        <v>242143.96858442976</v>
      </c>
      <c r="V430">
        <f t="shared" si="134"/>
        <v>1</v>
      </c>
      <c r="W430">
        <f t="shared" si="135"/>
        <v>0</v>
      </c>
      <c r="X430">
        <f t="shared" si="136"/>
        <v>0</v>
      </c>
      <c r="Y430">
        <f t="shared" si="137"/>
        <v>0</v>
      </c>
      <c r="Z430">
        <f t="shared" si="138"/>
        <v>0</v>
      </c>
      <c r="AA430">
        <f t="shared" si="139"/>
        <v>0</v>
      </c>
      <c r="AC430">
        <f t="shared" si="128"/>
        <v>247032.40089031737</v>
      </c>
      <c r="AD430">
        <f t="shared" si="129"/>
        <v>246506.25173686736</v>
      </c>
      <c r="AE430">
        <f t="shared" si="130"/>
        <v>245119.58957064</v>
      </c>
      <c r="AF430">
        <f t="shared" si="131"/>
        <v>245193.37835939252</v>
      </c>
      <c r="AG430">
        <f t="shared" si="132"/>
        <v>243593.69061544613</v>
      </c>
      <c r="AH430">
        <f t="shared" si="133"/>
        <v>242143.96858442976</v>
      </c>
      <c r="AI430">
        <f t="shared" si="140"/>
        <v>247032.40089031737</v>
      </c>
    </row>
    <row r="431" spans="2:35" x14ac:dyDescent="0.3">
      <c r="B431">
        <v>388</v>
      </c>
      <c r="C431">
        <v>80797.590100000001</v>
      </c>
      <c r="D431">
        <v>80589.330900000001</v>
      </c>
      <c r="E431">
        <v>81354.000899999999</v>
      </c>
      <c r="F431">
        <v>81284.511100000003</v>
      </c>
      <c r="G431">
        <v>82197.459600000002</v>
      </c>
      <c r="H431">
        <v>82805.343699999998</v>
      </c>
      <c r="I431">
        <v>8.0079822281268118</v>
      </c>
      <c r="J431">
        <v>7.9970593510883266</v>
      </c>
      <c r="K431">
        <v>7.9919990682435671</v>
      </c>
      <c r="L431">
        <v>7.9869034326854544</v>
      </c>
      <c r="M431">
        <v>7.9778081319573468</v>
      </c>
      <c r="N431">
        <v>7.970412359915227</v>
      </c>
      <c r="P431">
        <f t="shared" si="122"/>
        <v>159441.87674380434</v>
      </c>
      <c r="Q431">
        <f t="shared" si="123"/>
        <v>159322.4496326498</v>
      </c>
      <c r="R431">
        <f t="shared" si="124"/>
        <v>158405.97114730702</v>
      </c>
      <c r="S431">
        <f t="shared" si="125"/>
        <v>158322.59188056362</v>
      </c>
      <c r="T431">
        <f t="shared" si="126"/>
        <v>157136.78435872041</v>
      </c>
      <c r="U431">
        <f t="shared" si="127"/>
        <v>156307.02709745683</v>
      </c>
      <c r="V431">
        <f t="shared" si="134"/>
        <v>1</v>
      </c>
      <c r="W431">
        <f t="shared" si="135"/>
        <v>0</v>
      </c>
      <c r="X431">
        <f t="shared" si="136"/>
        <v>0</v>
      </c>
      <c r="Y431">
        <f t="shared" si="137"/>
        <v>0</v>
      </c>
      <c r="Z431">
        <f t="shared" si="138"/>
        <v>0</v>
      </c>
      <c r="AA431">
        <f t="shared" si="139"/>
        <v>0</v>
      </c>
      <c r="AC431">
        <f t="shared" si="128"/>
        <v>159441.87674380434</v>
      </c>
      <c r="AD431">
        <f t="shared" si="129"/>
        <v>159322.4496326498</v>
      </c>
      <c r="AE431">
        <f t="shared" si="130"/>
        <v>158405.97114730702</v>
      </c>
      <c r="AF431">
        <f t="shared" si="131"/>
        <v>158322.59188056362</v>
      </c>
      <c r="AG431">
        <f t="shared" si="132"/>
        <v>157136.78435872041</v>
      </c>
      <c r="AH431">
        <f t="shared" si="133"/>
        <v>156307.02709745683</v>
      </c>
      <c r="AI431">
        <f t="shared" si="140"/>
        <v>159441.87674380434</v>
      </c>
    </row>
    <row r="432" spans="2:35" x14ac:dyDescent="0.3">
      <c r="B432">
        <v>389</v>
      </c>
      <c r="C432">
        <v>78828.510899999994</v>
      </c>
      <c r="D432">
        <v>78791.877399999998</v>
      </c>
      <c r="E432">
        <v>79383.616299999994</v>
      </c>
      <c r="F432">
        <v>79413.938500000004</v>
      </c>
      <c r="G432">
        <v>80010.903200000001</v>
      </c>
      <c r="H432">
        <v>80930.422099999996</v>
      </c>
      <c r="I432">
        <v>10.101991439447303</v>
      </c>
      <c r="J432">
        <v>10.063904028719959</v>
      </c>
      <c r="K432">
        <v>10.04254484563438</v>
      </c>
      <c r="L432">
        <v>10.033122563521742</v>
      </c>
      <c r="M432">
        <v>10.009465126641235</v>
      </c>
      <c r="N432">
        <v>9.9827707319361156</v>
      </c>
      <c r="P432">
        <f t="shared" si="122"/>
        <v>224231.23228341911</v>
      </c>
      <c r="Q432">
        <f t="shared" si="123"/>
        <v>223125.24346159876</v>
      </c>
      <c r="R432">
        <f t="shared" si="124"/>
        <v>221892.72906903143</v>
      </c>
      <c r="S432">
        <f t="shared" si="125"/>
        <v>221579.73840565229</v>
      </c>
      <c r="T432">
        <f t="shared" si="126"/>
        <v>220273.05059923703</v>
      </c>
      <c r="U432">
        <f t="shared" si="127"/>
        <v>218552.69985808348</v>
      </c>
      <c r="V432">
        <f t="shared" si="134"/>
        <v>1</v>
      </c>
      <c r="W432">
        <f t="shared" si="135"/>
        <v>0</v>
      </c>
      <c r="X432">
        <f t="shared" si="136"/>
        <v>0</v>
      </c>
      <c r="Y432">
        <f t="shared" si="137"/>
        <v>0</v>
      </c>
      <c r="Z432">
        <f t="shared" si="138"/>
        <v>0</v>
      </c>
      <c r="AA432">
        <f t="shared" si="139"/>
        <v>0</v>
      </c>
      <c r="AC432">
        <f t="shared" si="128"/>
        <v>224231.23228341911</v>
      </c>
      <c r="AD432">
        <f t="shared" si="129"/>
        <v>223125.24346159876</v>
      </c>
      <c r="AE432">
        <f t="shared" si="130"/>
        <v>221892.72906903143</v>
      </c>
      <c r="AF432">
        <f t="shared" si="131"/>
        <v>221579.73840565229</v>
      </c>
      <c r="AG432">
        <f t="shared" si="132"/>
        <v>220273.05059923703</v>
      </c>
      <c r="AH432">
        <f t="shared" si="133"/>
        <v>218552.69985808348</v>
      </c>
      <c r="AI432">
        <f t="shared" si="140"/>
        <v>224231.23228341911</v>
      </c>
    </row>
    <row r="433" spans="2:35" x14ac:dyDescent="0.3">
      <c r="B433">
        <v>390</v>
      </c>
      <c r="C433">
        <v>65965.273400000005</v>
      </c>
      <c r="D433">
        <v>66334.805099999998</v>
      </c>
      <c r="E433">
        <v>67194.300600000002</v>
      </c>
      <c r="F433">
        <v>67513.025899999993</v>
      </c>
      <c r="G433">
        <v>68340.398499999996</v>
      </c>
      <c r="H433">
        <v>69479.669099999999</v>
      </c>
      <c r="I433">
        <v>10.843116283185953</v>
      </c>
      <c r="J433">
        <v>10.820216935001161</v>
      </c>
      <c r="K433">
        <v>10.806829859063477</v>
      </c>
      <c r="L433">
        <v>10.800462370047127</v>
      </c>
      <c r="M433">
        <v>10.788529990696176</v>
      </c>
      <c r="N433">
        <v>10.771027945876945</v>
      </c>
      <c r="P433">
        <f t="shared" si="122"/>
        <v>259328.21509557858</v>
      </c>
      <c r="Q433">
        <f t="shared" si="123"/>
        <v>258271.70295003481</v>
      </c>
      <c r="R433">
        <f t="shared" si="124"/>
        <v>257010.59517190431</v>
      </c>
      <c r="S433">
        <f t="shared" si="125"/>
        <v>256500.84520141379</v>
      </c>
      <c r="T433">
        <f t="shared" si="126"/>
        <v>255315.50122088526</v>
      </c>
      <c r="U433">
        <f t="shared" si="127"/>
        <v>253651.16927630833</v>
      </c>
      <c r="V433">
        <f t="shared" si="134"/>
        <v>1</v>
      </c>
      <c r="W433">
        <f t="shared" si="135"/>
        <v>0</v>
      </c>
      <c r="X433">
        <f t="shared" si="136"/>
        <v>0</v>
      </c>
      <c r="Y433">
        <f t="shared" si="137"/>
        <v>0</v>
      </c>
      <c r="Z433">
        <f t="shared" si="138"/>
        <v>0</v>
      </c>
      <c r="AA433">
        <f t="shared" si="139"/>
        <v>0</v>
      </c>
      <c r="AC433">
        <f t="shared" si="128"/>
        <v>259328.21509557858</v>
      </c>
      <c r="AD433">
        <f t="shared" si="129"/>
        <v>258271.70295003481</v>
      </c>
      <c r="AE433">
        <f t="shared" si="130"/>
        <v>257010.59517190431</v>
      </c>
      <c r="AF433">
        <f t="shared" si="131"/>
        <v>256500.84520141379</v>
      </c>
      <c r="AG433">
        <f t="shared" si="132"/>
        <v>255315.50122088526</v>
      </c>
      <c r="AH433">
        <f t="shared" si="133"/>
        <v>253651.16927630833</v>
      </c>
      <c r="AI433">
        <f t="shared" si="140"/>
        <v>259328.21509557858</v>
      </c>
    </row>
    <row r="434" spans="2:35" x14ac:dyDescent="0.3">
      <c r="B434">
        <v>391</v>
      </c>
      <c r="C434">
        <v>71047.337299999999</v>
      </c>
      <c r="D434">
        <v>70379.905499999993</v>
      </c>
      <c r="E434">
        <v>70923.999800000005</v>
      </c>
      <c r="F434">
        <v>70943.956399999995</v>
      </c>
      <c r="G434">
        <v>71353.430500000002</v>
      </c>
      <c r="H434">
        <v>71651.773499999996</v>
      </c>
      <c r="I434">
        <v>10.305050854490347</v>
      </c>
      <c r="J434">
        <v>10.277816741041622</v>
      </c>
      <c r="K434">
        <v>10.257500105346661</v>
      </c>
      <c r="L434">
        <v>10.238556453115246</v>
      </c>
      <c r="M434">
        <v>10.224263697258541</v>
      </c>
      <c r="N434">
        <v>10.198794076718617</v>
      </c>
      <c r="P434">
        <f t="shared" si="122"/>
        <v>238104.18833471037</v>
      </c>
      <c r="Q434">
        <f t="shared" si="123"/>
        <v>237954.59673124866</v>
      </c>
      <c r="R434">
        <f t="shared" si="124"/>
        <v>236801.00336039986</v>
      </c>
      <c r="S434">
        <f t="shared" si="125"/>
        <v>236212.7371934574</v>
      </c>
      <c r="T434">
        <f t="shared" si="126"/>
        <v>235374.48041775625</v>
      </c>
      <c r="U434">
        <f t="shared" si="127"/>
        <v>234312.0488015585</v>
      </c>
      <c r="V434">
        <f t="shared" si="134"/>
        <v>1</v>
      </c>
      <c r="W434">
        <f t="shared" si="135"/>
        <v>0</v>
      </c>
      <c r="X434">
        <f t="shared" si="136"/>
        <v>0</v>
      </c>
      <c r="Y434">
        <f t="shared" si="137"/>
        <v>0</v>
      </c>
      <c r="Z434">
        <f t="shared" si="138"/>
        <v>0</v>
      </c>
      <c r="AA434">
        <f t="shared" si="139"/>
        <v>0</v>
      </c>
      <c r="AC434">
        <f t="shared" si="128"/>
        <v>238104.18833471037</v>
      </c>
      <c r="AD434">
        <f t="shared" si="129"/>
        <v>237954.59673124866</v>
      </c>
      <c r="AE434">
        <f t="shared" si="130"/>
        <v>236801.00336039986</v>
      </c>
      <c r="AF434">
        <f t="shared" si="131"/>
        <v>236212.7371934574</v>
      </c>
      <c r="AG434">
        <f t="shared" si="132"/>
        <v>235374.48041775625</v>
      </c>
      <c r="AH434">
        <f t="shared" si="133"/>
        <v>234312.0488015585</v>
      </c>
      <c r="AI434">
        <f t="shared" si="140"/>
        <v>238104.18833471037</v>
      </c>
    </row>
    <row r="435" spans="2:35" x14ac:dyDescent="0.3">
      <c r="B435">
        <v>392</v>
      </c>
      <c r="C435">
        <v>73901.463499999998</v>
      </c>
      <c r="D435">
        <v>72478.503599999996</v>
      </c>
      <c r="E435">
        <v>72684.400899999993</v>
      </c>
      <c r="F435">
        <v>72445.595100000006</v>
      </c>
      <c r="G435">
        <v>72739.03</v>
      </c>
      <c r="H435">
        <v>72553.974300000002</v>
      </c>
      <c r="I435">
        <v>10.42907528350444</v>
      </c>
      <c r="J435">
        <v>10.400454686531312</v>
      </c>
      <c r="K435">
        <v>10.377203456542681</v>
      </c>
      <c r="L435">
        <v>10.370103447320803</v>
      </c>
      <c r="M435">
        <v>10.347700868027621</v>
      </c>
      <c r="N435">
        <v>10.320486042642603</v>
      </c>
      <c r="P435">
        <f t="shared" si="122"/>
        <v>238970.7950051332</v>
      </c>
      <c r="Q435">
        <f t="shared" si="123"/>
        <v>239535.13699593936</v>
      </c>
      <c r="R435">
        <f t="shared" si="124"/>
        <v>238631.70279628044</v>
      </c>
      <c r="S435">
        <f t="shared" si="125"/>
        <v>238657.50831962409</v>
      </c>
      <c r="T435">
        <f t="shared" si="126"/>
        <v>237691.99604082861</v>
      </c>
      <c r="U435">
        <f t="shared" si="127"/>
        <v>237060.60697927809</v>
      </c>
      <c r="V435">
        <f t="shared" si="134"/>
        <v>0</v>
      </c>
      <c r="W435">
        <f t="shared" si="135"/>
        <v>1</v>
      </c>
      <c r="X435">
        <f t="shared" si="136"/>
        <v>0</v>
      </c>
      <c r="Y435">
        <f t="shared" si="137"/>
        <v>0</v>
      </c>
      <c r="Z435">
        <f t="shared" si="138"/>
        <v>0</v>
      </c>
      <c r="AA435">
        <f t="shared" si="139"/>
        <v>0</v>
      </c>
      <c r="AC435">
        <f t="shared" si="128"/>
        <v>238970.7950051332</v>
      </c>
      <c r="AD435">
        <f t="shared" si="129"/>
        <v>239535.13699593936</v>
      </c>
      <c r="AE435">
        <f t="shared" si="130"/>
        <v>238631.70279628044</v>
      </c>
      <c r="AF435">
        <f t="shared" si="131"/>
        <v>238657.50831962409</v>
      </c>
      <c r="AG435">
        <f t="shared" si="132"/>
        <v>237691.99604082861</v>
      </c>
      <c r="AH435">
        <f t="shared" si="133"/>
        <v>237060.60697927809</v>
      </c>
      <c r="AI435">
        <f t="shared" si="140"/>
        <v>239535.13699593936</v>
      </c>
    </row>
    <row r="436" spans="2:35" x14ac:dyDescent="0.3">
      <c r="B436">
        <v>393</v>
      </c>
      <c r="C436">
        <v>75952.501399999994</v>
      </c>
      <c r="D436">
        <v>75258.394899999999</v>
      </c>
      <c r="E436">
        <v>75894.914099999995</v>
      </c>
      <c r="F436">
        <v>75699.700500000006</v>
      </c>
      <c r="G436">
        <v>76496.076400000005</v>
      </c>
      <c r="H436">
        <v>77120.031499999997</v>
      </c>
      <c r="I436">
        <v>10.349120814051782</v>
      </c>
      <c r="J436">
        <v>10.323884180607941</v>
      </c>
      <c r="K436">
        <v>10.303984804819132</v>
      </c>
      <c r="L436">
        <v>10.294561826370369</v>
      </c>
      <c r="M436">
        <v>10.263729168207448</v>
      </c>
      <c r="N436">
        <v>10.247859292089842</v>
      </c>
      <c r="P436">
        <f t="shared" si="122"/>
        <v>234521.12302155345</v>
      </c>
      <c r="Q436">
        <f t="shared" si="123"/>
        <v>234458.13051823823</v>
      </c>
      <c r="R436">
        <f t="shared" si="124"/>
        <v>233224.63004457398</v>
      </c>
      <c r="S436">
        <f t="shared" si="125"/>
        <v>233137.15429111107</v>
      </c>
      <c r="T436">
        <f t="shared" si="126"/>
        <v>231415.79864622338</v>
      </c>
      <c r="U436">
        <f t="shared" si="127"/>
        <v>230315.74726269528</v>
      </c>
      <c r="V436">
        <f t="shared" si="134"/>
        <v>1</v>
      </c>
      <c r="W436">
        <f t="shared" si="135"/>
        <v>0</v>
      </c>
      <c r="X436">
        <f t="shared" si="136"/>
        <v>0</v>
      </c>
      <c r="Y436">
        <f t="shared" si="137"/>
        <v>0</v>
      </c>
      <c r="Z436">
        <f t="shared" si="138"/>
        <v>0</v>
      </c>
      <c r="AA436">
        <f t="shared" si="139"/>
        <v>0</v>
      </c>
      <c r="AC436">
        <f t="shared" si="128"/>
        <v>234521.12302155345</v>
      </c>
      <c r="AD436">
        <f t="shared" si="129"/>
        <v>234458.13051823823</v>
      </c>
      <c r="AE436">
        <f t="shared" si="130"/>
        <v>233224.63004457398</v>
      </c>
      <c r="AF436">
        <f t="shared" si="131"/>
        <v>233137.15429111107</v>
      </c>
      <c r="AG436">
        <f t="shared" si="132"/>
        <v>231415.79864622338</v>
      </c>
      <c r="AH436">
        <f t="shared" si="133"/>
        <v>230315.74726269528</v>
      </c>
      <c r="AI436">
        <f t="shared" si="140"/>
        <v>234521.12302155345</v>
      </c>
    </row>
    <row r="437" spans="2:35" x14ac:dyDescent="0.3">
      <c r="B437">
        <v>394</v>
      </c>
      <c r="C437">
        <v>74566.236900000004</v>
      </c>
      <c r="D437">
        <v>74656.681500000006</v>
      </c>
      <c r="E437">
        <v>75381.783100000001</v>
      </c>
      <c r="F437">
        <v>75767.273499999996</v>
      </c>
      <c r="G437">
        <v>76487.643200000006</v>
      </c>
      <c r="H437">
        <v>77596.423500000004</v>
      </c>
      <c r="I437">
        <v>10.049759147435353</v>
      </c>
      <c r="J437">
        <v>9.9912590417566207</v>
      </c>
      <c r="K437">
        <v>9.9577293448033384</v>
      </c>
      <c r="L437">
        <v>9.938385069597329</v>
      </c>
      <c r="M437">
        <v>9.905030452178627</v>
      </c>
      <c r="N437">
        <v>9.8649746995372869</v>
      </c>
      <c r="P437">
        <f t="shared" si="122"/>
        <v>226926.53752306057</v>
      </c>
      <c r="Q437">
        <f t="shared" si="123"/>
        <v>225081.08975269861</v>
      </c>
      <c r="R437">
        <f t="shared" si="124"/>
        <v>223350.09724410018</v>
      </c>
      <c r="S437">
        <f t="shared" si="125"/>
        <v>222384.27858791983</v>
      </c>
      <c r="T437">
        <f t="shared" si="126"/>
        <v>220663.2703653588</v>
      </c>
      <c r="U437">
        <f t="shared" si="127"/>
        <v>218352.81748611861</v>
      </c>
      <c r="V437">
        <f t="shared" si="134"/>
        <v>1</v>
      </c>
      <c r="W437">
        <f t="shared" si="135"/>
        <v>0</v>
      </c>
      <c r="X437">
        <f t="shared" si="136"/>
        <v>0</v>
      </c>
      <c r="Y437">
        <f t="shared" si="137"/>
        <v>0</v>
      </c>
      <c r="Z437">
        <f t="shared" si="138"/>
        <v>0</v>
      </c>
      <c r="AA437">
        <f t="shared" si="139"/>
        <v>0</v>
      </c>
      <c r="AC437">
        <f t="shared" si="128"/>
        <v>226926.53752306057</v>
      </c>
      <c r="AD437">
        <f t="shared" si="129"/>
        <v>225081.08975269861</v>
      </c>
      <c r="AE437">
        <f t="shared" si="130"/>
        <v>223350.09724410018</v>
      </c>
      <c r="AF437">
        <f t="shared" si="131"/>
        <v>222384.27858791983</v>
      </c>
      <c r="AG437">
        <f t="shared" si="132"/>
        <v>220663.2703653588</v>
      </c>
      <c r="AH437">
        <f t="shared" si="133"/>
        <v>218352.81748611861</v>
      </c>
      <c r="AI437">
        <f t="shared" si="140"/>
        <v>226926.53752306057</v>
      </c>
    </row>
    <row r="438" spans="2:35" x14ac:dyDescent="0.3">
      <c r="B438">
        <v>395</v>
      </c>
      <c r="C438">
        <v>81786.729600000006</v>
      </c>
      <c r="D438">
        <v>80543.361099999995</v>
      </c>
      <c r="E438">
        <v>80765.324900000007</v>
      </c>
      <c r="F438">
        <v>80506.887400000007</v>
      </c>
      <c r="G438">
        <v>80445.977499999994</v>
      </c>
      <c r="H438">
        <v>80553.473400000003</v>
      </c>
      <c r="I438">
        <v>9.9952046810816988</v>
      </c>
      <c r="J438">
        <v>9.9593231954388202</v>
      </c>
      <c r="K438">
        <v>9.9222634973571662</v>
      </c>
      <c r="L438">
        <v>9.909959285263124</v>
      </c>
      <c r="M438">
        <v>9.8771124611915138</v>
      </c>
      <c r="N438">
        <v>9.8469511618831227</v>
      </c>
      <c r="P438">
        <f t="shared" si="122"/>
        <v>218069.41083245096</v>
      </c>
      <c r="Q438">
        <f t="shared" si="123"/>
        <v>218236.33476316463</v>
      </c>
      <c r="R438">
        <f t="shared" si="124"/>
        <v>216902.58002071496</v>
      </c>
      <c r="S438">
        <f t="shared" si="125"/>
        <v>216791.8911578937</v>
      </c>
      <c r="T438">
        <f t="shared" si="126"/>
        <v>215867.3963357454</v>
      </c>
      <c r="U438">
        <f t="shared" si="127"/>
        <v>214855.06145649368</v>
      </c>
      <c r="V438">
        <f t="shared" si="134"/>
        <v>0</v>
      </c>
      <c r="W438">
        <f t="shared" si="135"/>
        <v>1</v>
      </c>
      <c r="X438">
        <f t="shared" si="136"/>
        <v>0</v>
      </c>
      <c r="Y438">
        <f t="shared" si="137"/>
        <v>0</v>
      </c>
      <c r="Z438">
        <f t="shared" si="138"/>
        <v>0</v>
      </c>
      <c r="AA438">
        <f t="shared" si="139"/>
        <v>0</v>
      </c>
      <c r="AC438">
        <f t="shared" si="128"/>
        <v>218069.41083245096</v>
      </c>
      <c r="AD438">
        <f t="shared" si="129"/>
        <v>218236.33476316463</v>
      </c>
      <c r="AE438">
        <f t="shared" si="130"/>
        <v>216902.58002071496</v>
      </c>
      <c r="AF438">
        <f t="shared" si="131"/>
        <v>216791.8911578937</v>
      </c>
      <c r="AG438">
        <f t="shared" si="132"/>
        <v>215867.3963357454</v>
      </c>
      <c r="AH438">
        <f t="shared" si="133"/>
        <v>214855.06145649368</v>
      </c>
      <c r="AI438">
        <f t="shared" si="140"/>
        <v>218236.33476316463</v>
      </c>
    </row>
    <row r="439" spans="2:35" x14ac:dyDescent="0.3">
      <c r="B439">
        <v>396</v>
      </c>
      <c r="C439">
        <v>72486.397100000002</v>
      </c>
      <c r="D439">
        <v>72283.556700000001</v>
      </c>
      <c r="E439">
        <v>72924.910900000003</v>
      </c>
      <c r="F439">
        <v>72804.888399999996</v>
      </c>
      <c r="G439">
        <v>73472.548599999995</v>
      </c>
      <c r="H439">
        <v>74217.019799999995</v>
      </c>
      <c r="I439">
        <v>9.9433714215548772</v>
      </c>
      <c r="J439">
        <v>9.8956800032712131</v>
      </c>
      <c r="K439">
        <v>9.8553560935992905</v>
      </c>
      <c r="L439">
        <v>9.8469953893401474</v>
      </c>
      <c r="M439">
        <v>9.8048403107588964</v>
      </c>
      <c r="N439">
        <v>9.7657071173443697</v>
      </c>
      <c r="P439">
        <f t="shared" si="122"/>
        <v>225814.7455466463</v>
      </c>
      <c r="Q439">
        <f t="shared" si="123"/>
        <v>224586.84339813638</v>
      </c>
      <c r="R439">
        <f t="shared" si="124"/>
        <v>222735.77190797869</v>
      </c>
      <c r="S439">
        <f t="shared" si="125"/>
        <v>222604.9732802044</v>
      </c>
      <c r="T439">
        <f t="shared" si="126"/>
        <v>220672.66072276689</v>
      </c>
      <c r="U439">
        <f t="shared" si="127"/>
        <v>218754.19372033107</v>
      </c>
      <c r="V439">
        <f t="shared" si="134"/>
        <v>1</v>
      </c>
      <c r="W439">
        <f t="shared" si="135"/>
        <v>0</v>
      </c>
      <c r="X439">
        <f t="shared" si="136"/>
        <v>0</v>
      </c>
      <c r="Y439">
        <f t="shared" si="137"/>
        <v>0</v>
      </c>
      <c r="Z439">
        <f t="shared" si="138"/>
        <v>0</v>
      </c>
      <c r="AA439">
        <f t="shared" si="139"/>
        <v>0</v>
      </c>
      <c r="AC439">
        <f t="shared" si="128"/>
        <v>225814.7455466463</v>
      </c>
      <c r="AD439">
        <f t="shared" si="129"/>
        <v>224586.84339813638</v>
      </c>
      <c r="AE439">
        <f t="shared" si="130"/>
        <v>222735.77190797869</v>
      </c>
      <c r="AF439">
        <f t="shared" si="131"/>
        <v>222604.9732802044</v>
      </c>
      <c r="AG439">
        <f t="shared" si="132"/>
        <v>220672.66072276689</v>
      </c>
      <c r="AH439">
        <f t="shared" si="133"/>
        <v>218754.19372033107</v>
      </c>
      <c r="AI439">
        <f t="shared" si="140"/>
        <v>225814.7455466463</v>
      </c>
    </row>
    <row r="440" spans="2:35" x14ac:dyDescent="0.3">
      <c r="B440">
        <v>397</v>
      </c>
      <c r="C440">
        <v>75169.620699999999</v>
      </c>
      <c r="D440">
        <v>73914.250700000004</v>
      </c>
      <c r="E440">
        <v>73902.205499999996</v>
      </c>
      <c r="F440">
        <v>73775.527199999997</v>
      </c>
      <c r="G440">
        <v>73833.090299999996</v>
      </c>
      <c r="H440">
        <v>73715.208400000003</v>
      </c>
      <c r="I440">
        <v>9.0593800436095897</v>
      </c>
      <c r="J440">
        <v>9.0163534924684843</v>
      </c>
      <c r="K440">
        <v>8.9921338435012537</v>
      </c>
      <c r="L440">
        <v>8.9827573232963349</v>
      </c>
      <c r="M440">
        <v>8.9527757018894309</v>
      </c>
      <c r="N440">
        <v>8.9199496390189807</v>
      </c>
      <c r="P440">
        <f t="shared" si="122"/>
        <v>196611.78060828769</v>
      </c>
      <c r="Q440">
        <f t="shared" si="123"/>
        <v>196576.35407405454</v>
      </c>
      <c r="R440">
        <f t="shared" si="124"/>
        <v>195861.80980503763</v>
      </c>
      <c r="S440">
        <f t="shared" si="125"/>
        <v>195707.19249889004</v>
      </c>
      <c r="T440">
        <f t="shared" si="126"/>
        <v>194750.18075668294</v>
      </c>
      <c r="U440">
        <f t="shared" si="127"/>
        <v>193883.2807705694</v>
      </c>
      <c r="V440">
        <f t="shared" si="134"/>
        <v>1</v>
      </c>
      <c r="W440">
        <f t="shared" si="135"/>
        <v>0</v>
      </c>
      <c r="X440">
        <f t="shared" si="136"/>
        <v>0</v>
      </c>
      <c r="Y440">
        <f t="shared" si="137"/>
        <v>0</v>
      </c>
      <c r="Z440">
        <f t="shared" si="138"/>
        <v>0</v>
      </c>
      <c r="AA440">
        <f t="shared" si="139"/>
        <v>0</v>
      </c>
      <c r="AC440">
        <f t="shared" si="128"/>
        <v>196611.78060828769</v>
      </c>
      <c r="AD440">
        <f t="shared" si="129"/>
        <v>196576.35407405454</v>
      </c>
      <c r="AE440">
        <f t="shared" si="130"/>
        <v>195861.80980503763</v>
      </c>
      <c r="AF440">
        <f t="shared" si="131"/>
        <v>195707.19249889004</v>
      </c>
      <c r="AG440">
        <f t="shared" si="132"/>
        <v>194750.18075668294</v>
      </c>
      <c r="AH440">
        <f t="shared" si="133"/>
        <v>193883.2807705694</v>
      </c>
      <c r="AI440">
        <f t="shared" si="140"/>
        <v>196611.78060828769</v>
      </c>
    </row>
    <row r="441" spans="2:35" x14ac:dyDescent="0.3">
      <c r="B441">
        <v>398</v>
      </c>
      <c r="C441">
        <v>87730.415099999998</v>
      </c>
      <c r="D441">
        <v>86629.052500000005</v>
      </c>
      <c r="E441">
        <v>86739.679000000004</v>
      </c>
      <c r="F441">
        <v>86686.059500000003</v>
      </c>
      <c r="G441">
        <v>86577.2304</v>
      </c>
      <c r="H441">
        <v>86568.810899999997</v>
      </c>
      <c r="I441">
        <v>9.5134880482123716</v>
      </c>
      <c r="J441">
        <v>9.4665855630032478</v>
      </c>
      <c r="K441">
        <v>9.4357791760640541</v>
      </c>
      <c r="L441">
        <v>9.4230693364497977</v>
      </c>
      <c r="M441">
        <v>9.3986778376060283</v>
      </c>
      <c r="N441">
        <v>9.3556473356360161</v>
      </c>
      <c r="P441">
        <f t="shared" si="122"/>
        <v>197674.22634637117</v>
      </c>
      <c r="Q441">
        <f t="shared" si="123"/>
        <v>197368.51439009747</v>
      </c>
      <c r="R441">
        <f t="shared" si="124"/>
        <v>196333.69628192164</v>
      </c>
      <c r="S441">
        <f t="shared" si="125"/>
        <v>196006.02059349391</v>
      </c>
      <c r="T441">
        <f t="shared" si="126"/>
        <v>195383.10472818086</v>
      </c>
      <c r="U441">
        <f t="shared" si="127"/>
        <v>194100.6091690805</v>
      </c>
      <c r="V441">
        <f t="shared" si="134"/>
        <v>1</v>
      </c>
      <c r="W441">
        <f t="shared" si="135"/>
        <v>0</v>
      </c>
      <c r="X441">
        <f t="shared" si="136"/>
        <v>0</v>
      </c>
      <c r="Y441">
        <f t="shared" si="137"/>
        <v>0</v>
      </c>
      <c r="Z441">
        <f t="shared" si="138"/>
        <v>0</v>
      </c>
      <c r="AA441">
        <f t="shared" si="139"/>
        <v>0</v>
      </c>
      <c r="AC441">
        <f t="shared" si="128"/>
        <v>197674.22634637117</v>
      </c>
      <c r="AD441">
        <f t="shared" si="129"/>
        <v>197368.51439009747</v>
      </c>
      <c r="AE441">
        <f t="shared" si="130"/>
        <v>196333.69628192164</v>
      </c>
      <c r="AF441">
        <f t="shared" si="131"/>
        <v>196006.02059349391</v>
      </c>
      <c r="AG441">
        <f t="shared" si="132"/>
        <v>195383.10472818086</v>
      </c>
      <c r="AH441">
        <f t="shared" si="133"/>
        <v>194100.6091690805</v>
      </c>
      <c r="AI441">
        <f t="shared" si="140"/>
        <v>197674.22634637117</v>
      </c>
    </row>
    <row r="442" spans="2:35" x14ac:dyDescent="0.3">
      <c r="B442">
        <v>399</v>
      </c>
      <c r="C442">
        <v>86283.193299999999</v>
      </c>
      <c r="D442">
        <v>84478.537599999996</v>
      </c>
      <c r="E442">
        <v>84147.427599999995</v>
      </c>
      <c r="F442">
        <v>83929.409700000004</v>
      </c>
      <c r="G442">
        <v>83495.341799999995</v>
      </c>
      <c r="H442">
        <v>83180.047600000005</v>
      </c>
      <c r="I442">
        <v>9.3559646049577037</v>
      </c>
      <c r="J442">
        <v>9.3381645635684052</v>
      </c>
      <c r="K442">
        <v>9.3271082957287312</v>
      </c>
      <c r="L442">
        <v>9.3219070900256025</v>
      </c>
      <c r="M442">
        <v>9.3066483090447463</v>
      </c>
      <c r="N442">
        <v>9.2948639580047256</v>
      </c>
      <c r="P442">
        <f t="shared" si="122"/>
        <v>194395.74484873115</v>
      </c>
      <c r="Q442">
        <f t="shared" si="123"/>
        <v>195666.3993070522</v>
      </c>
      <c r="R442">
        <f t="shared" si="124"/>
        <v>195665.82127186196</v>
      </c>
      <c r="S442">
        <f t="shared" si="125"/>
        <v>195727.80300076806</v>
      </c>
      <c r="T442">
        <f t="shared" si="126"/>
        <v>195704.10747134237</v>
      </c>
      <c r="U442">
        <f t="shared" si="127"/>
        <v>195665.8711401418</v>
      </c>
      <c r="V442">
        <f t="shared" si="134"/>
        <v>0</v>
      </c>
      <c r="W442">
        <f t="shared" si="135"/>
        <v>0</v>
      </c>
      <c r="X442">
        <f t="shared" si="136"/>
        <v>0</v>
      </c>
      <c r="Y442">
        <f t="shared" si="137"/>
        <v>1</v>
      </c>
      <c r="Z442">
        <f t="shared" si="138"/>
        <v>0</v>
      </c>
      <c r="AA442">
        <f t="shared" si="139"/>
        <v>0</v>
      </c>
      <c r="AC442">
        <f t="shared" si="128"/>
        <v>194395.74484873115</v>
      </c>
      <c r="AD442">
        <f t="shared" si="129"/>
        <v>195666.3993070522</v>
      </c>
      <c r="AE442">
        <f t="shared" si="130"/>
        <v>195665.82127186196</v>
      </c>
      <c r="AF442">
        <f t="shared" si="131"/>
        <v>195727.80300076806</v>
      </c>
      <c r="AG442">
        <f t="shared" si="132"/>
        <v>195704.10747134237</v>
      </c>
      <c r="AH442">
        <f t="shared" si="133"/>
        <v>195665.8711401418</v>
      </c>
      <c r="AI442">
        <f t="shared" si="140"/>
        <v>195727.80300076806</v>
      </c>
    </row>
    <row r="443" spans="2:35" x14ac:dyDescent="0.3">
      <c r="B443">
        <v>400</v>
      </c>
      <c r="C443">
        <v>72763.373600000006</v>
      </c>
      <c r="D443">
        <v>72429.935100000002</v>
      </c>
      <c r="E443">
        <v>72972.840100000001</v>
      </c>
      <c r="F443">
        <v>72879.06</v>
      </c>
      <c r="G443">
        <v>73657.287200000006</v>
      </c>
      <c r="H443">
        <v>74287.0677</v>
      </c>
      <c r="I443">
        <v>9.3456846879801194</v>
      </c>
      <c r="J443">
        <v>9.3075534201904784</v>
      </c>
      <c r="K443">
        <v>9.2735653970016951</v>
      </c>
      <c r="L443">
        <v>9.2631405758627245</v>
      </c>
      <c r="M443">
        <v>9.2286977105036296</v>
      </c>
      <c r="N443">
        <v>9.2039814481877968</v>
      </c>
      <c r="P443">
        <f t="shared" si="122"/>
        <v>207607.16703940358</v>
      </c>
      <c r="Q443">
        <f t="shared" si="123"/>
        <v>206796.66750571434</v>
      </c>
      <c r="R443">
        <f t="shared" si="124"/>
        <v>205234.12181005083</v>
      </c>
      <c r="S443">
        <f t="shared" si="125"/>
        <v>205015.15727588173</v>
      </c>
      <c r="T443">
        <f t="shared" si="126"/>
        <v>203203.64411510888</v>
      </c>
      <c r="U443">
        <f t="shared" si="127"/>
        <v>201832.37574563391</v>
      </c>
      <c r="V443">
        <f t="shared" si="134"/>
        <v>1</v>
      </c>
      <c r="W443">
        <f t="shared" si="135"/>
        <v>0</v>
      </c>
      <c r="X443">
        <f t="shared" si="136"/>
        <v>0</v>
      </c>
      <c r="Y443">
        <f t="shared" si="137"/>
        <v>0</v>
      </c>
      <c r="Z443">
        <f t="shared" si="138"/>
        <v>0</v>
      </c>
      <c r="AA443">
        <f t="shared" si="139"/>
        <v>0</v>
      </c>
      <c r="AC443">
        <f t="shared" si="128"/>
        <v>207607.16703940358</v>
      </c>
      <c r="AD443">
        <f t="shared" si="129"/>
        <v>206796.66750571434</v>
      </c>
      <c r="AE443">
        <f t="shared" si="130"/>
        <v>205234.12181005083</v>
      </c>
      <c r="AF443">
        <f t="shared" si="131"/>
        <v>205015.15727588173</v>
      </c>
      <c r="AG443">
        <f t="shared" si="132"/>
        <v>203203.64411510888</v>
      </c>
      <c r="AH443">
        <f t="shared" si="133"/>
        <v>201832.37574563391</v>
      </c>
      <c r="AI443">
        <f t="shared" si="140"/>
        <v>207607.16703940358</v>
      </c>
    </row>
    <row r="444" spans="2:35" x14ac:dyDescent="0.3">
      <c r="B444">
        <v>401</v>
      </c>
      <c r="C444">
        <v>75333.944499999998</v>
      </c>
      <c r="D444">
        <v>74216.921000000002</v>
      </c>
      <c r="E444">
        <v>74440.136400000003</v>
      </c>
      <c r="F444">
        <v>74106.597099999999</v>
      </c>
      <c r="G444">
        <v>74257.551099999997</v>
      </c>
      <c r="H444">
        <v>74474.945500000002</v>
      </c>
      <c r="I444">
        <v>10.619577063438124</v>
      </c>
      <c r="J444">
        <v>10.560311949427929</v>
      </c>
      <c r="K444">
        <v>10.525563267173569</v>
      </c>
      <c r="L444">
        <v>10.519566901527572</v>
      </c>
      <c r="M444">
        <v>10.477518959006531</v>
      </c>
      <c r="N444">
        <v>10.433168093653968</v>
      </c>
      <c r="P444">
        <f t="shared" si="122"/>
        <v>243253.36740314373</v>
      </c>
      <c r="Q444">
        <f t="shared" si="123"/>
        <v>242592.43748283785</v>
      </c>
      <c r="R444">
        <f t="shared" si="124"/>
        <v>241326.76161520707</v>
      </c>
      <c r="S444">
        <f t="shared" si="125"/>
        <v>241480.40994582715</v>
      </c>
      <c r="T444">
        <f t="shared" si="126"/>
        <v>240068.01767019596</v>
      </c>
      <c r="U444">
        <f t="shared" si="127"/>
        <v>238520.09730961904</v>
      </c>
      <c r="V444">
        <f t="shared" si="134"/>
        <v>1</v>
      </c>
      <c r="W444">
        <f t="shared" si="135"/>
        <v>0</v>
      </c>
      <c r="X444">
        <f t="shared" si="136"/>
        <v>0</v>
      </c>
      <c r="Y444">
        <f t="shared" si="137"/>
        <v>0</v>
      </c>
      <c r="Z444">
        <f t="shared" si="138"/>
        <v>0</v>
      </c>
      <c r="AA444">
        <f t="shared" si="139"/>
        <v>0</v>
      </c>
      <c r="AC444">
        <f t="shared" si="128"/>
        <v>243253.36740314373</v>
      </c>
      <c r="AD444">
        <f t="shared" si="129"/>
        <v>242592.43748283785</v>
      </c>
      <c r="AE444">
        <f t="shared" si="130"/>
        <v>241326.76161520707</v>
      </c>
      <c r="AF444">
        <f t="shared" si="131"/>
        <v>241480.40994582715</v>
      </c>
      <c r="AG444">
        <f t="shared" si="132"/>
        <v>240068.01767019596</v>
      </c>
      <c r="AH444">
        <f t="shared" si="133"/>
        <v>238520.09730961904</v>
      </c>
      <c r="AI444">
        <f t="shared" si="140"/>
        <v>243253.36740314373</v>
      </c>
    </row>
    <row r="445" spans="2:35" x14ac:dyDescent="0.3">
      <c r="B445">
        <v>402</v>
      </c>
      <c r="C445">
        <v>75403.364799999996</v>
      </c>
      <c r="D445">
        <v>74058.681800000006</v>
      </c>
      <c r="E445">
        <v>74012.560700000002</v>
      </c>
      <c r="F445">
        <v>73724.863299999997</v>
      </c>
      <c r="G445">
        <v>73593.831300000005</v>
      </c>
      <c r="H445">
        <v>73461.614400000006</v>
      </c>
      <c r="I445">
        <v>10.454423729252541</v>
      </c>
      <c r="J445">
        <v>10.42577684762073</v>
      </c>
      <c r="K445">
        <v>10.406241948155674</v>
      </c>
      <c r="L445">
        <v>10.389039615182153</v>
      </c>
      <c r="M445">
        <v>10.371626331209818</v>
      </c>
      <c r="N445">
        <v>10.344300525596562</v>
      </c>
      <c r="P445">
        <f t="shared" si="122"/>
        <v>238229.34707757627</v>
      </c>
      <c r="Q445">
        <f t="shared" si="123"/>
        <v>238714.62362862186</v>
      </c>
      <c r="R445">
        <f t="shared" si="124"/>
        <v>238174.69774467024</v>
      </c>
      <c r="S445">
        <f t="shared" si="125"/>
        <v>237946.32515546461</v>
      </c>
      <c r="T445">
        <f t="shared" si="126"/>
        <v>237554.95863629453</v>
      </c>
      <c r="U445">
        <f t="shared" si="127"/>
        <v>236867.40136789688</v>
      </c>
      <c r="V445">
        <f t="shared" si="134"/>
        <v>0</v>
      </c>
      <c r="W445">
        <f t="shared" si="135"/>
        <v>1</v>
      </c>
      <c r="X445">
        <f t="shared" si="136"/>
        <v>0</v>
      </c>
      <c r="Y445">
        <f t="shared" si="137"/>
        <v>0</v>
      </c>
      <c r="Z445">
        <f t="shared" si="138"/>
        <v>0</v>
      </c>
      <c r="AA445">
        <f t="shared" si="139"/>
        <v>0</v>
      </c>
      <c r="AC445">
        <f t="shared" si="128"/>
        <v>238229.34707757627</v>
      </c>
      <c r="AD445">
        <f t="shared" si="129"/>
        <v>238714.62362862186</v>
      </c>
      <c r="AE445">
        <f t="shared" si="130"/>
        <v>238174.69774467024</v>
      </c>
      <c r="AF445">
        <f t="shared" si="131"/>
        <v>237946.32515546461</v>
      </c>
      <c r="AG445">
        <f t="shared" si="132"/>
        <v>237554.95863629453</v>
      </c>
      <c r="AH445">
        <f t="shared" si="133"/>
        <v>236867.40136789688</v>
      </c>
      <c r="AI445">
        <f t="shared" si="140"/>
        <v>238714.62362862186</v>
      </c>
    </row>
    <row r="446" spans="2:35" x14ac:dyDescent="0.3">
      <c r="B446">
        <v>403</v>
      </c>
      <c r="C446">
        <v>83182.217499999999</v>
      </c>
      <c r="D446">
        <v>82795.729300000006</v>
      </c>
      <c r="E446">
        <v>83432.849799999996</v>
      </c>
      <c r="F446">
        <v>83607.368799999997</v>
      </c>
      <c r="G446">
        <v>84473.051200000002</v>
      </c>
      <c r="H446">
        <v>84905.857499999998</v>
      </c>
      <c r="I446">
        <v>10.752818518558417</v>
      </c>
      <c r="J446">
        <v>10.710748656981108</v>
      </c>
      <c r="K446">
        <v>10.691744599322744</v>
      </c>
      <c r="L446">
        <v>10.668111470457008</v>
      </c>
      <c r="M446">
        <v>10.63955482580476</v>
      </c>
      <c r="N446">
        <v>10.602049513409023</v>
      </c>
      <c r="P446">
        <f t="shared" si="122"/>
        <v>239402.33805675249</v>
      </c>
      <c r="Q446">
        <f t="shared" si="123"/>
        <v>238526.73040943325</v>
      </c>
      <c r="R446">
        <f t="shared" si="124"/>
        <v>237319.48817968232</v>
      </c>
      <c r="S446">
        <f t="shared" si="125"/>
        <v>236435.97531371022</v>
      </c>
      <c r="T446">
        <f t="shared" si="126"/>
        <v>234713.59357414284</v>
      </c>
      <c r="U446">
        <f t="shared" si="127"/>
        <v>233155.6279022707</v>
      </c>
      <c r="V446">
        <f t="shared" si="134"/>
        <v>1</v>
      </c>
      <c r="W446">
        <f t="shared" si="135"/>
        <v>0</v>
      </c>
      <c r="X446">
        <f t="shared" si="136"/>
        <v>0</v>
      </c>
      <c r="Y446">
        <f t="shared" si="137"/>
        <v>0</v>
      </c>
      <c r="Z446">
        <f t="shared" si="138"/>
        <v>0</v>
      </c>
      <c r="AA446">
        <f t="shared" si="139"/>
        <v>0</v>
      </c>
      <c r="AC446">
        <f t="shared" si="128"/>
        <v>239402.33805675249</v>
      </c>
      <c r="AD446">
        <f t="shared" si="129"/>
        <v>238526.73040943325</v>
      </c>
      <c r="AE446">
        <f t="shared" si="130"/>
        <v>237319.48817968232</v>
      </c>
      <c r="AF446">
        <f t="shared" si="131"/>
        <v>236435.97531371022</v>
      </c>
      <c r="AG446">
        <f t="shared" si="132"/>
        <v>234713.59357414284</v>
      </c>
      <c r="AH446">
        <f t="shared" si="133"/>
        <v>233155.6279022707</v>
      </c>
      <c r="AI446">
        <f t="shared" si="140"/>
        <v>239402.33805675249</v>
      </c>
    </row>
    <row r="447" spans="2:35" x14ac:dyDescent="0.3">
      <c r="B447">
        <v>404</v>
      </c>
      <c r="C447">
        <v>70359.479699999996</v>
      </c>
      <c r="D447">
        <v>69973.562399999995</v>
      </c>
      <c r="E447">
        <v>70791.080100000006</v>
      </c>
      <c r="F447">
        <v>70924.479099999997</v>
      </c>
      <c r="G447">
        <v>71548.2601</v>
      </c>
      <c r="H447">
        <v>72509.866699999999</v>
      </c>
      <c r="I447">
        <v>9.6417880528341193</v>
      </c>
      <c r="J447">
        <v>9.6232659020242952</v>
      </c>
      <c r="K447">
        <v>9.606427693941999</v>
      </c>
      <c r="L447">
        <v>9.5990593583462918</v>
      </c>
      <c r="M447">
        <v>9.58498009707478</v>
      </c>
      <c r="N447">
        <v>9.5668668627569939</v>
      </c>
      <c r="P447">
        <f t="shared" si="122"/>
        <v>218894.16188502361</v>
      </c>
      <c r="Q447">
        <f t="shared" si="123"/>
        <v>218724.41466072889</v>
      </c>
      <c r="R447">
        <f t="shared" si="124"/>
        <v>217401.75071825995</v>
      </c>
      <c r="S447">
        <f t="shared" si="125"/>
        <v>217047.30165038875</v>
      </c>
      <c r="T447">
        <f t="shared" si="126"/>
        <v>216001.14281224337</v>
      </c>
      <c r="U447">
        <f t="shared" si="127"/>
        <v>214496.1391827098</v>
      </c>
      <c r="V447">
        <f t="shared" si="134"/>
        <v>1</v>
      </c>
      <c r="W447">
        <f t="shared" si="135"/>
        <v>0</v>
      </c>
      <c r="X447">
        <f t="shared" si="136"/>
        <v>0</v>
      </c>
      <c r="Y447">
        <f t="shared" si="137"/>
        <v>0</v>
      </c>
      <c r="Z447">
        <f t="shared" si="138"/>
        <v>0</v>
      </c>
      <c r="AA447">
        <f t="shared" si="139"/>
        <v>0</v>
      </c>
      <c r="AC447">
        <f t="shared" si="128"/>
        <v>218894.16188502361</v>
      </c>
      <c r="AD447">
        <f t="shared" si="129"/>
        <v>218724.41466072889</v>
      </c>
      <c r="AE447">
        <f t="shared" si="130"/>
        <v>217401.75071825995</v>
      </c>
      <c r="AF447">
        <f t="shared" si="131"/>
        <v>217047.30165038875</v>
      </c>
      <c r="AG447">
        <f t="shared" si="132"/>
        <v>216001.14281224337</v>
      </c>
      <c r="AH447">
        <f t="shared" si="133"/>
        <v>214496.1391827098</v>
      </c>
      <c r="AI447">
        <f t="shared" si="140"/>
        <v>218894.16188502361</v>
      </c>
    </row>
    <row r="448" spans="2:35" x14ac:dyDescent="0.3">
      <c r="B448">
        <v>405</v>
      </c>
      <c r="C448">
        <v>76633.998200000002</v>
      </c>
      <c r="D448">
        <v>76696.383000000002</v>
      </c>
      <c r="E448">
        <v>77588.573799999998</v>
      </c>
      <c r="F448">
        <v>77717.705799999996</v>
      </c>
      <c r="G448">
        <v>78498.978099999993</v>
      </c>
      <c r="H448">
        <v>79333.293399999995</v>
      </c>
      <c r="I448">
        <v>9.3000641171208223</v>
      </c>
      <c r="J448">
        <v>9.2837743959028369</v>
      </c>
      <c r="K448">
        <v>9.2728291388970128</v>
      </c>
      <c r="L448">
        <v>9.2655740845831289</v>
      </c>
      <c r="M448">
        <v>9.2557004986775873</v>
      </c>
      <c r="N448">
        <v>9.2426697674834699</v>
      </c>
      <c r="P448">
        <f t="shared" si="122"/>
        <v>202367.92531362464</v>
      </c>
      <c r="Q448">
        <f t="shared" si="123"/>
        <v>201816.84887708511</v>
      </c>
      <c r="R448">
        <f t="shared" si="124"/>
        <v>200596.30036691035</v>
      </c>
      <c r="S448">
        <f t="shared" si="125"/>
        <v>200249.51673749386</v>
      </c>
      <c r="T448">
        <f t="shared" si="126"/>
        <v>199172.03686032759</v>
      </c>
      <c r="U448">
        <f t="shared" si="127"/>
        <v>197946.79962450408</v>
      </c>
      <c r="V448">
        <f t="shared" si="134"/>
        <v>1</v>
      </c>
      <c r="W448">
        <f t="shared" si="135"/>
        <v>0</v>
      </c>
      <c r="X448">
        <f t="shared" si="136"/>
        <v>0</v>
      </c>
      <c r="Y448">
        <f t="shared" si="137"/>
        <v>0</v>
      </c>
      <c r="Z448">
        <f t="shared" si="138"/>
        <v>0</v>
      </c>
      <c r="AA448">
        <f t="shared" si="139"/>
        <v>0</v>
      </c>
      <c r="AC448">
        <f t="shared" si="128"/>
        <v>202367.92531362464</v>
      </c>
      <c r="AD448">
        <f t="shared" si="129"/>
        <v>201816.84887708511</v>
      </c>
      <c r="AE448">
        <f t="shared" si="130"/>
        <v>200596.30036691035</v>
      </c>
      <c r="AF448">
        <f t="shared" si="131"/>
        <v>200249.51673749386</v>
      </c>
      <c r="AG448">
        <f t="shared" si="132"/>
        <v>199172.03686032759</v>
      </c>
      <c r="AH448">
        <f t="shared" si="133"/>
        <v>197946.79962450408</v>
      </c>
      <c r="AI448">
        <f t="shared" si="140"/>
        <v>202367.92531362464</v>
      </c>
    </row>
    <row r="449" spans="2:35" x14ac:dyDescent="0.3">
      <c r="B449">
        <v>406</v>
      </c>
      <c r="C449">
        <v>80709.904899999994</v>
      </c>
      <c r="D449">
        <v>79533.630600000004</v>
      </c>
      <c r="E449">
        <v>79526.721300000005</v>
      </c>
      <c r="F449">
        <v>79173.490300000005</v>
      </c>
      <c r="G449">
        <v>79330.915900000007</v>
      </c>
      <c r="H449">
        <v>79339.266099999993</v>
      </c>
      <c r="I449">
        <v>10.624789498216566</v>
      </c>
      <c r="J449">
        <v>10.576285281264362</v>
      </c>
      <c r="K449">
        <v>10.534781050070556</v>
      </c>
      <c r="L449">
        <v>10.533953689025063</v>
      </c>
      <c r="M449">
        <v>10.486443141426401</v>
      </c>
      <c r="N449">
        <v>10.439640293630767</v>
      </c>
      <c r="P449">
        <f t="shared" si="122"/>
        <v>238033.78004649698</v>
      </c>
      <c r="Q449">
        <f t="shared" si="123"/>
        <v>237754.92783793082</v>
      </c>
      <c r="R449">
        <f t="shared" si="124"/>
        <v>236516.71020211666</v>
      </c>
      <c r="S449">
        <f t="shared" si="125"/>
        <v>236845.12037075189</v>
      </c>
      <c r="T449">
        <f t="shared" si="126"/>
        <v>235262.37834279198</v>
      </c>
      <c r="U449">
        <f t="shared" si="127"/>
        <v>233849.94270892302</v>
      </c>
      <c r="V449">
        <f t="shared" si="134"/>
        <v>1</v>
      </c>
      <c r="W449">
        <f t="shared" si="135"/>
        <v>0</v>
      </c>
      <c r="X449">
        <f t="shared" si="136"/>
        <v>0</v>
      </c>
      <c r="Y449">
        <f t="shared" si="137"/>
        <v>0</v>
      </c>
      <c r="Z449">
        <f t="shared" si="138"/>
        <v>0</v>
      </c>
      <c r="AA449">
        <f t="shared" si="139"/>
        <v>0</v>
      </c>
      <c r="AC449">
        <f t="shared" si="128"/>
        <v>238033.78004649698</v>
      </c>
      <c r="AD449">
        <f t="shared" si="129"/>
        <v>237754.92783793082</v>
      </c>
      <c r="AE449">
        <f t="shared" si="130"/>
        <v>236516.71020211666</v>
      </c>
      <c r="AF449">
        <f t="shared" si="131"/>
        <v>236845.12037075189</v>
      </c>
      <c r="AG449">
        <f t="shared" si="132"/>
        <v>235262.37834279198</v>
      </c>
      <c r="AH449">
        <f t="shared" si="133"/>
        <v>233849.94270892302</v>
      </c>
      <c r="AI449">
        <f t="shared" si="140"/>
        <v>238033.78004649698</v>
      </c>
    </row>
    <row r="450" spans="2:35" x14ac:dyDescent="0.3">
      <c r="B450">
        <v>407</v>
      </c>
      <c r="C450">
        <v>71649.978799999997</v>
      </c>
      <c r="D450">
        <v>71528.413700000005</v>
      </c>
      <c r="E450">
        <v>72137.5193</v>
      </c>
      <c r="F450">
        <v>72448.212899999999</v>
      </c>
      <c r="G450">
        <v>73027.736199999999</v>
      </c>
      <c r="H450">
        <v>73919.485100000005</v>
      </c>
      <c r="I450">
        <v>10.778336266147202</v>
      </c>
      <c r="J450">
        <v>10.737964724746593</v>
      </c>
      <c r="K450">
        <v>10.713879858129145</v>
      </c>
      <c r="L450">
        <v>10.697669601418342</v>
      </c>
      <c r="M450">
        <v>10.67091581490593</v>
      </c>
      <c r="N450">
        <v>10.636165375428691</v>
      </c>
      <c r="P450">
        <f t="shared" si="122"/>
        <v>251700.10918441607</v>
      </c>
      <c r="Q450">
        <f t="shared" si="123"/>
        <v>250610.52804239778</v>
      </c>
      <c r="R450">
        <f t="shared" si="124"/>
        <v>249278.87644387438</v>
      </c>
      <c r="S450">
        <f t="shared" si="125"/>
        <v>248481.87514255027</v>
      </c>
      <c r="T450">
        <f t="shared" si="126"/>
        <v>247099.73824717791</v>
      </c>
      <c r="U450">
        <f t="shared" si="127"/>
        <v>245165.47616286075</v>
      </c>
      <c r="V450">
        <f t="shared" si="134"/>
        <v>1</v>
      </c>
      <c r="W450">
        <f t="shared" si="135"/>
        <v>0</v>
      </c>
      <c r="X450">
        <f t="shared" si="136"/>
        <v>0</v>
      </c>
      <c r="Y450">
        <f t="shared" si="137"/>
        <v>0</v>
      </c>
      <c r="Z450">
        <f t="shared" si="138"/>
        <v>0</v>
      </c>
      <c r="AA450">
        <f t="shared" si="139"/>
        <v>0</v>
      </c>
      <c r="AC450">
        <f t="shared" si="128"/>
        <v>251700.10918441607</v>
      </c>
      <c r="AD450">
        <f t="shared" si="129"/>
        <v>250610.52804239778</v>
      </c>
      <c r="AE450">
        <f t="shared" si="130"/>
        <v>249278.87644387438</v>
      </c>
      <c r="AF450">
        <f t="shared" si="131"/>
        <v>248481.87514255027</v>
      </c>
      <c r="AG450">
        <f t="shared" si="132"/>
        <v>247099.73824717791</v>
      </c>
      <c r="AH450">
        <f t="shared" si="133"/>
        <v>245165.47616286075</v>
      </c>
      <c r="AI450">
        <f t="shared" si="140"/>
        <v>251700.10918441607</v>
      </c>
    </row>
    <row r="451" spans="2:35" x14ac:dyDescent="0.3">
      <c r="B451">
        <v>408</v>
      </c>
      <c r="C451">
        <v>75332.750799999994</v>
      </c>
      <c r="D451">
        <v>74242.592199999999</v>
      </c>
      <c r="E451">
        <v>74630.8024</v>
      </c>
      <c r="F451">
        <v>74366.704299999998</v>
      </c>
      <c r="G451">
        <v>74513.165099999998</v>
      </c>
      <c r="H451">
        <v>74727.3122</v>
      </c>
      <c r="I451">
        <v>8.9195329019939127</v>
      </c>
      <c r="J451">
        <v>8.8946244476530669</v>
      </c>
      <c r="K451">
        <v>8.8755598767402493</v>
      </c>
      <c r="L451">
        <v>8.8646164196191588</v>
      </c>
      <c r="M451">
        <v>8.8482412321120165</v>
      </c>
      <c r="N451">
        <v>8.8237967255471901</v>
      </c>
      <c r="P451">
        <f t="shared" si="122"/>
        <v>192253.23625981738</v>
      </c>
      <c r="Q451">
        <f t="shared" si="123"/>
        <v>192596.14122959197</v>
      </c>
      <c r="R451">
        <f t="shared" si="124"/>
        <v>191635.99390220747</v>
      </c>
      <c r="S451">
        <f t="shared" si="125"/>
        <v>191571.78828857478</v>
      </c>
      <c r="T451">
        <f t="shared" si="126"/>
        <v>190934.07186336053</v>
      </c>
      <c r="U451">
        <f t="shared" si="127"/>
        <v>189986.5895664157</v>
      </c>
      <c r="V451">
        <f t="shared" si="134"/>
        <v>0</v>
      </c>
      <c r="W451">
        <f t="shared" si="135"/>
        <v>1</v>
      </c>
      <c r="X451">
        <f t="shared" si="136"/>
        <v>0</v>
      </c>
      <c r="Y451">
        <f t="shared" si="137"/>
        <v>0</v>
      </c>
      <c r="Z451">
        <f t="shared" si="138"/>
        <v>0</v>
      </c>
      <c r="AA451">
        <f t="shared" si="139"/>
        <v>0</v>
      </c>
      <c r="AC451">
        <f t="shared" si="128"/>
        <v>192253.23625981738</v>
      </c>
      <c r="AD451">
        <f t="shared" si="129"/>
        <v>192596.14122959197</v>
      </c>
      <c r="AE451">
        <f t="shared" si="130"/>
        <v>191635.99390220747</v>
      </c>
      <c r="AF451">
        <f t="shared" si="131"/>
        <v>191571.78828857478</v>
      </c>
      <c r="AG451">
        <f t="shared" si="132"/>
        <v>190934.07186336053</v>
      </c>
      <c r="AH451">
        <f t="shared" si="133"/>
        <v>189986.5895664157</v>
      </c>
      <c r="AI451">
        <f t="shared" si="140"/>
        <v>192596.14122959197</v>
      </c>
    </row>
    <row r="452" spans="2:35" x14ac:dyDescent="0.3">
      <c r="B452">
        <v>409</v>
      </c>
      <c r="C452">
        <v>70164.521800000002</v>
      </c>
      <c r="D452">
        <v>68487.079899999997</v>
      </c>
      <c r="E452">
        <v>68125.492299999998</v>
      </c>
      <c r="F452">
        <v>68070.202699999994</v>
      </c>
      <c r="G452">
        <v>67783.971799999999</v>
      </c>
      <c r="H452">
        <v>67280.630300000004</v>
      </c>
      <c r="I452">
        <v>9.0970870320089272</v>
      </c>
      <c r="J452">
        <v>9.0726293435558336</v>
      </c>
      <c r="K452">
        <v>9.0495462559721922</v>
      </c>
      <c r="L452">
        <v>9.0473924669750883</v>
      </c>
      <c r="M452">
        <v>9.0281918141922386</v>
      </c>
      <c r="N452">
        <v>9.0015106026895815</v>
      </c>
      <c r="P452">
        <f t="shared" si="122"/>
        <v>202748.08916026785</v>
      </c>
      <c r="Q452">
        <f t="shared" si="123"/>
        <v>203691.80040667497</v>
      </c>
      <c r="R452">
        <f t="shared" si="124"/>
        <v>203360.89537916577</v>
      </c>
      <c r="S452">
        <f t="shared" si="125"/>
        <v>203351.57130925267</v>
      </c>
      <c r="T452">
        <f t="shared" si="126"/>
        <v>203061.78262576717</v>
      </c>
      <c r="U452">
        <f t="shared" si="127"/>
        <v>202764.68778068741</v>
      </c>
      <c r="V452">
        <f t="shared" si="134"/>
        <v>0</v>
      </c>
      <c r="W452">
        <f t="shared" si="135"/>
        <v>1</v>
      </c>
      <c r="X452">
        <f t="shared" si="136"/>
        <v>0</v>
      </c>
      <c r="Y452">
        <f t="shared" si="137"/>
        <v>0</v>
      </c>
      <c r="Z452">
        <f t="shared" si="138"/>
        <v>0</v>
      </c>
      <c r="AA452">
        <f t="shared" si="139"/>
        <v>0</v>
      </c>
      <c r="AC452">
        <f t="shared" si="128"/>
        <v>202748.08916026785</v>
      </c>
      <c r="AD452">
        <f t="shared" si="129"/>
        <v>203691.80040667497</v>
      </c>
      <c r="AE452">
        <f t="shared" si="130"/>
        <v>203360.89537916577</v>
      </c>
      <c r="AF452">
        <f t="shared" si="131"/>
        <v>203351.57130925267</v>
      </c>
      <c r="AG452">
        <f t="shared" si="132"/>
        <v>203061.78262576717</v>
      </c>
      <c r="AH452">
        <f t="shared" si="133"/>
        <v>202764.68778068741</v>
      </c>
      <c r="AI452">
        <f t="shared" si="140"/>
        <v>203691.80040667497</v>
      </c>
    </row>
    <row r="453" spans="2:35" x14ac:dyDescent="0.3">
      <c r="B453">
        <v>410</v>
      </c>
      <c r="C453">
        <v>69133.931800000006</v>
      </c>
      <c r="D453">
        <v>68487.367700000003</v>
      </c>
      <c r="E453">
        <v>68960.011100000003</v>
      </c>
      <c r="F453">
        <v>68920.707299999995</v>
      </c>
      <c r="G453">
        <v>69210.323399999994</v>
      </c>
      <c r="H453">
        <v>69691.839399999997</v>
      </c>
      <c r="I453">
        <v>10.233804883055488</v>
      </c>
      <c r="J453">
        <v>10.206932734272824</v>
      </c>
      <c r="K453">
        <v>10.183793726526021</v>
      </c>
      <c r="L453">
        <v>10.175956884891548</v>
      </c>
      <c r="M453">
        <v>10.153476781045244</v>
      </c>
      <c r="N453">
        <v>10.131699907851141</v>
      </c>
      <c r="P453">
        <f t="shared" si="122"/>
        <v>237880.21469166462</v>
      </c>
      <c r="Q453">
        <f t="shared" si="123"/>
        <v>237720.61432818469</v>
      </c>
      <c r="R453">
        <f t="shared" si="124"/>
        <v>236553.80069578061</v>
      </c>
      <c r="S453">
        <f t="shared" si="125"/>
        <v>236357.99924674642</v>
      </c>
      <c r="T453">
        <f t="shared" si="126"/>
        <v>235393.98003135732</v>
      </c>
      <c r="U453">
        <f t="shared" si="127"/>
        <v>234259.15783553425</v>
      </c>
      <c r="V453">
        <f t="shared" si="134"/>
        <v>1</v>
      </c>
      <c r="W453">
        <f t="shared" si="135"/>
        <v>0</v>
      </c>
      <c r="X453">
        <f t="shared" si="136"/>
        <v>0</v>
      </c>
      <c r="Y453">
        <f t="shared" si="137"/>
        <v>0</v>
      </c>
      <c r="Z453">
        <f t="shared" si="138"/>
        <v>0</v>
      </c>
      <c r="AA453">
        <f t="shared" si="139"/>
        <v>0</v>
      </c>
      <c r="AC453">
        <f t="shared" si="128"/>
        <v>237880.21469166462</v>
      </c>
      <c r="AD453">
        <f t="shared" si="129"/>
        <v>237720.61432818469</v>
      </c>
      <c r="AE453">
        <f t="shared" si="130"/>
        <v>236553.80069578061</v>
      </c>
      <c r="AF453">
        <f t="shared" si="131"/>
        <v>236357.99924674642</v>
      </c>
      <c r="AG453">
        <f t="shared" si="132"/>
        <v>235393.98003135732</v>
      </c>
      <c r="AH453">
        <f t="shared" si="133"/>
        <v>234259.15783553425</v>
      </c>
      <c r="AI453">
        <f t="shared" si="140"/>
        <v>237880.21469166462</v>
      </c>
    </row>
    <row r="454" spans="2:35" x14ac:dyDescent="0.3">
      <c r="B454">
        <v>411</v>
      </c>
      <c r="C454">
        <v>72670.744600000005</v>
      </c>
      <c r="D454">
        <v>71750.738400000002</v>
      </c>
      <c r="E454">
        <v>72158.438299999994</v>
      </c>
      <c r="F454">
        <v>71902.804199999999</v>
      </c>
      <c r="G454">
        <v>72086.003899999996</v>
      </c>
      <c r="H454">
        <v>72462.246499999994</v>
      </c>
      <c r="I454">
        <v>10.412135556450568</v>
      </c>
      <c r="J454">
        <v>10.353392579052793</v>
      </c>
      <c r="K454">
        <v>10.301789716540771</v>
      </c>
      <c r="L454">
        <v>10.28341835593325</v>
      </c>
      <c r="M454">
        <v>10.232626259511534</v>
      </c>
      <c r="N454">
        <v>10.183739516620415</v>
      </c>
      <c r="P454">
        <f t="shared" si="122"/>
        <v>239693.32209351702</v>
      </c>
      <c r="Q454">
        <f t="shared" si="123"/>
        <v>238851.0389715838</v>
      </c>
      <c r="R454">
        <f t="shared" si="124"/>
        <v>236895.25319622317</v>
      </c>
      <c r="S454">
        <f t="shared" si="125"/>
        <v>236599.74647799751</v>
      </c>
      <c r="T454">
        <f t="shared" si="126"/>
        <v>234892.78388534603</v>
      </c>
      <c r="U454">
        <f t="shared" si="127"/>
        <v>233049.93899861246</v>
      </c>
      <c r="V454">
        <f t="shared" si="134"/>
        <v>1</v>
      </c>
      <c r="W454">
        <f t="shared" si="135"/>
        <v>0</v>
      </c>
      <c r="X454">
        <f t="shared" si="136"/>
        <v>0</v>
      </c>
      <c r="Y454">
        <f t="shared" si="137"/>
        <v>0</v>
      </c>
      <c r="Z454">
        <f t="shared" si="138"/>
        <v>0</v>
      </c>
      <c r="AA454">
        <f t="shared" si="139"/>
        <v>0</v>
      </c>
      <c r="AC454">
        <f t="shared" si="128"/>
        <v>239693.32209351702</v>
      </c>
      <c r="AD454">
        <f t="shared" si="129"/>
        <v>238851.0389715838</v>
      </c>
      <c r="AE454">
        <f t="shared" si="130"/>
        <v>236895.25319622317</v>
      </c>
      <c r="AF454">
        <f t="shared" si="131"/>
        <v>236599.74647799751</v>
      </c>
      <c r="AG454">
        <f t="shared" si="132"/>
        <v>234892.78388534603</v>
      </c>
      <c r="AH454">
        <f t="shared" si="133"/>
        <v>233049.93899861246</v>
      </c>
      <c r="AI454">
        <f t="shared" si="140"/>
        <v>239693.32209351702</v>
      </c>
    </row>
    <row r="455" spans="2:35" x14ac:dyDescent="0.3">
      <c r="B455">
        <v>412</v>
      </c>
      <c r="C455">
        <v>79328.359700000001</v>
      </c>
      <c r="D455">
        <v>78585.005099999995</v>
      </c>
      <c r="E455">
        <v>78789.836800000005</v>
      </c>
      <c r="F455">
        <v>78827.278399999996</v>
      </c>
      <c r="G455">
        <v>78934.131800000003</v>
      </c>
      <c r="H455">
        <v>79519.738500000007</v>
      </c>
      <c r="I455">
        <v>10.854604902581208</v>
      </c>
      <c r="J455">
        <v>10.822420962611346</v>
      </c>
      <c r="K455">
        <v>10.807687484332225</v>
      </c>
      <c r="L455">
        <v>10.795372690712256</v>
      </c>
      <c r="M455">
        <v>10.776496771456937</v>
      </c>
      <c r="N455">
        <v>10.752344116754744</v>
      </c>
      <c r="P455">
        <f t="shared" si="122"/>
        <v>246309.78737743627</v>
      </c>
      <c r="Q455">
        <f t="shared" si="123"/>
        <v>246087.62377834041</v>
      </c>
      <c r="R455">
        <f t="shared" si="124"/>
        <v>245440.7877299668</v>
      </c>
      <c r="S455">
        <f t="shared" si="125"/>
        <v>245033.90232136764</v>
      </c>
      <c r="T455">
        <f t="shared" si="126"/>
        <v>244360.77134370813</v>
      </c>
      <c r="U455">
        <f t="shared" si="127"/>
        <v>243050.58500264233</v>
      </c>
      <c r="V455">
        <f t="shared" si="134"/>
        <v>1</v>
      </c>
      <c r="W455">
        <f t="shared" si="135"/>
        <v>0</v>
      </c>
      <c r="X455">
        <f t="shared" si="136"/>
        <v>0</v>
      </c>
      <c r="Y455">
        <f t="shared" si="137"/>
        <v>0</v>
      </c>
      <c r="Z455">
        <f t="shared" si="138"/>
        <v>0</v>
      </c>
      <c r="AA455">
        <f t="shared" si="139"/>
        <v>0</v>
      </c>
      <c r="AC455">
        <f t="shared" si="128"/>
        <v>246309.78737743627</v>
      </c>
      <c r="AD455">
        <f t="shared" si="129"/>
        <v>246087.62377834041</v>
      </c>
      <c r="AE455">
        <f t="shared" si="130"/>
        <v>245440.7877299668</v>
      </c>
      <c r="AF455">
        <f t="shared" si="131"/>
        <v>245033.90232136764</v>
      </c>
      <c r="AG455">
        <f t="shared" si="132"/>
        <v>244360.77134370813</v>
      </c>
      <c r="AH455">
        <f t="shared" si="133"/>
        <v>243050.58500264233</v>
      </c>
      <c r="AI455">
        <f t="shared" si="140"/>
        <v>246309.78737743627</v>
      </c>
    </row>
    <row r="456" spans="2:35" x14ac:dyDescent="0.3">
      <c r="B456">
        <v>413</v>
      </c>
      <c r="C456">
        <v>88233.826199999996</v>
      </c>
      <c r="D456">
        <v>86865.060599999997</v>
      </c>
      <c r="E456">
        <v>86823.3842</v>
      </c>
      <c r="F456">
        <v>86483.810500000007</v>
      </c>
      <c r="G456">
        <v>86535.727400000003</v>
      </c>
      <c r="H456">
        <v>86513.258000000002</v>
      </c>
      <c r="I456">
        <v>10.320804227843698</v>
      </c>
      <c r="J456">
        <v>10.307772782219134</v>
      </c>
      <c r="K456">
        <v>10.301302567936853</v>
      </c>
      <c r="L456">
        <v>10.296946816302546</v>
      </c>
      <c r="M456">
        <v>10.28781379542793</v>
      </c>
      <c r="N456">
        <v>10.277593692335904</v>
      </c>
      <c r="P456">
        <f t="shared" si="122"/>
        <v>221390.30063531094</v>
      </c>
      <c r="Q456">
        <f t="shared" si="123"/>
        <v>222368.12286657401</v>
      </c>
      <c r="R456">
        <f t="shared" si="124"/>
        <v>222215.69283810558</v>
      </c>
      <c r="S456">
        <f t="shared" si="125"/>
        <v>222424.59398907633</v>
      </c>
      <c r="T456">
        <f t="shared" si="126"/>
        <v>222098.68646283788</v>
      </c>
      <c r="U456">
        <f t="shared" si="127"/>
        <v>221814.55277007711</v>
      </c>
      <c r="V456">
        <f t="shared" si="134"/>
        <v>0</v>
      </c>
      <c r="W456">
        <f t="shared" si="135"/>
        <v>0</v>
      </c>
      <c r="X456">
        <f t="shared" si="136"/>
        <v>0</v>
      </c>
      <c r="Y456">
        <f t="shared" si="137"/>
        <v>1</v>
      </c>
      <c r="Z456">
        <f t="shared" si="138"/>
        <v>0</v>
      </c>
      <c r="AA456">
        <f t="shared" si="139"/>
        <v>0</v>
      </c>
      <c r="AC456">
        <f t="shared" si="128"/>
        <v>221390.30063531094</v>
      </c>
      <c r="AD456">
        <f t="shared" si="129"/>
        <v>222368.12286657401</v>
      </c>
      <c r="AE456">
        <f t="shared" si="130"/>
        <v>222215.69283810558</v>
      </c>
      <c r="AF456">
        <f t="shared" si="131"/>
        <v>222424.59398907633</v>
      </c>
      <c r="AG456">
        <f t="shared" si="132"/>
        <v>222098.68646283788</v>
      </c>
      <c r="AH456">
        <f t="shared" si="133"/>
        <v>221814.55277007711</v>
      </c>
      <c r="AI456">
        <f t="shared" si="140"/>
        <v>222424.59398907633</v>
      </c>
    </row>
    <row r="457" spans="2:35" x14ac:dyDescent="0.3">
      <c r="B457">
        <v>414</v>
      </c>
      <c r="C457">
        <v>77668.100099999996</v>
      </c>
      <c r="D457">
        <v>76712.354500000001</v>
      </c>
      <c r="E457">
        <v>76967.266600000003</v>
      </c>
      <c r="F457">
        <v>76901.441399999996</v>
      </c>
      <c r="G457">
        <v>77313.131399999998</v>
      </c>
      <c r="H457">
        <v>77493.287599999996</v>
      </c>
      <c r="I457">
        <v>10.754868866554995</v>
      </c>
      <c r="J457">
        <v>10.74446083981548</v>
      </c>
      <c r="K457">
        <v>10.738992429908457</v>
      </c>
      <c r="L457">
        <v>10.736053219665871</v>
      </c>
      <c r="M457">
        <v>10.726755289520941</v>
      </c>
      <c r="N457">
        <v>10.715901688520971</v>
      </c>
      <c r="P457">
        <f t="shared" si="122"/>
        <v>244977.96589664987</v>
      </c>
      <c r="Q457">
        <f t="shared" si="123"/>
        <v>245621.47069446434</v>
      </c>
      <c r="R457">
        <f t="shared" si="124"/>
        <v>245202.50629725368</v>
      </c>
      <c r="S457">
        <f t="shared" si="125"/>
        <v>245180.15518997615</v>
      </c>
      <c r="T457">
        <f t="shared" si="126"/>
        <v>244489.52728562825</v>
      </c>
      <c r="U457">
        <f t="shared" si="127"/>
        <v>243983.76305562916</v>
      </c>
      <c r="V457">
        <f t="shared" si="134"/>
        <v>0</v>
      </c>
      <c r="W457">
        <f t="shared" si="135"/>
        <v>1</v>
      </c>
      <c r="X457">
        <f t="shared" si="136"/>
        <v>0</v>
      </c>
      <c r="Y457">
        <f t="shared" si="137"/>
        <v>0</v>
      </c>
      <c r="Z457">
        <f t="shared" si="138"/>
        <v>0</v>
      </c>
      <c r="AA457">
        <f t="shared" si="139"/>
        <v>0</v>
      </c>
      <c r="AC457">
        <f t="shared" si="128"/>
        <v>244977.96589664987</v>
      </c>
      <c r="AD457">
        <f t="shared" si="129"/>
        <v>245621.47069446434</v>
      </c>
      <c r="AE457">
        <f t="shared" si="130"/>
        <v>245202.50629725368</v>
      </c>
      <c r="AF457">
        <f t="shared" si="131"/>
        <v>245180.15518997615</v>
      </c>
      <c r="AG457">
        <f t="shared" si="132"/>
        <v>244489.52728562825</v>
      </c>
      <c r="AH457">
        <f t="shared" si="133"/>
        <v>243983.76305562916</v>
      </c>
      <c r="AI457">
        <f t="shared" si="140"/>
        <v>245621.47069446434</v>
      </c>
    </row>
    <row r="458" spans="2:35" x14ac:dyDescent="0.3">
      <c r="B458">
        <v>415</v>
      </c>
      <c r="C458">
        <v>74671.4473</v>
      </c>
      <c r="D458">
        <v>73307.070600000006</v>
      </c>
      <c r="E458">
        <v>73267.791899999997</v>
      </c>
      <c r="F458">
        <v>73082.034400000004</v>
      </c>
      <c r="G458">
        <v>72878.607099999994</v>
      </c>
      <c r="H458">
        <v>72977.099300000002</v>
      </c>
      <c r="I458">
        <v>8.6468523485420281</v>
      </c>
      <c r="J458">
        <v>8.6191366626746682</v>
      </c>
      <c r="K458">
        <v>8.6014404773005566</v>
      </c>
      <c r="L458">
        <v>8.5936760155438989</v>
      </c>
      <c r="M458">
        <v>8.5682880347778312</v>
      </c>
      <c r="N458">
        <v>8.5521946648735998</v>
      </c>
      <c r="P458">
        <f t="shared" si="122"/>
        <v>184734.12315626084</v>
      </c>
      <c r="Q458">
        <f t="shared" si="123"/>
        <v>185267.02928024004</v>
      </c>
      <c r="R458">
        <f t="shared" si="124"/>
        <v>184775.42241901672</v>
      </c>
      <c r="S458">
        <f t="shared" si="125"/>
        <v>184728.24606631696</v>
      </c>
      <c r="T458">
        <f t="shared" si="126"/>
        <v>184170.03394333494</v>
      </c>
      <c r="U458">
        <f t="shared" si="127"/>
        <v>183588.740646208</v>
      </c>
      <c r="V458">
        <f t="shared" si="134"/>
        <v>0</v>
      </c>
      <c r="W458">
        <f t="shared" si="135"/>
        <v>1</v>
      </c>
      <c r="X458">
        <f t="shared" si="136"/>
        <v>0</v>
      </c>
      <c r="Y458">
        <f t="shared" si="137"/>
        <v>0</v>
      </c>
      <c r="Z458">
        <f t="shared" si="138"/>
        <v>0</v>
      </c>
      <c r="AA458">
        <f t="shared" si="139"/>
        <v>0</v>
      </c>
      <c r="AC458">
        <f t="shared" si="128"/>
        <v>184734.12315626084</v>
      </c>
      <c r="AD458">
        <f t="shared" si="129"/>
        <v>185267.02928024004</v>
      </c>
      <c r="AE458">
        <f t="shared" si="130"/>
        <v>184775.42241901672</v>
      </c>
      <c r="AF458">
        <f t="shared" si="131"/>
        <v>184728.24606631696</v>
      </c>
      <c r="AG458">
        <f t="shared" si="132"/>
        <v>184170.03394333494</v>
      </c>
      <c r="AH458">
        <f t="shared" si="133"/>
        <v>183588.740646208</v>
      </c>
      <c r="AI458">
        <f t="shared" si="140"/>
        <v>185267.02928024004</v>
      </c>
    </row>
    <row r="459" spans="2:35" x14ac:dyDescent="0.3">
      <c r="B459">
        <v>416</v>
      </c>
      <c r="C459">
        <v>83536.862399999998</v>
      </c>
      <c r="D459">
        <v>82852.697</v>
      </c>
      <c r="E459">
        <v>83297.999200000006</v>
      </c>
      <c r="F459">
        <v>83269.526199999993</v>
      </c>
      <c r="G459">
        <v>83587.986999999994</v>
      </c>
      <c r="H459">
        <v>84084.154399999999</v>
      </c>
      <c r="I459">
        <v>10.792172065077303</v>
      </c>
      <c r="J459">
        <v>10.768516813074548</v>
      </c>
      <c r="K459">
        <v>10.756277669786035</v>
      </c>
      <c r="L459">
        <v>10.738030966413193</v>
      </c>
      <c r="M459">
        <v>10.724093773147072</v>
      </c>
      <c r="N459">
        <v>10.710688602097157</v>
      </c>
      <c r="P459">
        <f t="shared" si="122"/>
        <v>240228.29955231911</v>
      </c>
      <c r="Q459">
        <f t="shared" si="123"/>
        <v>240202.80739223649</v>
      </c>
      <c r="R459">
        <f t="shared" si="124"/>
        <v>239390.33089358103</v>
      </c>
      <c r="S459">
        <f t="shared" si="125"/>
        <v>238871.40279239582</v>
      </c>
      <c r="T459">
        <f t="shared" si="126"/>
        <v>238134.82619441216</v>
      </c>
      <c r="U459">
        <f t="shared" si="127"/>
        <v>237236.50366291474</v>
      </c>
      <c r="V459">
        <f t="shared" si="134"/>
        <v>1</v>
      </c>
      <c r="W459">
        <f t="shared" si="135"/>
        <v>0</v>
      </c>
      <c r="X459">
        <f t="shared" si="136"/>
        <v>0</v>
      </c>
      <c r="Y459">
        <f t="shared" si="137"/>
        <v>0</v>
      </c>
      <c r="Z459">
        <f t="shared" si="138"/>
        <v>0</v>
      </c>
      <c r="AA459">
        <f t="shared" si="139"/>
        <v>0</v>
      </c>
      <c r="AC459">
        <f t="shared" si="128"/>
        <v>240228.29955231911</v>
      </c>
      <c r="AD459">
        <f t="shared" si="129"/>
        <v>240202.80739223649</v>
      </c>
      <c r="AE459">
        <f t="shared" si="130"/>
        <v>239390.33089358103</v>
      </c>
      <c r="AF459">
        <f t="shared" si="131"/>
        <v>238871.40279239582</v>
      </c>
      <c r="AG459">
        <f t="shared" si="132"/>
        <v>238134.82619441216</v>
      </c>
      <c r="AH459">
        <f t="shared" si="133"/>
        <v>237236.50366291474</v>
      </c>
      <c r="AI459">
        <f t="shared" si="140"/>
        <v>240228.29955231911</v>
      </c>
    </row>
    <row r="460" spans="2:35" x14ac:dyDescent="0.3">
      <c r="B460">
        <v>417</v>
      </c>
      <c r="C460">
        <v>89945.2071</v>
      </c>
      <c r="D460">
        <v>88052.035600000003</v>
      </c>
      <c r="E460">
        <v>87592.709400000007</v>
      </c>
      <c r="F460">
        <v>87086.478600000002</v>
      </c>
      <c r="G460">
        <v>86885.225099999996</v>
      </c>
      <c r="H460">
        <v>86332.361300000004</v>
      </c>
      <c r="I460">
        <v>10.737641533947627</v>
      </c>
      <c r="J460">
        <v>10.70552053175402</v>
      </c>
      <c r="K460">
        <v>10.681713710396348</v>
      </c>
      <c r="L460">
        <v>10.664469164049791</v>
      </c>
      <c r="M460">
        <v>10.64922563182547</v>
      </c>
      <c r="N460">
        <v>10.620006676116036</v>
      </c>
      <c r="P460">
        <f t="shared" si="122"/>
        <v>232184.03891842882</v>
      </c>
      <c r="Q460">
        <f t="shared" si="123"/>
        <v>233113.58035262063</v>
      </c>
      <c r="R460">
        <f t="shared" si="124"/>
        <v>232858.70191189047</v>
      </c>
      <c r="S460">
        <f t="shared" si="125"/>
        <v>232847.59632149371</v>
      </c>
      <c r="T460">
        <f t="shared" si="126"/>
        <v>232591.54385476408</v>
      </c>
      <c r="U460">
        <f t="shared" si="127"/>
        <v>232267.83898348111</v>
      </c>
      <c r="V460">
        <f t="shared" si="134"/>
        <v>0</v>
      </c>
      <c r="W460">
        <f t="shared" si="135"/>
        <v>1</v>
      </c>
      <c r="X460">
        <f t="shared" si="136"/>
        <v>0</v>
      </c>
      <c r="Y460">
        <f t="shared" si="137"/>
        <v>0</v>
      </c>
      <c r="Z460">
        <f t="shared" si="138"/>
        <v>0</v>
      </c>
      <c r="AA460">
        <f t="shared" si="139"/>
        <v>0</v>
      </c>
      <c r="AC460">
        <f t="shared" si="128"/>
        <v>232184.03891842882</v>
      </c>
      <c r="AD460">
        <f t="shared" si="129"/>
        <v>233113.58035262063</v>
      </c>
      <c r="AE460">
        <f t="shared" si="130"/>
        <v>232858.70191189047</v>
      </c>
      <c r="AF460">
        <f t="shared" si="131"/>
        <v>232847.59632149371</v>
      </c>
      <c r="AG460">
        <f t="shared" si="132"/>
        <v>232591.54385476408</v>
      </c>
      <c r="AH460">
        <f t="shared" si="133"/>
        <v>232267.83898348111</v>
      </c>
      <c r="AI460">
        <f t="shared" si="140"/>
        <v>233113.58035262063</v>
      </c>
    </row>
    <row r="461" spans="2:35" x14ac:dyDescent="0.3">
      <c r="B461">
        <v>418</v>
      </c>
      <c r="C461">
        <v>79287.827099999995</v>
      </c>
      <c r="D461">
        <v>78542.886700000003</v>
      </c>
      <c r="E461">
        <v>78875.894899999999</v>
      </c>
      <c r="F461">
        <v>79061.462799999994</v>
      </c>
      <c r="G461">
        <v>79234.973599999998</v>
      </c>
      <c r="H461">
        <v>79660.560200000007</v>
      </c>
      <c r="I461">
        <v>9.6706661687452442</v>
      </c>
      <c r="J461">
        <v>9.670074532969684</v>
      </c>
      <c r="K461">
        <v>9.6703991295087874</v>
      </c>
      <c r="L461">
        <v>9.6686063035196916</v>
      </c>
      <c r="M461">
        <v>9.6691050364287268</v>
      </c>
      <c r="N461">
        <v>9.6680191086125742</v>
      </c>
      <c r="P461">
        <f t="shared" si="122"/>
        <v>210832.15796235733</v>
      </c>
      <c r="Q461">
        <f t="shared" si="123"/>
        <v>211559.34928909052</v>
      </c>
      <c r="R461">
        <f t="shared" si="124"/>
        <v>211236.07898526359</v>
      </c>
      <c r="S461">
        <f t="shared" si="125"/>
        <v>210996.72630559077</v>
      </c>
      <c r="T461">
        <f t="shared" si="126"/>
        <v>210838.17749286178</v>
      </c>
      <c r="U461">
        <f t="shared" si="127"/>
        <v>210380.0130583772</v>
      </c>
      <c r="V461">
        <f t="shared" si="134"/>
        <v>0</v>
      </c>
      <c r="W461">
        <f t="shared" si="135"/>
        <v>1</v>
      </c>
      <c r="X461">
        <f t="shared" si="136"/>
        <v>0</v>
      </c>
      <c r="Y461">
        <f t="shared" si="137"/>
        <v>0</v>
      </c>
      <c r="Z461">
        <f t="shared" si="138"/>
        <v>0</v>
      </c>
      <c r="AA461">
        <f t="shared" si="139"/>
        <v>0</v>
      </c>
      <c r="AC461">
        <f t="shared" si="128"/>
        <v>210832.15796235733</v>
      </c>
      <c r="AD461">
        <f t="shared" si="129"/>
        <v>211559.34928909052</v>
      </c>
      <c r="AE461">
        <f t="shared" si="130"/>
        <v>211236.07898526359</v>
      </c>
      <c r="AF461">
        <f t="shared" si="131"/>
        <v>210996.72630559077</v>
      </c>
      <c r="AG461">
        <f t="shared" si="132"/>
        <v>210838.17749286178</v>
      </c>
      <c r="AH461">
        <f t="shared" si="133"/>
        <v>210380.0130583772</v>
      </c>
      <c r="AI461">
        <f t="shared" si="140"/>
        <v>211559.34928909052</v>
      </c>
    </row>
    <row r="462" spans="2:35" x14ac:dyDescent="0.3">
      <c r="B462">
        <v>419</v>
      </c>
      <c r="C462">
        <v>73922.852599999998</v>
      </c>
      <c r="D462">
        <v>73041.643500000006</v>
      </c>
      <c r="E462">
        <v>73407.4139</v>
      </c>
      <c r="F462">
        <v>73350.824500000002</v>
      </c>
      <c r="G462">
        <v>73724.911500000002</v>
      </c>
      <c r="H462">
        <v>74130.574299999993</v>
      </c>
      <c r="I462">
        <v>10.512586574147448</v>
      </c>
      <c r="J462">
        <v>10.458710504413041</v>
      </c>
      <c r="K462">
        <v>10.41092538090157</v>
      </c>
      <c r="L462">
        <v>10.408629614674437</v>
      </c>
      <c r="M462">
        <v>10.351368554676847</v>
      </c>
      <c r="N462">
        <v>10.313432721371528</v>
      </c>
      <c r="P462">
        <f t="shared" si="122"/>
        <v>241454.74462442345</v>
      </c>
      <c r="Q462">
        <f t="shared" si="123"/>
        <v>240719.67163239123</v>
      </c>
      <c r="R462">
        <f t="shared" si="124"/>
        <v>238920.34752704715</v>
      </c>
      <c r="S462">
        <f t="shared" si="125"/>
        <v>238908.06394023314</v>
      </c>
      <c r="T462">
        <f t="shared" si="126"/>
        <v>236816.14514030545</v>
      </c>
      <c r="U462">
        <f t="shared" si="127"/>
        <v>235272.40734114585</v>
      </c>
      <c r="V462">
        <f t="shared" si="134"/>
        <v>1</v>
      </c>
      <c r="W462">
        <f t="shared" si="135"/>
        <v>0</v>
      </c>
      <c r="X462">
        <f t="shared" si="136"/>
        <v>0</v>
      </c>
      <c r="Y462">
        <f t="shared" si="137"/>
        <v>0</v>
      </c>
      <c r="Z462">
        <f t="shared" si="138"/>
        <v>0</v>
      </c>
      <c r="AA462">
        <f t="shared" si="139"/>
        <v>0</v>
      </c>
      <c r="AC462">
        <f t="shared" si="128"/>
        <v>241454.74462442345</v>
      </c>
      <c r="AD462">
        <f t="shared" si="129"/>
        <v>240719.67163239123</v>
      </c>
      <c r="AE462">
        <f t="shared" si="130"/>
        <v>238920.34752704715</v>
      </c>
      <c r="AF462">
        <f t="shared" si="131"/>
        <v>238908.06394023314</v>
      </c>
      <c r="AG462">
        <f t="shared" si="132"/>
        <v>236816.14514030545</v>
      </c>
      <c r="AH462">
        <f t="shared" si="133"/>
        <v>235272.40734114585</v>
      </c>
      <c r="AI462">
        <f t="shared" si="140"/>
        <v>241454.74462442345</v>
      </c>
    </row>
    <row r="463" spans="2:35" x14ac:dyDescent="0.3">
      <c r="B463">
        <v>420</v>
      </c>
      <c r="C463">
        <v>75205.584000000003</v>
      </c>
      <c r="D463">
        <v>74934.816099999996</v>
      </c>
      <c r="E463">
        <v>75434.566600000006</v>
      </c>
      <c r="F463">
        <v>75461.904599999994</v>
      </c>
      <c r="G463">
        <v>76070.154599999994</v>
      </c>
      <c r="H463">
        <v>77050.494300000006</v>
      </c>
      <c r="I463">
        <v>10.568848985517578</v>
      </c>
      <c r="J463">
        <v>10.543708212499263</v>
      </c>
      <c r="K463">
        <v>10.531244895982805</v>
      </c>
      <c r="L463">
        <v>10.522665083342718</v>
      </c>
      <c r="M463">
        <v>10.508274190154602</v>
      </c>
      <c r="N463">
        <v>10.487520526635285</v>
      </c>
      <c r="P463">
        <f t="shared" si="122"/>
        <v>241859.88556552734</v>
      </c>
      <c r="Q463">
        <f t="shared" si="123"/>
        <v>241376.43027497787</v>
      </c>
      <c r="R463">
        <f t="shared" si="124"/>
        <v>240502.78027948411</v>
      </c>
      <c r="S463">
        <f t="shared" si="125"/>
        <v>240218.0479002815</v>
      </c>
      <c r="T463">
        <f t="shared" si="126"/>
        <v>239178.07110463805</v>
      </c>
      <c r="U463">
        <f t="shared" si="127"/>
        <v>237575.1214990585</v>
      </c>
      <c r="V463">
        <f t="shared" si="134"/>
        <v>1</v>
      </c>
      <c r="W463">
        <f t="shared" si="135"/>
        <v>0</v>
      </c>
      <c r="X463">
        <f t="shared" si="136"/>
        <v>0</v>
      </c>
      <c r="Y463">
        <f t="shared" si="137"/>
        <v>0</v>
      </c>
      <c r="Z463">
        <f t="shared" si="138"/>
        <v>0</v>
      </c>
      <c r="AA463">
        <f t="shared" si="139"/>
        <v>0</v>
      </c>
      <c r="AC463">
        <f t="shared" si="128"/>
        <v>241859.88556552734</v>
      </c>
      <c r="AD463">
        <f t="shared" si="129"/>
        <v>241376.43027497787</v>
      </c>
      <c r="AE463">
        <f t="shared" si="130"/>
        <v>240502.78027948411</v>
      </c>
      <c r="AF463">
        <f t="shared" si="131"/>
        <v>240218.0479002815</v>
      </c>
      <c r="AG463">
        <f t="shared" si="132"/>
        <v>239178.07110463805</v>
      </c>
      <c r="AH463">
        <f t="shared" si="133"/>
        <v>237575.1214990585</v>
      </c>
      <c r="AI463">
        <f t="shared" si="140"/>
        <v>241859.88556552734</v>
      </c>
    </row>
    <row r="464" spans="2:35" x14ac:dyDescent="0.3">
      <c r="B464">
        <v>421</v>
      </c>
      <c r="C464">
        <v>71017.792499999996</v>
      </c>
      <c r="D464">
        <v>69659.050099999993</v>
      </c>
      <c r="E464">
        <v>69704.411500000002</v>
      </c>
      <c r="F464">
        <v>69450.198699999994</v>
      </c>
      <c r="G464">
        <v>69438.919200000004</v>
      </c>
      <c r="H464">
        <v>69402.548500000004</v>
      </c>
      <c r="I464">
        <v>9.4793486089252248</v>
      </c>
      <c r="J464">
        <v>9.4486696671435055</v>
      </c>
      <c r="K464">
        <v>9.4267754389609291</v>
      </c>
      <c r="L464">
        <v>9.4205089943202172</v>
      </c>
      <c r="M464">
        <v>9.3964763897114061</v>
      </c>
      <c r="N464">
        <v>9.3685901954623265</v>
      </c>
      <c r="P464">
        <f t="shared" si="122"/>
        <v>213362.66576775676</v>
      </c>
      <c r="Q464">
        <f t="shared" si="123"/>
        <v>213801.03991430515</v>
      </c>
      <c r="R464">
        <f t="shared" si="124"/>
        <v>213098.85166882788</v>
      </c>
      <c r="S464">
        <f t="shared" si="125"/>
        <v>213165.07112960651</v>
      </c>
      <c r="T464">
        <f t="shared" si="126"/>
        <v>212455.37249134219</v>
      </c>
      <c r="U464">
        <f t="shared" si="127"/>
        <v>211655.1573638698</v>
      </c>
      <c r="V464">
        <f t="shared" si="134"/>
        <v>0</v>
      </c>
      <c r="W464">
        <f t="shared" si="135"/>
        <v>1</v>
      </c>
      <c r="X464">
        <f t="shared" si="136"/>
        <v>0</v>
      </c>
      <c r="Y464">
        <f t="shared" si="137"/>
        <v>0</v>
      </c>
      <c r="Z464">
        <f t="shared" si="138"/>
        <v>0</v>
      </c>
      <c r="AA464">
        <f t="shared" si="139"/>
        <v>0</v>
      </c>
      <c r="AC464">
        <f t="shared" si="128"/>
        <v>213362.66576775676</v>
      </c>
      <c r="AD464">
        <f t="shared" si="129"/>
        <v>213801.03991430515</v>
      </c>
      <c r="AE464">
        <f t="shared" si="130"/>
        <v>213098.85166882788</v>
      </c>
      <c r="AF464">
        <f t="shared" si="131"/>
        <v>213165.07112960651</v>
      </c>
      <c r="AG464">
        <f t="shared" si="132"/>
        <v>212455.37249134219</v>
      </c>
      <c r="AH464">
        <f t="shared" si="133"/>
        <v>211655.1573638698</v>
      </c>
      <c r="AI464">
        <f t="shared" si="140"/>
        <v>213801.03991430515</v>
      </c>
    </row>
    <row r="465" spans="2:35" x14ac:dyDescent="0.3">
      <c r="B465">
        <v>422</v>
      </c>
      <c r="C465">
        <v>81841.245999999999</v>
      </c>
      <c r="D465">
        <v>80510.909899999999</v>
      </c>
      <c r="E465">
        <v>80590.479900000006</v>
      </c>
      <c r="F465">
        <v>80341.229600000006</v>
      </c>
      <c r="G465">
        <v>80462.950400000002</v>
      </c>
      <c r="H465">
        <v>80300.243900000001</v>
      </c>
      <c r="I465">
        <v>11.344465416146255</v>
      </c>
      <c r="J465">
        <v>11.281844144269456</v>
      </c>
      <c r="K465">
        <v>11.243635336295602</v>
      </c>
      <c r="L465">
        <v>11.222262997703567</v>
      </c>
      <c r="M465">
        <v>11.177024599128199</v>
      </c>
      <c r="N465">
        <v>11.119093117909012</v>
      </c>
      <c r="P465">
        <f t="shared" si="122"/>
        <v>258492.71648438764</v>
      </c>
      <c r="Q465">
        <f t="shared" si="123"/>
        <v>257944.41442808372</v>
      </c>
      <c r="R465">
        <f t="shared" si="124"/>
        <v>256718.58018886807</v>
      </c>
      <c r="S465">
        <f t="shared" si="125"/>
        <v>256326.66033110698</v>
      </c>
      <c r="T465">
        <f t="shared" si="126"/>
        <v>254847.78757384597</v>
      </c>
      <c r="U465">
        <f t="shared" si="127"/>
        <v>253272.54963727033</v>
      </c>
      <c r="V465">
        <f t="shared" si="134"/>
        <v>1</v>
      </c>
      <c r="W465">
        <f t="shared" si="135"/>
        <v>0</v>
      </c>
      <c r="X465">
        <f t="shared" si="136"/>
        <v>0</v>
      </c>
      <c r="Y465">
        <f t="shared" si="137"/>
        <v>0</v>
      </c>
      <c r="Z465">
        <f t="shared" si="138"/>
        <v>0</v>
      </c>
      <c r="AA465">
        <f t="shared" si="139"/>
        <v>0</v>
      </c>
      <c r="AC465">
        <f t="shared" si="128"/>
        <v>258492.71648438764</v>
      </c>
      <c r="AD465">
        <f t="shared" si="129"/>
        <v>257944.41442808372</v>
      </c>
      <c r="AE465">
        <f t="shared" si="130"/>
        <v>256718.58018886807</v>
      </c>
      <c r="AF465">
        <f t="shared" si="131"/>
        <v>256326.66033110698</v>
      </c>
      <c r="AG465">
        <f t="shared" si="132"/>
        <v>254847.78757384597</v>
      </c>
      <c r="AH465">
        <f t="shared" si="133"/>
        <v>253272.54963727033</v>
      </c>
      <c r="AI465">
        <f t="shared" si="140"/>
        <v>258492.71648438764</v>
      </c>
    </row>
    <row r="466" spans="2:35" x14ac:dyDescent="0.3">
      <c r="B466">
        <v>423</v>
      </c>
      <c r="C466">
        <v>78056.108699999997</v>
      </c>
      <c r="D466">
        <v>76350.375100000005</v>
      </c>
      <c r="E466">
        <v>76259.399000000005</v>
      </c>
      <c r="F466">
        <v>75724.893200000006</v>
      </c>
      <c r="G466">
        <v>75513.615399999995</v>
      </c>
      <c r="H466">
        <v>75324.365000000005</v>
      </c>
      <c r="I466">
        <v>10.038023454775965</v>
      </c>
      <c r="J466">
        <v>9.9985927880707539</v>
      </c>
      <c r="K466">
        <v>9.9762498707444429</v>
      </c>
      <c r="L466">
        <v>9.958712922810518</v>
      </c>
      <c r="M466">
        <v>9.9352129816374504</v>
      </c>
      <c r="N466">
        <v>9.9022220811137043</v>
      </c>
      <c r="P466">
        <f t="shared" si="122"/>
        <v>223084.59494327899</v>
      </c>
      <c r="Q466">
        <f t="shared" si="123"/>
        <v>223607.40854212263</v>
      </c>
      <c r="R466">
        <f t="shared" si="124"/>
        <v>223028.09712233327</v>
      </c>
      <c r="S466">
        <f t="shared" si="125"/>
        <v>223036.49448431557</v>
      </c>
      <c r="T466">
        <f t="shared" si="126"/>
        <v>222542.77404912352</v>
      </c>
      <c r="U466">
        <f t="shared" si="127"/>
        <v>221742.29743341112</v>
      </c>
      <c r="V466">
        <f t="shared" si="134"/>
        <v>0</v>
      </c>
      <c r="W466">
        <f t="shared" si="135"/>
        <v>1</v>
      </c>
      <c r="X466">
        <f t="shared" si="136"/>
        <v>0</v>
      </c>
      <c r="Y466">
        <f t="shared" si="137"/>
        <v>0</v>
      </c>
      <c r="Z466">
        <f t="shared" si="138"/>
        <v>0</v>
      </c>
      <c r="AA466">
        <f t="shared" si="139"/>
        <v>0</v>
      </c>
      <c r="AC466">
        <f t="shared" si="128"/>
        <v>223084.59494327899</v>
      </c>
      <c r="AD466">
        <f t="shared" si="129"/>
        <v>223607.40854212263</v>
      </c>
      <c r="AE466">
        <f t="shared" si="130"/>
        <v>223028.09712233327</v>
      </c>
      <c r="AF466">
        <f t="shared" si="131"/>
        <v>223036.49448431557</v>
      </c>
      <c r="AG466">
        <f t="shared" si="132"/>
        <v>222542.77404912352</v>
      </c>
      <c r="AH466">
        <f t="shared" si="133"/>
        <v>221742.29743341112</v>
      </c>
      <c r="AI466">
        <f t="shared" si="140"/>
        <v>223607.40854212263</v>
      </c>
    </row>
    <row r="467" spans="2:35" x14ac:dyDescent="0.3">
      <c r="B467">
        <v>424</v>
      </c>
      <c r="C467">
        <v>80938.718500000003</v>
      </c>
      <c r="D467">
        <v>80310.614199999996</v>
      </c>
      <c r="E467">
        <v>80893.803</v>
      </c>
      <c r="F467">
        <v>81026.520300000004</v>
      </c>
      <c r="G467">
        <v>81496.933600000004</v>
      </c>
      <c r="H467">
        <v>82051.207899999994</v>
      </c>
      <c r="I467">
        <v>10.283481503057823</v>
      </c>
      <c r="J467">
        <v>10.275571838389409</v>
      </c>
      <c r="K467">
        <v>10.268695449215464</v>
      </c>
      <c r="L467">
        <v>10.265707421458464</v>
      </c>
      <c r="M467">
        <v>10.25979069861395</v>
      </c>
      <c r="N467">
        <v>10.253950989728398</v>
      </c>
      <c r="P467">
        <f t="shared" si="122"/>
        <v>227565.72659173468</v>
      </c>
      <c r="Q467">
        <f t="shared" si="123"/>
        <v>227956.54095168225</v>
      </c>
      <c r="R467">
        <f t="shared" si="124"/>
        <v>227167.06047646393</v>
      </c>
      <c r="S467">
        <f t="shared" si="125"/>
        <v>226944.70234375392</v>
      </c>
      <c r="T467">
        <f t="shared" si="126"/>
        <v>226296.78735841851</v>
      </c>
      <c r="U467">
        <f t="shared" si="127"/>
        <v>225567.32179185195</v>
      </c>
      <c r="V467">
        <f t="shared" si="134"/>
        <v>0</v>
      </c>
      <c r="W467">
        <f t="shared" si="135"/>
        <v>1</v>
      </c>
      <c r="X467">
        <f t="shared" si="136"/>
        <v>0</v>
      </c>
      <c r="Y467">
        <f t="shared" si="137"/>
        <v>0</v>
      </c>
      <c r="Z467">
        <f t="shared" si="138"/>
        <v>0</v>
      </c>
      <c r="AA467">
        <f t="shared" si="139"/>
        <v>0</v>
      </c>
      <c r="AC467">
        <f t="shared" si="128"/>
        <v>227565.72659173468</v>
      </c>
      <c r="AD467">
        <f t="shared" si="129"/>
        <v>227956.54095168225</v>
      </c>
      <c r="AE467">
        <f t="shared" si="130"/>
        <v>227167.06047646393</v>
      </c>
      <c r="AF467">
        <f t="shared" si="131"/>
        <v>226944.70234375392</v>
      </c>
      <c r="AG467">
        <f t="shared" si="132"/>
        <v>226296.78735841851</v>
      </c>
      <c r="AH467">
        <f t="shared" si="133"/>
        <v>225567.32179185195</v>
      </c>
      <c r="AI467">
        <f t="shared" si="140"/>
        <v>227956.54095168225</v>
      </c>
    </row>
    <row r="468" spans="2:35" x14ac:dyDescent="0.3">
      <c r="B468">
        <v>425</v>
      </c>
      <c r="C468">
        <v>80422.574399999998</v>
      </c>
      <c r="D468">
        <v>78978.902400000006</v>
      </c>
      <c r="E468">
        <v>78979.571400000001</v>
      </c>
      <c r="F468">
        <v>78806.322</v>
      </c>
      <c r="G468">
        <v>78752.415900000007</v>
      </c>
      <c r="H468">
        <v>78659.929799999998</v>
      </c>
      <c r="I468">
        <v>9.2451429568950143</v>
      </c>
      <c r="J468">
        <v>9.2339324358743333</v>
      </c>
      <c r="K468">
        <v>9.226936744644636</v>
      </c>
      <c r="L468">
        <v>9.2199631257725141</v>
      </c>
      <c r="M468">
        <v>9.216354414654937</v>
      </c>
      <c r="N468">
        <v>9.2065573624067323</v>
      </c>
      <c r="P468">
        <f t="shared" si="122"/>
        <v>196931.71430685045</v>
      </c>
      <c r="Q468">
        <f t="shared" si="123"/>
        <v>198039.07067622995</v>
      </c>
      <c r="R468">
        <f t="shared" si="124"/>
        <v>197828.53093933908</v>
      </c>
      <c r="S468">
        <f t="shared" si="125"/>
        <v>197792.57177317544</v>
      </c>
      <c r="T468">
        <f t="shared" si="126"/>
        <v>197738.21653964807</v>
      </c>
      <c r="U468">
        <f t="shared" si="127"/>
        <v>197536.79107220197</v>
      </c>
      <c r="V468">
        <f t="shared" si="134"/>
        <v>0</v>
      </c>
      <c r="W468">
        <f t="shared" si="135"/>
        <v>1</v>
      </c>
      <c r="X468">
        <f t="shared" si="136"/>
        <v>0</v>
      </c>
      <c r="Y468">
        <f t="shared" si="137"/>
        <v>0</v>
      </c>
      <c r="Z468">
        <f t="shared" si="138"/>
        <v>0</v>
      </c>
      <c r="AA468">
        <f t="shared" si="139"/>
        <v>0</v>
      </c>
      <c r="AC468">
        <f t="shared" si="128"/>
        <v>196931.71430685045</v>
      </c>
      <c r="AD468">
        <f t="shared" si="129"/>
        <v>198039.07067622995</v>
      </c>
      <c r="AE468">
        <f t="shared" si="130"/>
        <v>197828.53093933908</v>
      </c>
      <c r="AF468">
        <f t="shared" si="131"/>
        <v>197792.57177317544</v>
      </c>
      <c r="AG468">
        <f t="shared" si="132"/>
        <v>197738.21653964807</v>
      </c>
      <c r="AH468">
        <f t="shared" si="133"/>
        <v>197536.79107220197</v>
      </c>
      <c r="AI468">
        <f t="shared" si="140"/>
        <v>198039.07067622995</v>
      </c>
    </row>
    <row r="469" spans="2:35" x14ac:dyDescent="0.3">
      <c r="B469">
        <v>426</v>
      </c>
      <c r="C469">
        <v>74786.686700000006</v>
      </c>
      <c r="D469">
        <v>74454.422600000005</v>
      </c>
      <c r="E469">
        <v>75249.914499999999</v>
      </c>
      <c r="F469">
        <v>75192.320800000001</v>
      </c>
      <c r="G469">
        <v>76024.954800000007</v>
      </c>
      <c r="H469">
        <v>76748.847800000003</v>
      </c>
      <c r="I469">
        <v>10.312044430193916</v>
      </c>
      <c r="J469">
        <v>10.276734809738921</v>
      </c>
      <c r="K469">
        <v>10.246949489381564</v>
      </c>
      <c r="L469">
        <v>10.237529930496317</v>
      </c>
      <c r="M469">
        <v>10.212873927874144</v>
      </c>
      <c r="N469">
        <v>10.182909623991401</v>
      </c>
      <c r="P469">
        <f t="shared" si="122"/>
        <v>234574.64620581747</v>
      </c>
      <c r="Q469">
        <f t="shared" si="123"/>
        <v>233847.62169216765</v>
      </c>
      <c r="R469">
        <f t="shared" si="124"/>
        <v>232158.57018144691</v>
      </c>
      <c r="S469">
        <f t="shared" si="125"/>
        <v>231933.57711488951</v>
      </c>
      <c r="T469">
        <f t="shared" si="126"/>
        <v>230361.26303622429</v>
      </c>
      <c r="U469">
        <f t="shared" si="127"/>
        <v>228738.44091974205</v>
      </c>
      <c r="V469">
        <f t="shared" si="134"/>
        <v>1</v>
      </c>
      <c r="W469">
        <f t="shared" si="135"/>
        <v>0</v>
      </c>
      <c r="X469">
        <f t="shared" si="136"/>
        <v>0</v>
      </c>
      <c r="Y469">
        <f t="shared" si="137"/>
        <v>0</v>
      </c>
      <c r="Z469">
        <f t="shared" si="138"/>
        <v>0</v>
      </c>
      <c r="AA469">
        <f t="shared" si="139"/>
        <v>0</v>
      </c>
      <c r="AC469">
        <f t="shared" si="128"/>
        <v>234574.64620581747</v>
      </c>
      <c r="AD469">
        <f t="shared" si="129"/>
        <v>233847.62169216765</v>
      </c>
      <c r="AE469">
        <f t="shared" si="130"/>
        <v>232158.57018144691</v>
      </c>
      <c r="AF469">
        <f t="shared" si="131"/>
        <v>231933.57711488951</v>
      </c>
      <c r="AG469">
        <f t="shared" si="132"/>
        <v>230361.26303622429</v>
      </c>
      <c r="AH469">
        <f t="shared" si="133"/>
        <v>228738.44091974205</v>
      </c>
      <c r="AI469">
        <f t="shared" si="140"/>
        <v>234574.64620581747</v>
      </c>
    </row>
    <row r="470" spans="2:35" x14ac:dyDescent="0.3">
      <c r="B470">
        <v>427</v>
      </c>
      <c r="C470">
        <v>73364.448099999994</v>
      </c>
      <c r="D470">
        <v>73048.466799999995</v>
      </c>
      <c r="E470">
        <v>73345.659799999994</v>
      </c>
      <c r="F470">
        <v>73521.531199999998</v>
      </c>
      <c r="G470">
        <v>74160.117800000007</v>
      </c>
      <c r="H470">
        <v>74819.463199999998</v>
      </c>
      <c r="I470">
        <v>10.444656508345835</v>
      </c>
      <c r="J470">
        <v>10.424573648497452</v>
      </c>
      <c r="K470">
        <v>10.408072937369594</v>
      </c>
      <c r="L470">
        <v>10.401816194658242</v>
      </c>
      <c r="M470">
        <v>10.382591129364018</v>
      </c>
      <c r="N470">
        <v>10.360779082878123</v>
      </c>
      <c r="P470">
        <f t="shared" si="122"/>
        <v>239975.24715037504</v>
      </c>
      <c r="Q470">
        <f t="shared" si="123"/>
        <v>239688.74265492358</v>
      </c>
      <c r="R470">
        <f t="shared" si="124"/>
        <v>238896.52832108786</v>
      </c>
      <c r="S470">
        <f t="shared" si="125"/>
        <v>238532.95463974724</v>
      </c>
      <c r="T470">
        <f t="shared" si="126"/>
        <v>237317.6160809205</v>
      </c>
      <c r="U470">
        <f t="shared" si="127"/>
        <v>236003.90928634367</v>
      </c>
      <c r="V470">
        <f t="shared" si="134"/>
        <v>1</v>
      </c>
      <c r="W470">
        <f t="shared" si="135"/>
        <v>0</v>
      </c>
      <c r="X470">
        <f t="shared" si="136"/>
        <v>0</v>
      </c>
      <c r="Y470">
        <f t="shared" si="137"/>
        <v>0</v>
      </c>
      <c r="Z470">
        <f t="shared" si="138"/>
        <v>0</v>
      </c>
      <c r="AA470">
        <f t="shared" si="139"/>
        <v>0</v>
      </c>
      <c r="AC470">
        <f t="shared" si="128"/>
        <v>239975.24715037504</v>
      </c>
      <c r="AD470">
        <f t="shared" si="129"/>
        <v>239688.74265492358</v>
      </c>
      <c r="AE470">
        <f t="shared" si="130"/>
        <v>238896.52832108786</v>
      </c>
      <c r="AF470">
        <f t="shared" si="131"/>
        <v>238532.95463974724</v>
      </c>
      <c r="AG470">
        <f t="shared" si="132"/>
        <v>237317.6160809205</v>
      </c>
      <c r="AH470">
        <f t="shared" si="133"/>
        <v>236003.90928634367</v>
      </c>
      <c r="AI470">
        <f t="shared" si="140"/>
        <v>239975.24715037504</v>
      </c>
    </row>
    <row r="471" spans="2:35" x14ac:dyDescent="0.3">
      <c r="B471">
        <v>428</v>
      </c>
      <c r="C471">
        <v>75842.676699999996</v>
      </c>
      <c r="D471">
        <v>75048.485199999996</v>
      </c>
      <c r="E471">
        <v>75308.967099999994</v>
      </c>
      <c r="F471">
        <v>75274.1535</v>
      </c>
      <c r="G471">
        <v>75653.857499999998</v>
      </c>
      <c r="H471">
        <v>76004.270699999994</v>
      </c>
      <c r="I471">
        <v>8.9668966656975613</v>
      </c>
      <c r="J471">
        <v>8.9477143049390797</v>
      </c>
      <c r="K471">
        <v>8.9336159138222317</v>
      </c>
      <c r="L471">
        <v>8.9289244538188708</v>
      </c>
      <c r="M471">
        <v>8.9111414976464403</v>
      </c>
      <c r="N471">
        <v>8.8916756404360413</v>
      </c>
      <c r="P471">
        <f t="shared" si="122"/>
        <v>193164.2232709268</v>
      </c>
      <c r="Q471">
        <f t="shared" si="123"/>
        <v>193382.94394817238</v>
      </c>
      <c r="R471">
        <f t="shared" si="124"/>
        <v>192699.51031466696</v>
      </c>
      <c r="S471">
        <f t="shared" si="125"/>
        <v>192593.58011456608</v>
      </c>
      <c r="T471">
        <f t="shared" si="126"/>
        <v>191680.38742939325</v>
      </c>
      <c r="U471">
        <f t="shared" si="127"/>
        <v>190745.99851308123</v>
      </c>
      <c r="V471">
        <f t="shared" si="134"/>
        <v>0</v>
      </c>
      <c r="W471">
        <f t="shared" si="135"/>
        <v>1</v>
      </c>
      <c r="X471">
        <f t="shared" si="136"/>
        <v>0</v>
      </c>
      <c r="Y471">
        <f t="shared" si="137"/>
        <v>0</v>
      </c>
      <c r="Z471">
        <f t="shared" si="138"/>
        <v>0</v>
      </c>
      <c r="AA471">
        <f t="shared" si="139"/>
        <v>0</v>
      </c>
      <c r="AC471">
        <f t="shared" si="128"/>
        <v>193164.2232709268</v>
      </c>
      <c r="AD471">
        <f t="shared" si="129"/>
        <v>193382.94394817238</v>
      </c>
      <c r="AE471">
        <f t="shared" si="130"/>
        <v>192699.51031466696</v>
      </c>
      <c r="AF471">
        <f t="shared" si="131"/>
        <v>192593.58011456608</v>
      </c>
      <c r="AG471">
        <f t="shared" si="132"/>
        <v>191680.38742939325</v>
      </c>
      <c r="AH471">
        <f t="shared" si="133"/>
        <v>190745.99851308123</v>
      </c>
      <c r="AI471">
        <f t="shared" si="140"/>
        <v>193382.94394817238</v>
      </c>
    </row>
    <row r="472" spans="2:35" x14ac:dyDescent="0.3">
      <c r="B472">
        <v>429</v>
      </c>
      <c r="C472">
        <v>84166.842199999999</v>
      </c>
      <c r="D472">
        <v>83772.406900000002</v>
      </c>
      <c r="E472">
        <v>84588.302100000001</v>
      </c>
      <c r="F472">
        <v>84462.329500000007</v>
      </c>
      <c r="G472">
        <v>85125.344100000002</v>
      </c>
      <c r="H472">
        <v>85759.536099999998</v>
      </c>
      <c r="I472">
        <v>10.461500266911102</v>
      </c>
      <c r="J472">
        <v>10.455314546189101</v>
      </c>
      <c r="K472">
        <v>10.450300055634838</v>
      </c>
      <c r="L472">
        <v>10.448779528883893</v>
      </c>
      <c r="M472">
        <v>10.444474489186705</v>
      </c>
      <c r="N472">
        <v>10.440071929267052</v>
      </c>
      <c r="P472">
        <f t="shared" si="122"/>
        <v>229678.16580733308</v>
      </c>
      <c r="Q472">
        <f t="shared" si="123"/>
        <v>229887.029485673</v>
      </c>
      <c r="R472">
        <f t="shared" si="124"/>
        <v>228920.69956904513</v>
      </c>
      <c r="S472">
        <f t="shared" si="125"/>
        <v>229001.0563665168</v>
      </c>
      <c r="T472">
        <f t="shared" si="126"/>
        <v>228208.89057560114</v>
      </c>
      <c r="U472">
        <f t="shared" si="127"/>
        <v>227442.62177801158</v>
      </c>
      <c r="V472">
        <f t="shared" si="134"/>
        <v>0</v>
      </c>
      <c r="W472">
        <f t="shared" si="135"/>
        <v>1</v>
      </c>
      <c r="X472">
        <f t="shared" si="136"/>
        <v>0</v>
      </c>
      <c r="Y472">
        <f t="shared" si="137"/>
        <v>0</v>
      </c>
      <c r="Z472">
        <f t="shared" si="138"/>
        <v>0</v>
      </c>
      <c r="AA472">
        <f t="shared" si="139"/>
        <v>0</v>
      </c>
      <c r="AC472">
        <f t="shared" si="128"/>
        <v>229678.16580733308</v>
      </c>
      <c r="AD472">
        <f t="shared" si="129"/>
        <v>229887.029485673</v>
      </c>
      <c r="AE472">
        <f t="shared" si="130"/>
        <v>228920.69956904513</v>
      </c>
      <c r="AF472">
        <f t="shared" si="131"/>
        <v>229001.0563665168</v>
      </c>
      <c r="AG472">
        <f t="shared" si="132"/>
        <v>228208.89057560114</v>
      </c>
      <c r="AH472">
        <f t="shared" si="133"/>
        <v>227442.62177801158</v>
      </c>
      <c r="AI472">
        <f t="shared" si="140"/>
        <v>229887.029485673</v>
      </c>
    </row>
    <row r="473" spans="2:35" x14ac:dyDescent="0.3">
      <c r="B473">
        <v>430</v>
      </c>
      <c r="C473">
        <v>75008.947499999995</v>
      </c>
      <c r="D473">
        <v>74464.467000000004</v>
      </c>
      <c r="E473">
        <v>74960.917199999996</v>
      </c>
      <c r="F473">
        <v>74775.517000000007</v>
      </c>
      <c r="G473">
        <v>75242.304000000004</v>
      </c>
      <c r="H473">
        <v>75881.147400000002</v>
      </c>
      <c r="I473">
        <v>10.36336817319525</v>
      </c>
      <c r="J473">
        <v>10.316255323361535</v>
      </c>
      <c r="K473">
        <v>10.278435505721546</v>
      </c>
      <c r="L473">
        <v>10.27751040897631</v>
      </c>
      <c r="M473">
        <v>10.238840277128615</v>
      </c>
      <c r="N473">
        <v>10.209592773755393</v>
      </c>
      <c r="P473">
        <f t="shared" si="122"/>
        <v>235892.09769585746</v>
      </c>
      <c r="Q473">
        <f t="shared" si="123"/>
        <v>235023.19270084606</v>
      </c>
      <c r="R473">
        <f t="shared" si="124"/>
        <v>233392.14797164642</v>
      </c>
      <c r="S473">
        <f t="shared" si="125"/>
        <v>233549.79526928929</v>
      </c>
      <c r="T473">
        <f t="shared" si="126"/>
        <v>231922.90431385842</v>
      </c>
      <c r="U473">
        <f t="shared" si="127"/>
        <v>230406.63581266179</v>
      </c>
      <c r="V473">
        <f t="shared" si="134"/>
        <v>1</v>
      </c>
      <c r="W473">
        <f t="shared" si="135"/>
        <v>0</v>
      </c>
      <c r="X473">
        <f t="shared" si="136"/>
        <v>0</v>
      </c>
      <c r="Y473">
        <f t="shared" si="137"/>
        <v>0</v>
      </c>
      <c r="Z473">
        <f t="shared" si="138"/>
        <v>0</v>
      </c>
      <c r="AA473">
        <f t="shared" si="139"/>
        <v>0</v>
      </c>
      <c r="AC473">
        <f t="shared" si="128"/>
        <v>235892.09769585746</v>
      </c>
      <c r="AD473">
        <f t="shared" si="129"/>
        <v>235023.19270084606</v>
      </c>
      <c r="AE473">
        <f t="shared" si="130"/>
        <v>233392.14797164642</v>
      </c>
      <c r="AF473">
        <f t="shared" si="131"/>
        <v>233549.79526928929</v>
      </c>
      <c r="AG473">
        <f t="shared" si="132"/>
        <v>231922.90431385842</v>
      </c>
      <c r="AH473">
        <f t="shared" si="133"/>
        <v>230406.63581266179</v>
      </c>
      <c r="AI473">
        <f t="shared" si="140"/>
        <v>235892.09769585746</v>
      </c>
    </row>
    <row r="474" spans="2:35" x14ac:dyDescent="0.3">
      <c r="B474">
        <v>431</v>
      </c>
      <c r="C474">
        <v>80718.933600000004</v>
      </c>
      <c r="D474">
        <v>78918.532900000006</v>
      </c>
      <c r="E474">
        <v>78788.127299999993</v>
      </c>
      <c r="F474">
        <v>78332.095199999996</v>
      </c>
      <c r="G474">
        <v>78132.476299999995</v>
      </c>
      <c r="H474">
        <v>77597.694799999997</v>
      </c>
      <c r="I474">
        <v>10.771294395022961</v>
      </c>
      <c r="J474">
        <v>10.735760871567949</v>
      </c>
      <c r="K474">
        <v>10.714915917972249</v>
      </c>
      <c r="L474">
        <v>10.706480277863612</v>
      </c>
      <c r="M474">
        <v>10.678176777019015</v>
      </c>
      <c r="N474">
        <v>10.647101827093419</v>
      </c>
      <c r="P474">
        <f t="shared" si="122"/>
        <v>242419.89825068886</v>
      </c>
      <c r="Q474">
        <f t="shared" si="123"/>
        <v>243154.2932470385</v>
      </c>
      <c r="R474">
        <f t="shared" si="124"/>
        <v>242659.35023916746</v>
      </c>
      <c r="S474">
        <f t="shared" si="125"/>
        <v>242862.31313590839</v>
      </c>
      <c r="T474">
        <f t="shared" si="126"/>
        <v>242212.82701057044</v>
      </c>
      <c r="U474">
        <f t="shared" si="127"/>
        <v>241815.36001280259</v>
      </c>
      <c r="V474">
        <f t="shared" si="134"/>
        <v>0</v>
      </c>
      <c r="W474">
        <f t="shared" si="135"/>
        <v>1</v>
      </c>
      <c r="X474">
        <f t="shared" si="136"/>
        <v>0</v>
      </c>
      <c r="Y474">
        <f t="shared" si="137"/>
        <v>0</v>
      </c>
      <c r="Z474">
        <f t="shared" si="138"/>
        <v>0</v>
      </c>
      <c r="AA474">
        <f t="shared" si="139"/>
        <v>0</v>
      </c>
      <c r="AC474">
        <f t="shared" si="128"/>
        <v>242419.89825068886</v>
      </c>
      <c r="AD474">
        <f t="shared" si="129"/>
        <v>243154.2932470385</v>
      </c>
      <c r="AE474">
        <f t="shared" si="130"/>
        <v>242659.35023916746</v>
      </c>
      <c r="AF474">
        <f t="shared" si="131"/>
        <v>242862.31313590839</v>
      </c>
      <c r="AG474">
        <f t="shared" si="132"/>
        <v>242212.82701057044</v>
      </c>
      <c r="AH474">
        <f t="shared" si="133"/>
        <v>241815.36001280259</v>
      </c>
      <c r="AI474">
        <f t="shared" si="140"/>
        <v>243154.2932470385</v>
      </c>
    </row>
    <row r="475" spans="2:35" x14ac:dyDescent="0.3">
      <c r="B475">
        <v>432</v>
      </c>
      <c r="C475">
        <v>77805.171000000002</v>
      </c>
      <c r="D475">
        <v>76842.546600000001</v>
      </c>
      <c r="E475">
        <v>77144.744399999996</v>
      </c>
      <c r="F475">
        <v>77022.048599999995</v>
      </c>
      <c r="G475">
        <v>77500.604900000006</v>
      </c>
      <c r="H475">
        <v>77445.1921</v>
      </c>
      <c r="I475">
        <v>12.527145026759936</v>
      </c>
      <c r="J475">
        <v>12.456804993053755</v>
      </c>
      <c r="K475">
        <v>12.416487901697737</v>
      </c>
      <c r="L475">
        <v>12.388302817201946</v>
      </c>
      <c r="M475">
        <v>12.340889477929739</v>
      </c>
      <c r="N475">
        <v>12.277148416483842</v>
      </c>
      <c r="P475">
        <f t="shared" si="122"/>
        <v>298009.17980279808</v>
      </c>
      <c r="Q475">
        <f t="shared" si="123"/>
        <v>296861.60319161264</v>
      </c>
      <c r="R475">
        <f t="shared" si="124"/>
        <v>295349.89265093207</v>
      </c>
      <c r="S475">
        <f t="shared" si="125"/>
        <v>294627.0359160584</v>
      </c>
      <c r="T475">
        <f t="shared" si="126"/>
        <v>292726.07943789219</v>
      </c>
      <c r="U475">
        <f t="shared" si="127"/>
        <v>290869.26039451524</v>
      </c>
      <c r="V475">
        <f t="shared" si="134"/>
        <v>1</v>
      </c>
      <c r="W475">
        <f t="shared" si="135"/>
        <v>0</v>
      </c>
      <c r="X475">
        <f t="shared" si="136"/>
        <v>0</v>
      </c>
      <c r="Y475">
        <f t="shared" si="137"/>
        <v>0</v>
      </c>
      <c r="Z475">
        <f t="shared" si="138"/>
        <v>0</v>
      </c>
      <c r="AA475">
        <f t="shared" si="139"/>
        <v>0</v>
      </c>
      <c r="AC475">
        <f t="shared" si="128"/>
        <v>298009.17980279808</v>
      </c>
      <c r="AD475">
        <f t="shared" si="129"/>
        <v>296861.60319161264</v>
      </c>
      <c r="AE475">
        <f t="shared" si="130"/>
        <v>295349.89265093207</v>
      </c>
      <c r="AF475">
        <f t="shared" si="131"/>
        <v>294627.0359160584</v>
      </c>
      <c r="AG475">
        <f t="shared" si="132"/>
        <v>292726.07943789219</v>
      </c>
      <c r="AH475">
        <f t="shared" si="133"/>
        <v>290869.26039451524</v>
      </c>
      <c r="AI475">
        <f t="shared" si="140"/>
        <v>298009.17980279808</v>
      </c>
    </row>
    <row r="476" spans="2:35" x14ac:dyDescent="0.3">
      <c r="B476">
        <v>433</v>
      </c>
      <c r="C476">
        <v>73475.572899999999</v>
      </c>
      <c r="D476">
        <v>72670.726999999999</v>
      </c>
      <c r="E476">
        <v>72829.421700000006</v>
      </c>
      <c r="F476">
        <v>72787.637300000002</v>
      </c>
      <c r="G476">
        <v>73272.364499999996</v>
      </c>
      <c r="H476">
        <v>73727.745800000004</v>
      </c>
      <c r="I476">
        <v>10.899753952957532</v>
      </c>
      <c r="J476">
        <v>10.866232189099099</v>
      </c>
      <c r="K476">
        <v>10.834924757200701</v>
      </c>
      <c r="L476">
        <v>10.831086253524923</v>
      </c>
      <c r="M476">
        <v>10.793159488375606</v>
      </c>
      <c r="N476">
        <v>10.773557306955691</v>
      </c>
      <c r="P476">
        <f t="shared" si="122"/>
        <v>253517.04568872598</v>
      </c>
      <c r="Q476">
        <f t="shared" si="123"/>
        <v>253316.23867297295</v>
      </c>
      <c r="R476">
        <f t="shared" si="124"/>
        <v>252218.32101602101</v>
      </c>
      <c r="S476">
        <f t="shared" si="125"/>
        <v>252144.95030574768</v>
      </c>
      <c r="T476">
        <f t="shared" si="126"/>
        <v>250522.42015126816</v>
      </c>
      <c r="U476">
        <f t="shared" si="127"/>
        <v>249478.97340867072</v>
      </c>
      <c r="V476">
        <f t="shared" si="134"/>
        <v>1</v>
      </c>
      <c r="W476">
        <f t="shared" si="135"/>
        <v>0</v>
      </c>
      <c r="X476">
        <f t="shared" si="136"/>
        <v>0</v>
      </c>
      <c r="Y476">
        <f t="shared" si="137"/>
        <v>0</v>
      </c>
      <c r="Z476">
        <f t="shared" si="138"/>
        <v>0</v>
      </c>
      <c r="AA476">
        <f t="shared" si="139"/>
        <v>0</v>
      </c>
      <c r="AC476">
        <f t="shared" si="128"/>
        <v>253517.04568872598</v>
      </c>
      <c r="AD476">
        <f t="shared" si="129"/>
        <v>253316.23867297295</v>
      </c>
      <c r="AE476">
        <f t="shared" si="130"/>
        <v>252218.32101602101</v>
      </c>
      <c r="AF476">
        <f t="shared" si="131"/>
        <v>252144.95030574768</v>
      </c>
      <c r="AG476">
        <f t="shared" si="132"/>
        <v>250522.42015126816</v>
      </c>
      <c r="AH476">
        <f t="shared" si="133"/>
        <v>249478.97340867072</v>
      </c>
      <c r="AI476">
        <f t="shared" si="140"/>
        <v>253517.04568872598</v>
      </c>
    </row>
    <row r="477" spans="2:35" x14ac:dyDescent="0.3">
      <c r="B477">
        <v>434</v>
      </c>
      <c r="C477">
        <v>72436.940700000006</v>
      </c>
      <c r="D477">
        <v>72375.418300000005</v>
      </c>
      <c r="E477">
        <v>73024.083299999998</v>
      </c>
      <c r="F477">
        <v>73430.472899999993</v>
      </c>
      <c r="G477">
        <v>74029.126600000003</v>
      </c>
      <c r="H477">
        <v>74954.849300000002</v>
      </c>
      <c r="I477">
        <v>11.720264886783342</v>
      </c>
      <c r="J477">
        <v>11.70056768184695</v>
      </c>
      <c r="K477">
        <v>11.689684178062549</v>
      </c>
      <c r="L477">
        <v>11.681571979935198</v>
      </c>
      <c r="M477">
        <v>11.670964839563764</v>
      </c>
      <c r="N477">
        <v>11.65494244157791</v>
      </c>
      <c r="P477">
        <f t="shared" si="122"/>
        <v>279171.00590350025</v>
      </c>
      <c r="Q477">
        <f t="shared" si="123"/>
        <v>278641.61215540848</v>
      </c>
      <c r="R477">
        <f t="shared" si="124"/>
        <v>277666.44204187649</v>
      </c>
      <c r="S477">
        <f t="shared" si="125"/>
        <v>277016.68649805593</v>
      </c>
      <c r="T477">
        <f t="shared" si="126"/>
        <v>276099.81858691288</v>
      </c>
      <c r="U477">
        <f t="shared" si="127"/>
        <v>274693.42394733732</v>
      </c>
      <c r="V477">
        <f t="shared" si="134"/>
        <v>1</v>
      </c>
      <c r="W477">
        <f t="shared" si="135"/>
        <v>0</v>
      </c>
      <c r="X477">
        <f t="shared" si="136"/>
        <v>0</v>
      </c>
      <c r="Y477">
        <f t="shared" si="137"/>
        <v>0</v>
      </c>
      <c r="Z477">
        <f t="shared" si="138"/>
        <v>0</v>
      </c>
      <c r="AA477">
        <f t="shared" si="139"/>
        <v>0</v>
      </c>
      <c r="AC477">
        <f t="shared" si="128"/>
        <v>279171.00590350025</v>
      </c>
      <c r="AD477">
        <f t="shared" si="129"/>
        <v>278641.61215540848</v>
      </c>
      <c r="AE477">
        <f t="shared" si="130"/>
        <v>277666.44204187649</v>
      </c>
      <c r="AF477">
        <f t="shared" si="131"/>
        <v>277016.68649805593</v>
      </c>
      <c r="AG477">
        <f t="shared" si="132"/>
        <v>276099.81858691288</v>
      </c>
      <c r="AH477">
        <f t="shared" si="133"/>
        <v>274693.42394733732</v>
      </c>
      <c r="AI477">
        <f t="shared" si="140"/>
        <v>279171.00590350025</v>
      </c>
    </row>
    <row r="478" spans="2:35" x14ac:dyDescent="0.3">
      <c r="B478">
        <v>435</v>
      </c>
      <c r="C478">
        <v>84500.527100000007</v>
      </c>
      <c r="D478">
        <v>83437.989799999996</v>
      </c>
      <c r="E478">
        <v>83521.757599999997</v>
      </c>
      <c r="F478">
        <v>83432.845300000001</v>
      </c>
      <c r="G478">
        <v>83521.009600000005</v>
      </c>
      <c r="H478">
        <v>83871.232999999993</v>
      </c>
      <c r="I478">
        <v>9.5308659167275902</v>
      </c>
      <c r="J478">
        <v>9.4981869846872584</v>
      </c>
      <c r="K478">
        <v>9.478386162791562</v>
      </c>
      <c r="L478">
        <v>9.4656683701422288</v>
      </c>
      <c r="M478">
        <v>9.4406223178055413</v>
      </c>
      <c r="N478">
        <v>9.4202707978774729</v>
      </c>
      <c r="P478">
        <f t="shared" si="122"/>
        <v>201425.45040182769</v>
      </c>
      <c r="Q478">
        <f t="shared" si="123"/>
        <v>201507.61974061775</v>
      </c>
      <c r="R478">
        <f t="shared" si="124"/>
        <v>200829.82728374685</v>
      </c>
      <c r="S478">
        <f t="shared" si="125"/>
        <v>200537.20580426685</v>
      </c>
      <c r="T478">
        <f t="shared" si="126"/>
        <v>199697.65993416624</v>
      </c>
      <c r="U478">
        <f t="shared" si="127"/>
        <v>198736.8909363242</v>
      </c>
      <c r="V478">
        <f t="shared" si="134"/>
        <v>0</v>
      </c>
      <c r="W478">
        <f t="shared" si="135"/>
        <v>1</v>
      </c>
      <c r="X478">
        <f t="shared" si="136"/>
        <v>0</v>
      </c>
      <c r="Y478">
        <f t="shared" si="137"/>
        <v>0</v>
      </c>
      <c r="Z478">
        <f t="shared" si="138"/>
        <v>0</v>
      </c>
      <c r="AA478">
        <f t="shared" si="139"/>
        <v>0</v>
      </c>
      <c r="AC478">
        <f t="shared" si="128"/>
        <v>201425.45040182769</v>
      </c>
      <c r="AD478">
        <f t="shared" si="129"/>
        <v>201507.61974061775</v>
      </c>
      <c r="AE478">
        <f t="shared" si="130"/>
        <v>200829.82728374685</v>
      </c>
      <c r="AF478">
        <f t="shared" si="131"/>
        <v>200537.20580426685</v>
      </c>
      <c r="AG478">
        <f t="shared" si="132"/>
        <v>199697.65993416624</v>
      </c>
      <c r="AH478">
        <f t="shared" si="133"/>
        <v>198736.8909363242</v>
      </c>
      <c r="AI478">
        <f t="shared" si="140"/>
        <v>201507.61974061775</v>
      </c>
    </row>
    <row r="479" spans="2:35" x14ac:dyDescent="0.3">
      <c r="B479">
        <v>436</v>
      </c>
      <c r="C479">
        <v>78437.473199999993</v>
      </c>
      <c r="D479">
        <v>77751.796100000007</v>
      </c>
      <c r="E479">
        <v>78132.969700000001</v>
      </c>
      <c r="F479">
        <v>78289.726800000004</v>
      </c>
      <c r="G479">
        <v>78817.938200000004</v>
      </c>
      <c r="H479">
        <v>78960.662599999996</v>
      </c>
      <c r="I479">
        <v>11.088178485226807</v>
      </c>
      <c r="J479">
        <v>10.998977605826626</v>
      </c>
      <c r="K479">
        <v>10.947125224368975</v>
      </c>
      <c r="L479">
        <v>10.926961756690629</v>
      </c>
      <c r="M479">
        <v>10.871389604347364</v>
      </c>
      <c r="N479">
        <v>10.808710984437878</v>
      </c>
      <c r="P479">
        <f t="shared" si="122"/>
        <v>254207.88135680422</v>
      </c>
      <c r="Q479">
        <f t="shared" si="123"/>
        <v>252217.5320747988</v>
      </c>
      <c r="R479">
        <f t="shared" si="124"/>
        <v>250280.78703106922</v>
      </c>
      <c r="S479">
        <f t="shared" si="125"/>
        <v>249519.12590071885</v>
      </c>
      <c r="T479">
        <f t="shared" si="126"/>
        <v>247323.74993042092</v>
      </c>
      <c r="U479">
        <f t="shared" si="127"/>
        <v>245300.66693313635</v>
      </c>
      <c r="V479">
        <f t="shared" si="134"/>
        <v>1</v>
      </c>
      <c r="W479">
        <f t="shared" si="135"/>
        <v>0</v>
      </c>
      <c r="X479">
        <f t="shared" si="136"/>
        <v>0</v>
      </c>
      <c r="Y479">
        <f t="shared" si="137"/>
        <v>0</v>
      </c>
      <c r="Z479">
        <f t="shared" si="138"/>
        <v>0</v>
      </c>
      <c r="AA479">
        <f t="shared" si="139"/>
        <v>0</v>
      </c>
      <c r="AC479">
        <f t="shared" si="128"/>
        <v>254207.88135680422</v>
      </c>
      <c r="AD479">
        <f t="shared" si="129"/>
        <v>252217.5320747988</v>
      </c>
      <c r="AE479">
        <f t="shared" si="130"/>
        <v>250280.78703106922</v>
      </c>
      <c r="AF479">
        <f t="shared" si="131"/>
        <v>249519.12590071885</v>
      </c>
      <c r="AG479">
        <f t="shared" si="132"/>
        <v>247323.74993042092</v>
      </c>
      <c r="AH479">
        <f t="shared" si="133"/>
        <v>245300.66693313635</v>
      </c>
      <c r="AI479">
        <f t="shared" si="140"/>
        <v>254207.88135680422</v>
      </c>
    </row>
    <row r="480" spans="2:35" x14ac:dyDescent="0.3">
      <c r="B480">
        <v>437</v>
      </c>
      <c r="C480">
        <v>67782.771500000003</v>
      </c>
      <c r="D480">
        <v>66939.344700000001</v>
      </c>
      <c r="E480">
        <v>67210.727599999998</v>
      </c>
      <c r="F480">
        <v>67318.700500000006</v>
      </c>
      <c r="G480">
        <v>67758.399000000005</v>
      </c>
      <c r="H480">
        <v>68083.727100000004</v>
      </c>
      <c r="I480">
        <v>9.0907285256570329</v>
      </c>
      <c r="J480">
        <v>9.0547979267811662</v>
      </c>
      <c r="K480">
        <v>9.0439844038062169</v>
      </c>
      <c r="L480">
        <v>9.0258263386184119</v>
      </c>
      <c r="M480">
        <v>9.0104510586724018</v>
      </c>
      <c r="N480">
        <v>8.9785776295218014</v>
      </c>
      <c r="P480">
        <f t="shared" si="122"/>
        <v>204939.08426971096</v>
      </c>
      <c r="Q480">
        <f t="shared" si="123"/>
        <v>204704.59310343495</v>
      </c>
      <c r="R480">
        <f t="shared" si="124"/>
        <v>204108.80451418652</v>
      </c>
      <c r="S480">
        <f t="shared" si="125"/>
        <v>203456.08965855234</v>
      </c>
      <c r="T480">
        <f t="shared" si="126"/>
        <v>202555.13276017204</v>
      </c>
      <c r="U480">
        <f t="shared" si="127"/>
        <v>201273.60178565403</v>
      </c>
      <c r="V480">
        <f t="shared" si="134"/>
        <v>1</v>
      </c>
      <c r="W480">
        <f t="shared" si="135"/>
        <v>0</v>
      </c>
      <c r="X480">
        <f t="shared" si="136"/>
        <v>0</v>
      </c>
      <c r="Y480">
        <f t="shared" si="137"/>
        <v>0</v>
      </c>
      <c r="Z480">
        <f t="shared" si="138"/>
        <v>0</v>
      </c>
      <c r="AA480">
        <f t="shared" si="139"/>
        <v>0</v>
      </c>
      <c r="AC480">
        <f t="shared" si="128"/>
        <v>204939.08426971096</v>
      </c>
      <c r="AD480">
        <f t="shared" si="129"/>
        <v>204704.59310343495</v>
      </c>
      <c r="AE480">
        <f t="shared" si="130"/>
        <v>204108.80451418652</v>
      </c>
      <c r="AF480">
        <f t="shared" si="131"/>
        <v>203456.08965855234</v>
      </c>
      <c r="AG480">
        <f t="shared" si="132"/>
        <v>202555.13276017204</v>
      </c>
      <c r="AH480">
        <f t="shared" si="133"/>
        <v>201273.60178565403</v>
      </c>
      <c r="AI480">
        <f t="shared" si="140"/>
        <v>204939.08426971096</v>
      </c>
    </row>
    <row r="481" spans="2:35" x14ac:dyDescent="0.3">
      <c r="B481">
        <v>438</v>
      </c>
      <c r="C481">
        <v>79743.502500000002</v>
      </c>
      <c r="D481">
        <v>78702.813999999998</v>
      </c>
      <c r="E481">
        <v>79008.885999999999</v>
      </c>
      <c r="F481">
        <v>78779.527000000002</v>
      </c>
      <c r="G481">
        <v>78945.671700000006</v>
      </c>
      <c r="H481">
        <v>79251.185700000002</v>
      </c>
      <c r="I481">
        <v>11.66505844389641</v>
      </c>
      <c r="J481">
        <v>11.614317464259555</v>
      </c>
      <c r="K481">
        <v>11.582922627939556</v>
      </c>
      <c r="L481">
        <v>11.570531052151038</v>
      </c>
      <c r="M481">
        <v>11.529897224211039</v>
      </c>
      <c r="N481">
        <v>11.495183617104548</v>
      </c>
      <c r="P481">
        <f t="shared" si="122"/>
        <v>270208.25081689231</v>
      </c>
      <c r="Q481">
        <f t="shared" si="123"/>
        <v>269726.70992778667</v>
      </c>
      <c r="R481">
        <f t="shared" si="124"/>
        <v>268478.79283818667</v>
      </c>
      <c r="S481">
        <f t="shared" si="125"/>
        <v>268336.40456453111</v>
      </c>
      <c r="T481">
        <f t="shared" si="126"/>
        <v>266951.24502633116</v>
      </c>
      <c r="U481">
        <f t="shared" si="127"/>
        <v>265604.32281313639</v>
      </c>
      <c r="V481">
        <f t="shared" si="134"/>
        <v>1</v>
      </c>
      <c r="W481">
        <f t="shared" si="135"/>
        <v>0</v>
      </c>
      <c r="X481">
        <f t="shared" si="136"/>
        <v>0</v>
      </c>
      <c r="Y481">
        <f t="shared" si="137"/>
        <v>0</v>
      </c>
      <c r="Z481">
        <f t="shared" si="138"/>
        <v>0</v>
      </c>
      <c r="AA481">
        <f t="shared" si="139"/>
        <v>0</v>
      </c>
      <c r="AC481">
        <f t="shared" si="128"/>
        <v>270208.25081689231</v>
      </c>
      <c r="AD481">
        <f t="shared" si="129"/>
        <v>269726.70992778667</v>
      </c>
      <c r="AE481">
        <f t="shared" si="130"/>
        <v>268478.79283818667</v>
      </c>
      <c r="AF481">
        <f t="shared" si="131"/>
        <v>268336.40456453111</v>
      </c>
      <c r="AG481">
        <f t="shared" si="132"/>
        <v>266951.24502633116</v>
      </c>
      <c r="AH481">
        <f t="shared" si="133"/>
        <v>265604.32281313639</v>
      </c>
      <c r="AI481">
        <f t="shared" si="140"/>
        <v>270208.25081689231</v>
      </c>
    </row>
    <row r="482" spans="2:35" x14ac:dyDescent="0.3">
      <c r="B482">
        <v>439</v>
      </c>
      <c r="C482">
        <v>79677.141099999993</v>
      </c>
      <c r="D482">
        <v>77678.300600000002</v>
      </c>
      <c r="E482">
        <v>77203.727499999994</v>
      </c>
      <c r="F482">
        <v>76846.509600000005</v>
      </c>
      <c r="G482">
        <v>76318.601899999994</v>
      </c>
      <c r="H482">
        <v>75924.597500000003</v>
      </c>
      <c r="I482">
        <v>11.434013328046134</v>
      </c>
      <c r="J482">
        <v>11.403887851315545</v>
      </c>
      <c r="K482">
        <v>11.382527276557173</v>
      </c>
      <c r="L482">
        <v>11.376654900974707</v>
      </c>
      <c r="M482">
        <v>11.35091227116501</v>
      </c>
      <c r="N482">
        <v>11.332533949747027</v>
      </c>
      <c r="P482">
        <f t="shared" si="122"/>
        <v>263343.25874138402</v>
      </c>
      <c r="Q482">
        <f t="shared" si="123"/>
        <v>264438.33493946632</v>
      </c>
      <c r="R482">
        <f t="shared" si="124"/>
        <v>264272.09079671523</v>
      </c>
      <c r="S482">
        <f t="shared" si="125"/>
        <v>264453.13742924121</v>
      </c>
      <c r="T482">
        <f t="shared" si="126"/>
        <v>264208.76623495028</v>
      </c>
      <c r="U482">
        <f t="shared" si="127"/>
        <v>264051.42099241086</v>
      </c>
      <c r="V482">
        <f t="shared" si="134"/>
        <v>0</v>
      </c>
      <c r="W482">
        <f t="shared" si="135"/>
        <v>0</v>
      </c>
      <c r="X482">
        <f t="shared" si="136"/>
        <v>0</v>
      </c>
      <c r="Y482">
        <f t="shared" si="137"/>
        <v>1</v>
      </c>
      <c r="Z482">
        <f t="shared" si="138"/>
        <v>0</v>
      </c>
      <c r="AA482">
        <f t="shared" si="139"/>
        <v>0</v>
      </c>
      <c r="AC482">
        <f t="shared" si="128"/>
        <v>263343.25874138402</v>
      </c>
      <c r="AD482">
        <f t="shared" si="129"/>
        <v>264438.33493946632</v>
      </c>
      <c r="AE482">
        <f t="shared" si="130"/>
        <v>264272.09079671523</v>
      </c>
      <c r="AF482">
        <f t="shared" si="131"/>
        <v>264453.13742924121</v>
      </c>
      <c r="AG482">
        <f t="shared" si="132"/>
        <v>264208.76623495028</v>
      </c>
      <c r="AH482">
        <f t="shared" si="133"/>
        <v>264051.42099241086</v>
      </c>
      <c r="AI482">
        <f t="shared" si="140"/>
        <v>264453.13742924121</v>
      </c>
    </row>
    <row r="483" spans="2:35" x14ac:dyDescent="0.3">
      <c r="B483">
        <v>440</v>
      </c>
      <c r="C483">
        <v>81860.313699999999</v>
      </c>
      <c r="D483">
        <v>81360.847299999994</v>
      </c>
      <c r="E483">
        <v>81919.348100000003</v>
      </c>
      <c r="F483">
        <v>81907.833700000003</v>
      </c>
      <c r="G483">
        <v>82425.562099999996</v>
      </c>
      <c r="H483">
        <v>82934.431400000001</v>
      </c>
      <c r="I483">
        <v>11.028711129748311</v>
      </c>
      <c r="J483">
        <v>10.995155289324209</v>
      </c>
      <c r="K483">
        <v>10.968370121241756</v>
      </c>
      <c r="L483">
        <v>10.96076695164323</v>
      </c>
      <c r="M483">
        <v>10.935753579903707</v>
      </c>
      <c r="N483">
        <v>10.907771601292216</v>
      </c>
      <c r="P483">
        <f t="shared" si="122"/>
        <v>249001.02019244933</v>
      </c>
      <c r="Q483">
        <f t="shared" si="123"/>
        <v>248493.81137972631</v>
      </c>
      <c r="R483">
        <f t="shared" si="124"/>
        <v>247131.7555372527</v>
      </c>
      <c r="S483">
        <f t="shared" si="125"/>
        <v>246915.17484929686</v>
      </c>
      <c r="T483">
        <f t="shared" si="126"/>
        <v>245647.04529711121</v>
      </c>
      <c r="U483">
        <f t="shared" si="127"/>
        <v>244298.71663876646</v>
      </c>
      <c r="V483">
        <f t="shared" si="134"/>
        <v>1</v>
      </c>
      <c r="W483">
        <f t="shared" si="135"/>
        <v>0</v>
      </c>
      <c r="X483">
        <f t="shared" si="136"/>
        <v>0</v>
      </c>
      <c r="Y483">
        <f t="shared" si="137"/>
        <v>0</v>
      </c>
      <c r="Z483">
        <f t="shared" si="138"/>
        <v>0</v>
      </c>
      <c r="AA483">
        <f t="shared" si="139"/>
        <v>0</v>
      </c>
      <c r="AC483">
        <f t="shared" si="128"/>
        <v>249001.02019244933</v>
      </c>
      <c r="AD483">
        <f t="shared" si="129"/>
        <v>248493.81137972631</v>
      </c>
      <c r="AE483">
        <f t="shared" si="130"/>
        <v>247131.7555372527</v>
      </c>
      <c r="AF483">
        <f t="shared" si="131"/>
        <v>246915.17484929686</v>
      </c>
      <c r="AG483">
        <f t="shared" si="132"/>
        <v>245647.04529711121</v>
      </c>
      <c r="AH483">
        <f t="shared" si="133"/>
        <v>244298.71663876646</v>
      </c>
      <c r="AI483">
        <f t="shared" si="140"/>
        <v>249001.02019244933</v>
      </c>
    </row>
    <row r="484" spans="2:35" x14ac:dyDescent="0.3">
      <c r="B484">
        <v>441</v>
      </c>
      <c r="C484">
        <v>72927.352299999999</v>
      </c>
      <c r="D484">
        <v>71591.578500000003</v>
      </c>
      <c r="E484">
        <v>71660.138099999996</v>
      </c>
      <c r="F484">
        <v>71426.522599999997</v>
      </c>
      <c r="G484">
        <v>71198.097399999999</v>
      </c>
      <c r="H484">
        <v>71260.750199999995</v>
      </c>
      <c r="I484">
        <v>9.5109579874739794</v>
      </c>
      <c r="J484">
        <v>9.4623488964769606</v>
      </c>
      <c r="K484">
        <v>9.4338638868935245</v>
      </c>
      <c r="L484">
        <v>9.4129789521529528</v>
      </c>
      <c r="M484">
        <v>9.3778724600201784</v>
      </c>
      <c r="N484">
        <v>9.3446838887860526</v>
      </c>
      <c r="P484">
        <f t="shared" si="122"/>
        <v>212401.38732421937</v>
      </c>
      <c r="Q484">
        <f t="shared" si="123"/>
        <v>212278.8883943088</v>
      </c>
      <c r="R484">
        <f t="shared" si="124"/>
        <v>211355.77850680577</v>
      </c>
      <c r="S484">
        <f t="shared" si="125"/>
        <v>210962.8459645886</v>
      </c>
      <c r="T484">
        <f t="shared" si="126"/>
        <v>210138.07640060535</v>
      </c>
      <c r="U484">
        <f t="shared" si="127"/>
        <v>209079.76646358159</v>
      </c>
      <c r="V484">
        <f t="shared" si="134"/>
        <v>1</v>
      </c>
      <c r="W484">
        <f t="shared" si="135"/>
        <v>0</v>
      </c>
      <c r="X484">
        <f t="shared" si="136"/>
        <v>0</v>
      </c>
      <c r="Y484">
        <f t="shared" si="137"/>
        <v>0</v>
      </c>
      <c r="Z484">
        <f t="shared" si="138"/>
        <v>0</v>
      </c>
      <c r="AA484">
        <f t="shared" si="139"/>
        <v>0</v>
      </c>
      <c r="AC484">
        <f t="shared" si="128"/>
        <v>212401.38732421937</v>
      </c>
      <c r="AD484">
        <f t="shared" si="129"/>
        <v>212278.8883943088</v>
      </c>
      <c r="AE484">
        <f t="shared" si="130"/>
        <v>211355.77850680577</v>
      </c>
      <c r="AF484">
        <f t="shared" si="131"/>
        <v>210962.8459645886</v>
      </c>
      <c r="AG484">
        <f t="shared" si="132"/>
        <v>210138.07640060535</v>
      </c>
      <c r="AH484">
        <f t="shared" si="133"/>
        <v>209079.76646358159</v>
      </c>
      <c r="AI484">
        <f t="shared" si="140"/>
        <v>212401.38732421937</v>
      </c>
    </row>
    <row r="485" spans="2:35" x14ac:dyDescent="0.3">
      <c r="B485">
        <v>442</v>
      </c>
      <c r="C485">
        <v>83177.103300000002</v>
      </c>
      <c r="D485">
        <v>83319.536399999997</v>
      </c>
      <c r="E485">
        <v>84140.914199999999</v>
      </c>
      <c r="F485">
        <v>84406.707200000004</v>
      </c>
      <c r="G485">
        <v>85410.780599999998</v>
      </c>
      <c r="H485">
        <v>86618.037200000006</v>
      </c>
      <c r="I485">
        <v>8.8359828724322309</v>
      </c>
      <c r="J485">
        <v>8.8175345305570936</v>
      </c>
      <c r="K485">
        <v>8.8099383640382793</v>
      </c>
      <c r="L485">
        <v>8.8005236157083324</v>
      </c>
      <c r="M485">
        <v>8.7872195362274734</v>
      </c>
      <c r="N485">
        <v>8.7735833322162726</v>
      </c>
      <c r="P485">
        <f t="shared" si="122"/>
        <v>181902.38287296693</v>
      </c>
      <c r="Q485">
        <f t="shared" si="123"/>
        <v>181206.49951671285</v>
      </c>
      <c r="R485">
        <f t="shared" si="124"/>
        <v>180157.23672114837</v>
      </c>
      <c r="S485">
        <f t="shared" si="125"/>
        <v>179609.00127124996</v>
      </c>
      <c r="T485">
        <f t="shared" si="126"/>
        <v>178205.80548682419</v>
      </c>
      <c r="U485">
        <f t="shared" si="127"/>
        <v>176589.46276648814</v>
      </c>
      <c r="V485">
        <f t="shared" si="134"/>
        <v>1</v>
      </c>
      <c r="W485">
        <f t="shared" si="135"/>
        <v>0</v>
      </c>
      <c r="X485">
        <f t="shared" si="136"/>
        <v>0</v>
      </c>
      <c r="Y485">
        <f t="shared" si="137"/>
        <v>0</v>
      </c>
      <c r="Z485">
        <f t="shared" si="138"/>
        <v>0</v>
      </c>
      <c r="AA485">
        <f t="shared" si="139"/>
        <v>0</v>
      </c>
      <c r="AC485">
        <f t="shared" si="128"/>
        <v>181902.38287296693</v>
      </c>
      <c r="AD485">
        <f t="shared" si="129"/>
        <v>181206.49951671285</v>
      </c>
      <c r="AE485">
        <f t="shared" si="130"/>
        <v>180157.23672114837</v>
      </c>
      <c r="AF485">
        <f t="shared" si="131"/>
        <v>179609.00127124996</v>
      </c>
      <c r="AG485">
        <f t="shared" si="132"/>
        <v>178205.80548682419</v>
      </c>
      <c r="AH485">
        <f t="shared" si="133"/>
        <v>176589.46276648814</v>
      </c>
      <c r="AI485">
        <f t="shared" si="140"/>
        <v>181902.38287296693</v>
      </c>
    </row>
    <row r="486" spans="2:35" x14ac:dyDescent="0.3">
      <c r="B486">
        <v>443</v>
      </c>
      <c r="C486">
        <v>74126.805300000007</v>
      </c>
      <c r="D486">
        <v>74036.794200000004</v>
      </c>
      <c r="E486">
        <v>74795.053700000004</v>
      </c>
      <c r="F486">
        <v>74905.000499999995</v>
      </c>
      <c r="G486">
        <v>75829.0625</v>
      </c>
      <c r="H486">
        <v>76715.268400000001</v>
      </c>
      <c r="I486">
        <v>10.517419707981373</v>
      </c>
      <c r="J486">
        <v>10.507599494087813</v>
      </c>
      <c r="K486">
        <v>10.501042326695559</v>
      </c>
      <c r="L486">
        <v>10.497360923310469</v>
      </c>
      <c r="M486">
        <v>10.489357686840808</v>
      </c>
      <c r="N486">
        <v>10.484466305912383</v>
      </c>
      <c r="P486">
        <f t="shared" si="122"/>
        <v>241395.78593944118</v>
      </c>
      <c r="Q486">
        <f t="shared" si="123"/>
        <v>241191.19062263437</v>
      </c>
      <c r="R486">
        <f t="shared" si="124"/>
        <v>240236.21610086679</v>
      </c>
      <c r="S486">
        <f t="shared" si="125"/>
        <v>240015.82719931405</v>
      </c>
      <c r="T486">
        <f t="shared" si="126"/>
        <v>238851.66810522426</v>
      </c>
      <c r="U486">
        <f t="shared" si="127"/>
        <v>237818.72077737149</v>
      </c>
      <c r="V486">
        <f t="shared" si="134"/>
        <v>1</v>
      </c>
      <c r="W486">
        <f t="shared" si="135"/>
        <v>0</v>
      </c>
      <c r="X486">
        <f t="shared" si="136"/>
        <v>0</v>
      </c>
      <c r="Y486">
        <f t="shared" si="137"/>
        <v>0</v>
      </c>
      <c r="Z486">
        <f t="shared" si="138"/>
        <v>0</v>
      </c>
      <c r="AA486">
        <f t="shared" si="139"/>
        <v>0</v>
      </c>
      <c r="AC486">
        <f t="shared" si="128"/>
        <v>241395.78593944118</v>
      </c>
      <c r="AD486">
        <f t="shared" si="129"/>
        <v>241191.19062263437</v>
      </c>
      <c r="AE486">
        <f t="shared" si="130"/>
        <v>240236.21610086679</v>
      </c>
      <c r="AF486">
        <f t="shared" si="131"/>
        <v>240015.82719931405</v>
      </c>
      <c r="AG486">
        <f t="shared" si="132"/>
        <v>238851.66810522426</v>
      </c>
      <c r="AH486">
        <f t="shared" si="133"/>
        <v>237818.72077737149</v>
      </c>
      <c r="AI486">
        <f t="shared" si="140"/>
        <v>241395.78593944118</v>
      </c>
    </row>
    <row r="487" spans="2:35" x14ac:dyDescent="0.3">
      <c r="B487">
        <v>444</v>
      </c>
      <c r="C487">
        <v>89568.654999999999</v>
      </c>
      <c r="D487">
        <v>88990.474700000006</v>
      </c>
      <c r="E487">
        <v>89617.480899999995</v>
      </c>
      <c r="F487">
        <v>89493.004000000001</v>
      </c>
      <c r="G487">
        <v>89616.453299999994</v>
      </c>
      <c r="H487">
        <v>90297.126399999994</v>
      </c>
      <c r="I487">
        <v>10.647176268974771</v>
      </c>
      <c r="J487">
        <v>10.623956682560802</v>
      </c>
      <c r="K487">
        <v>10.605211775244632</v>
      </c>
      <c r="L487">
        <v>10.601829386569626</v>
      </c>
      <c r="M487">
        <v>10.585827445147171</v>
      </c>
      <c r="N487">
        <v>10.567243039454905</v>
      </c>
      <c r="P487">
        <f t="shared" si="122"/>
        <v>229846.63306924314</v>
      </c>
      <c r="Q487">
        <f t="shared" si="123"/>
        <v>229728.22577682405</v>
      </c>
      <c r="R487">
        <f t="shared" si="124"/>
        <v>228538.87235733899</v>
      </c>
      <c r="S487">
        <f t="shared" si="125"/>
        <v>228561.87759708875</v>
      </c>
      <c r="T487">
        <f t="shared" si="126"/>
        <v>227958.37005441514</v>
      </c>
      <c r="U487">
        <f t="shared" si="127"/>
        <v>226720.16478364711</v>
      </c>
      <c r="V487">
        <f t="shared" si="134"/>
        <v>1</v>
      </c>
      <c r="W487">
        <f t="shared" si="135"/>
        <v>0</v>
      </c>
      <c r="X487">
        <f t="shared" si="136"/>
        <v>0</v>
      </c>
      <c r="Y487">
        <f t="shared" si="137"/>
        <v>0</v>
      </c>
      <c r="Z487">
        <f t="shared" si="138"/>
        <v>0</v>
      </c>
      <c r="AA487">
        <f t="shared" si="139"/>
        <v>0</v>
      </c>
      <c r="AC487">
        <f t="shared" si="128"/>
        <v>229846.63306924314</v>
      </c>
      <c r="AD487">
        <f t="shared" si="129"/>
        <v>229728.22577682405</v>
      </c>
      <c r="AE487">
        <f t="shared" si="130"/>
        <v>228538.87235733899</v>
      </c>
      <c r="AF487">
        <f t="shared" si="131"/>
        <v>228561.87759708875</v>
      </c>
      <c r="AG487">
        <f t="shared" si="132"/>
        <v>227958.37005441514</v>
      </c>
      <c r="AH487">
        <f t="shared" si="133"/>
        <v>226720.16478364711</v>
      </c>
      <c r="AI487">
        <f t="shared" si="140"/>
        <v>229846.63306924314</v>
      </c>
    </row>
    <row r="488" spans="2:35" x14ac:dyDescent="0.3">
      <c r="B488">
        <v>445</v>
      </c>
      <c r="C488">
        <v>73857.9519</v>
      </c>
      <c r="D488">
        <v>73527.783899999995</v>
      </c>
      <c r="E488">
        <v>74286.8125</v>
      </c>
      <c r="F488">
        <v>74748.620599999995</v>
      </c>
      <c r="G488">
        <v>75416.158599999995</v>
      </c>
      <c r="H488">
        <v>76369.854399999997</v>
      </c>
      <c r="I488">
        <v>10.520049578528635</v>
      </c>
      <c r="J488">
        <v>10.486183492082295</v>
      </c>
      <c r="K488">
        <v>10.473349062362464</v>
      </c>
      <c r="L488">
        <v>10.456438155707135</v>
      </c>
      <c r="M488">
        <v>10.440316654296538</v>
      </c>
      <c r="N488">
        <v>10.413770174445851</v>
      </c>
      <c r="P488">
        <f t="shared" si="122"/>
        <v>241743.53545585909</v>
      </c>
      <c r="Q488">
        <f t="shared" si="123"/>
        <v>241057.72086246888</v>
      </c>
      <c r="R488">
        <f t="shared" si="124"/>
        <v>239913.65937087394</v>
      </c>
      <c r="S488">
        <f t="shared" si="125"/>
        <v>238944.52407121405</v>
      </c>
      <c r="T488">
        <f t="shared" si="126"/>
        <v>237793.34102889613</v>
      </c>
      <c r="U488">
        <f t="shared" si="127"/>
        <v>236043.2508333755</v>
      </c>
      <c r="V488">
        <f t="shared" si="134"/>
        <v>1</v>
      </c>
      <c r="W488">
        <f t="shared" si="135"/>
        <v>0</v>
      </c>
      <c r="X488">
        <f t="shared" si="136"/>
        <v>0</v>
      </c>
      <c r="Y488">
        <f t="shared" si="137"/>
        <v>0</v>
      </c>
      <c r="Z488">
        <f t="shared" si="138"/>
        <v>0</v>
      </c>
      <c r="AA488">
        <f t="shared" si="139"/>
        <v>0</v>
      </c>
      <c r="AC488">
        <f t="shared" si="128"/>
        <v>241743.53545585909</v>
      </c>
      <c r="AD488">
        <f t="shared" si="129"/>
        <v>241057.72086246888</v>
      </c>
      <c r="AE488">
        <f t="shared" si="130"/>
        <v>239913.65937087394</v>
      </c>
      <c r="AF488">
        <f t="shared" si="131"/>
        <v>238944.52407121405</v>
      </c>
      <c r="AG488">
        <f t="shared" si="132"/>
        <v>237793.34102889613</v>
      </c>
      <c r="AH488">
        <f t="shared" si="133"/>
        <v>236043.2508333755</v>
      </c>
      <c r="AI488">
        <f t="shared" si="140"/>
        <v>241743.53545585909</v>
      </c>
    </row>
    <row r="489" spans="2:35" x14ac:dyDescent="0.3">
      <c r="B489">
        <v>446</v>
      </c>
      <c r="C489">
        <v>81850.0291</v>
      </c>
      <c r="D489">
        <v>80818.662599999996</v>
      </c>
      <c r="E489">
        <v>81093.225099999996</v>
      </c>
      <c r="F489">
        <v>81035.718299999993</v>
      </c>
      <c r="G489">
        <v>81342.547099999996</v>
      </c>
      <c r="H489">
        <v>81507.436499999996</v>
      </c>
      <c r="I489">
        <v>8.9217827981794517</v>
      </c>
      <c r="J489">
        <v>8.9118279179370834</v>
      </c>
      <c r="K489">
        <v>8.9016607369360248</v>
      </c>
      <c r="L489">
        <v>8.9004085232156349</v>
      </c>
      <c r="M489">
        <v>8.8908824286981503</v>
      </c>
      <c r="N489">
        <v>8.884149570777236</v>
      </c>
      <c r="P489">
        <f t="shared" si="122"/>
        <v>185803.45484538359</v>
      </c>
      <c r="Q489">
        <f t="shared" si="123"/>
        <v>186536.1749381125</v>
      </c>
      <c r="R489">
        <f t="shared" si="124"/>
        <v>185956.59700808075</v>
      </c>
      <c r="S489">
        <f t="shared" si="125"/>
        <v>185976.53739646904</v>
      </c>
      <c r="T489">
        <f t="shared" si="126"/>
        <v>185383.92576094452</v>
      </c>
      <c r="U489">
        <f t="shared" si="127"/>
        <v>185017.05062331707</v>
      </c>
      <c r="V489">
        <f t="shared" si="134"/>
        <v>0</v>
      </c>
      <c r="W489">
        <f t="shared" si="135"/>
        <v>1</v>
      </c>
      <c r="X489">
        <f t="shared" si="136"/>
        <v>0</v>
      </c>
      <c r="Y489">
        <f t="shared" si="137"/>
        <v>0</v>
      </c>
      <c r="Z489">
        <f t="shared" si="138"/>
        <v>0</v>
      </c>
      <c r="AA489">
        <f t="shared" si="139"/>
        <v>0</v>
      </c>
      <c r="AC489">
        <f t="shared" si="128"/>
        <v>185803.45484538359</v>
      </c>
      <c r="AD489">
        <f t="shared" si="129"/>
        <v>186536.1749381125</v>
      </c>
      <c r="AE489">
        <f t="shared" si="130"/>
        <v>185956.59700808075</v>
      </c>
      <c r="AF489">
        <f t="shared" si="131"/>
        <v>185976.53739646904</v>
      </c>
      <c r="AG489">
        <f t="shared" si="132"/>
        <v>185383.92576094452</v>
      </c>
      <c r="AH489">
        <f t="shared" si="133"/>
        <v>185017.05062331707</v>
      </c>
      <c r="AI489">
        <f t="shared" si="140"/>
        <v>186536.1749381125</v>
      </c>
    </row>
    <row r="490" spans="2:35" x14ac:dyDescent="0.3">
      <c r="B490">
        <v>447</v>
      </c>
      <c r="C490">
        <v>83718.753899999996</v>
      </c>
      <c r="D490">
        <v>83299.498300000007</v>
      </c>
      <c r="E490">
        <v>83847.8796</v>
      </c>
      <c r="F490">
        <v>83813.424599999998</v>
      </c>
      <c r="G490">
        <v>84313.700299999997</v>
      </c>
      <c r="H490">
        <v>85253.903000000006</v>
      </c>
      <c r="I490">
        <v>9.593423366169068</v>
      </c>
      <c r="J490">
        <v>9.5717913934617265</v>
      </c>
      <c r="K490">
        <v>9.558508514543151</v>
      </c>
      <c r="L490">
        <v>9.5512589089204987</v>
      </c>
      <c r="M490">
        <v>9.5381406150612715</v>
      </c>
      <c r="N490">
        <v>9.5171039786625879</v>
      </c>
      <c r="P490">
        <f t="shared" si="122"/>
        <v>204083.94708507205</v>
      </c>
      <c r="Q490">
        <f t="shared" si="123"/>
        <v>203854.24350385179</v>
      </c>
      <c r="R490">
        <f t="shared" si="124"/>
        <v>202907.37583629455</v>
      </c>
      <c r="S490">
        <f t="shared" si="125"/>
        <v>202724.34266761495</v>
      </c>
      <c r="T490">
        <f t="shared" si="126"/>
        <v>201830.51815183813</v>
      </c>
      <c r="U490">
        <f t="shared" si="127"/>
        <v>200259.21635987767</v>
      </c>
      <c r="V490">
        <f t="shared" si="134"/>
        <v>1</v>
      </c>
      <c r="W490">
        <f t="shared" si="135"/>
        <v>0</v>
      </c>
      <c r="X490">
        <f t="shared" si="136"/>
        <v>0</v>
      </c>
      <c r="Y490">
        <f t="shared" si="137"/>
        <v>0</v>
      </c>
      <c r="Z490">
        <f t="shared" si="138"/>
        <v>0</v>
      </c>
      <c r="AA490">
        <f t="shared" si="139"/>
        <v>0</v>
      </c>
      <c r="AC490">
        <f t="shared" si="128"/>
        <v>204083.94708507205</v>
      </c>
      <c r="AD490">
        <f t="shared" si="129"/>
        <v>203854.24350385179</v>
      </c>
      <c r="AE490">
        <f t="shared" si="130"/>
        <v>202907.37583629455</v>
      </c>
      <c r="AF490">
        <f t="shared" si="131"/>
        <v>202724.34266761495</v>
      </c>
      <c r="AG490">
        <f t="shared" si="132"/>
        <v>201830.51815183813</v>
      </c>
      <c r="AH490">
        <f t="shared" si="133"/>
        <v>200259.21635987767</v>
      </c>
      <c r="AI490">
        <f t="shared" si="140"/>
        <v>204083.94708507205</v>
      </c>
    </row>
    <row r="491" spans="2:35" x14ac:dyDescent="0.3">
      <c r="B491">
        <v>448</v>
      </c>
      <c r="C491">
        <v>83459.444399999993</v>
      </c>
      <c r="D491">
        <v>81884.009600000005</v>
      </c>
      <c r="E491">
        <v>81767.973599999998</v>
      </c>
      <c r="F491">
        <v>81239.092600000004</v>
      </c>
      <c r="G491">
        <v>80903.670700000002</v>
      </c>
      <c r="H491">
        <v>80734.1103</v>
      </c>
      <c r="I491">
        <v>11.004680763932614</v>
      </c>
      <c r="J491">
        <v>10.979583242966518</v>
      </c>
      <c r="K491">
        <v>10.963113776174334</v>
      </c>
      <c r="L491">
        <v>10.948281692615597</v>
      </c>
      <c r="M491">
        <v>10.92804783502087</v>
      </c>
      <c r="N491">
        <v>10.901583128068008</v>
      </c>
      <c r="P491">
        <f t="shared" si="122"/>
        <v>246680.97851797845</v>
      </c>
      <c r="Q491">
        <f t="shared" si="123"/>
        <v>247503.48768899555</v>
      </c>
      <c r="R491">
        <f t="shared" si="124"/>
        <v>247125.43968523</v>
      </c>
      <c r="S491">
        <f t="shared" si="125"/>
        <v>247209.35817846787</v>
      </c>
      <c r="T491">
        <f t="shared" si="126"/>
        <v>246937.76435062609</v>
      </c>
      <c r="U491">
        <f t="shared" si="127"/>
        <v>246313.38354204025</v>
      </c>
      <c r="V491">
        <f t="shared" si="134"/>
        <v>0</v>
      </c>
      <c r="W491">
        <f t="shared" si="135"/>
        <v>1</v>
      </c>
      <c r="X491">
        <f t="shared" si="136"/>
        <v>0</v>
      </c>
      <c r="Y491">
        <f t="shared" si="137"/>
        <v>0</v>
      </c>
      <c r="Z491">
        <f t="shared" si="138"/>
        <v>0</v>
      </c>
      <c r="AA491">
        <f t="shared" si="139"/>
        <v>0</v>
      </c>
      <c r="AC491">
        <f t="shared" si="128"/>
        <v>246680.97851797845</v>
      </c>
      <c r="AD491">
        <f t="shared" si="129"/>
        <v>247503.48768899555</v>
      </c>
      <c r="AE491">
        <f t="shared" si="130"/>
        <v>247125.43968523</v>
      </c>
      <c r="AF491">
        <f t="shared" si="131"/>
        <v>247209.35817846787</v>
      </c>
      <c r="AG491">
        <f t="shared" si="132"/>
        <v>246937.76435062609</v>
      </c>
      <c r="AH491">
        <f t="shared" si="133"/>
        <v>246313.38354204025</v>
      </c>
      <c r="AI491">
        <f t="shared" si="140"/>
        <v>247503.48768899555</v>
      </c>
    </row>
    <row r="492" spans="2:35" x14ac:dyDescent="0.3">
      <c r="B492">
        <v>449</v>
      </c>
      <c r="C492">
        <v>91636.4856</v>
      </c>
      <c r="D492">
        <v>91469.131099999999</v>
      </c>
      <c r="E492">
        <v>92255.443400000004</v>
      </c>
      <c r="F492">
        <v>92413.740399999995</v>
      </c>
      <c r="G492">
        <v>92975.077499999999</v>
      </c>
      <c r="H492">
        <v>93777.258799999996</v>
      </c>
      <c r="I492">
        <v>11.492552566496096</v>
      </c>
      <c r="J492">
        <v>11.431935593313627</v>
      </c>
      <c r="K492">
        <v>11.391210530837006</v>
      </c>
      <c r="L492">
        <v>11.36293673648278</v>
      </c>
      <c r="M492">
        <v>11.324899541752769</v>
      </c>
      <c r="N492">
        <v>11.278515142430182</v>
      </c>
      <c r="P492">
        <f t="shared" ref="P492:P512" si="141">Threshold*I492-C492</f>
        <v>253140.09139488288</v>
      </c>
      <c r="Q492">
        <f t="shared" ref="Q492:Q512" si="142">Threshold*J492-D492</f>
        <v>251488.9366994088</v>
      </c>
      <c r="R492">
        <f t="shared" ref="R492:R512" si="143">Threshold*K492-E492</f>
        <v>249480.8725251102</v>
      </c>
      <c r="S492">
        <f t="shared" ref="S492:S512" si="144">Threshold*L492-F492</f>
        <v>248474.36169448338</v>
      </c>
      <c r="T492">
        <f t="shared" ref="T492:T512" si="145">Threshold*M492-G492</f>
        <v>246771.90875258308</v>
      </c>
      <c r="U492">
        <f t="shared" ref="U492:U512" si="146">Threshold*N492-H492</f>
        <v>244578.19547290547</v>
      </c>
      <c r="V492">
        <f t="shared" si="134"/>
        <v>1</v>
      </c>
      <c r="W492">
        <f t="shared" si="135"/>
        <v>0</v>
      </c>
      <c r="X492">
        <f t="shared" si="136"/>
        <v>0</v>
      </c>
      <c r="Y492">
        <f t="shared" si="137"/>
        <v>0</v>
      </c>
      <c r="Z492">
        <f t="shared" si="138"/>
        <v>0</v>
      </c>
      <c r="AA492">
        <f t="shared" si="139"/>
        <v>0</v>
      </c>
      <c r="AC492">
        <f t="shared" ref="AC492:AC543" si="147">Threshold*I492-C492</f>
        <v>253140.09139488288</v>
      </c>
      <c r="AD492">
        <f t="shared" ref="AD492:AD543" si="148">Threshold*J492-D492</f>
        <v>251488.9366994088</v>
      </c>
      <c r="AE492">
        <f t="shared" ref="AE492:AE543" si="149">Threshold*K492-E492</f>
        <v>249480.8725251102</v>
      </c>
      <c r="AF492">
        <f t="shared" ref="AF492:AF543" si="150">Threshold*L492-F492</f>
        <v>248474.36169448338</v>
      </c>
      <c r="AG492">
        <f t="shared" ref="AG492:AG543" si="151">Threshold*M492-G492</f>
        <v>246771.90875258308</v>
      </c>
      <c r="AH492">
        <f t="shared" ref="AH492:AH543" si="152">Threshold*N492-H492</f>
        <v>244578.19547290547</v>
      </c>
      <c r="AI492">
        <f t="shared" si="140"/>
        <v>253140.09139488288</v>
      </c>
    </row>
    <row r="493" spans="2:35" x14ac:dyDescent="0.3">
      <c r="B493">
        <v>450</v>
      </c>
      <c r="C493">
        <v>77363.363800000006</v>
      </c>
      <c r="D493">
        <v>76786.530400000003</v>
      </c>
      <c r="E493">
        <v>77197.323300000004</v>
      </c>
      <c r="F493">
        <v>77089.659199999995</v>
      </c>
      <c r="G493">
        <v>77784.181599999996</v>
      </c>
      <c r="H493">
        <v>78189.470400000006</v>
      </c>
      <c r="I493">
        <v>9.6089210709601822</v>
      </c>
      <c r="J493">
        <v>9.573251466497684</v>
      </c>
      <c r="K493">
        <v>9.5522353804681988</v>
      </c>
      <c r="L493">
        <v>9.5399835362564218</v>
      </c>
      <c r="M493">
        <v>9.5114364546775434</v>
      </c>
      <c r="N493">
        <v>9.480313925876283</v>
      </c>
      <c r="P493">
        <f t="shared" si="141"/>
        <v>210904.26832880545</v>
      </c>
      <c r="Q493">
        <f t="shared" si="142"/>
        <v>210411.01359493053</v>
      </c>
      <c r="R493">
        <f t="shared" si="143"/>
        <v>209369.73811404599</v>
      </c>
      <c r="S493">
        <f t="shared" si="144"/>
        <v>209109.84688769263</v>
      </c>
      <c r="T493">
        <f t="shared" si="145"/>
        <v>207558.91204032628</v>
      </c>
      <c r="U493">
        <f t="shared" si="146"/>
        <v>206219.94737628847</v>
      </c>
      <c r="V493">
        <f t="shared" ref="V493:V543" si="153">IF(MAX(P493:U493)=P493, 1, 0)</f>
        <v>1</v>
      </c>
      <c r="W493">
        <f t="shared" ref="W493:W543" si="154">IF(MAX(P493:U493)=Q493, 1, 0)</f>
        <v>0</v>
      </c>
      <c r="X493">
        <f t="shared" ref="X493:X543" si="155">IF(MAX(P493:U493)=R493, 1, 0)</f>
        <v>0</v>
      </c>
      <c r="Y493">
        <f t="shared" ref="Y493:Y543" si="156">IF(MAX(P493:U493)=S493, 1, 0)</f>
        <v>0</v>
      </c>
      <c r="Z493">
        <f t="shared" ref="Z493:Z543" si="157">IF(MAX(P493:U493)=T493, 1, 0)</f>
        <v>0</v>
      </c>
      <c r="AA493">
        <f t="shared" ref="AA493:AA542" si="158">IF(MAX(P493:U493)=U493, 1, 0)</f>
        <v>0</v>
      </c>
      <c r="AC493">
        <f t="shared" si="147"/>
        <v>210904.26832880545</v>
      </c>
      <c r="AD493">
        <f t="shared" si="148"/>
        <v>210411.01359493053</v>
      </c>
      <c r="AE493">
        <f t="shared" si="149"/>
        <v>209369.73811404599</v>
      </c>
      <c r="AF493">
        <f t="shared" si="150"/>
        <v>209109.84688769263</v>
      </c>
      <c r="AG493">
        <f t="shared" si="151"/>
        <v>207558.91204032628</v>
      </c>
      <c r="AH493">
        <f t="shared" si="152"/>
        <v>206219.94737628847</v>
      </c>
      <c r="AI493">
        <f t="shared" ref="AI493:AI556" si="159">MAX(AC493:AH493)</f>
        <v>210904.26832880545</v>
      </c>
    </row>
    <row r="494" spans="2:35" x14ac:dyDescent="0.3">
      <c r="B494">
        <v>451</v>
      </c>
      <c r="C494">
        <v>77036.609400000001</v>
      </c>
      <c r="D494">
        <v>75958.66</v>
      </c>
      <c r="E494">
        <v>76143.724000000002</v>
      </c>
      <c r="F494">
        <v>75863.160799999998</v>
      </c>
      <c r="G494">
        <v>75912.721399999995</v>
      </c>
      <c r="H494">
        <v>76276.619000000006</v>
      </c>
      <c r="I494">
        <v>9.1153770931917606</v>
      </c>
      <c r="J494">
        <v>9.0802722095692499</v>
      </c>
      <c r="K494">
        <v>9.0612060514362192</v>
      </c>
      <c r="L494">
        <v>9.0471349747593717</v>
      </c>
      <c r="M494">
        <v>9.0221172865910315</v>
      </c>
      <c r="N494">
        <v>9.0054855573567387</v>
      </c>
      <c r="P494">
        <f t="shared" si="141"/>
        <v>196424.70339575282</v>
      </c>
      <c r="Q494">
        <f t="shared" si="142"/>
        <v>196449.50628707747</v>
      </c>
      <c r="R494">
        <f t="shared" si="143"/>
        <v>195692.45754308661</v>
      </c>
      <c r="S494">
        <f t="shared" si="144"/>
        <v>195550.88844278111</v>
      </c>
      <c r="T494">
        <f t="shared" si="145"/>
        <v>194750.79719773098</v>
      </c>
      <c r="U494">
        <f t="shared" si="146"/>
        <v>193887.94772070216</v>
      </c>
      <c r="V494">
        <f t="shared" si="153"/>
        <v>0</v>
      </c>
      <c r="W494">
        <f t="shared" si="154"/>
        <v>1</v>
      </c>
      <c r="X494">
        <f t="shared" si="155"/>
        <v>0</v>
      </c>
      <c r="Y494">
        <f t="shared" si="156"/>
        <v>0</v>
      </c>
      <c r="Z494">
        <f t="shared" si="157"/>
        <v>0</v>
      </c>
      <c r="AA494">
        <f t="shared" si="158"/>
        <v>0</v>
      </c>
      <c r="AC494">
        <f t="shared" si="147"/>
        <v>196424.70339575282</v>
      </c>
      <c r="AD494">
        <f t="shared" si="148"/>
        <v>196449.50628707747</v>
      </c>
      <c r="AE494">
        <f t="shared" si="149"/>
        <v>195692.45754308661</v>
      </c>
      <c r="AF494">
        <f t="shared" si="150"/>
        <v>195550.88844278111</v>
      </c>
      <c r="AG494">
        <f t="shared" si="151"/>
        <v>194750.79719773098</v>
      </c>
      <c r="AH494">
        <f t="shared" si="152"/>
        <v>193887.94772070216</v>
      </c>
      <c r="AI494">
        <f t="shared" si="159"/>
        <v>196449.50628707747</v>
      </c>
    </row>
    <row r="495" spans="2:35" x14ac:dyDescent="0.3">
      <c r="B495">
        <v>452</v>
      </c>
      <c r="C495">
        <v>83671.95</v>
      </c>
      <c r="D495">
        <v>83164.3033</v>
      </c>
      <c r="E495">
        <v>84100.408500000005</v>
      </c>
      <c r="F495">
        <v>83923.231599999999</v>
      </c>
      <c r="G495">
        <v>84892.071800000005</v>
      </c>
      <c r="H495">
        <v>85781.3747</v>
      </c>
      <c r="I495">
        <v>9.8279104705592317</v>
      </c>
      <c r="J495">
        <v>9.8083616724041214</v>
      </c>
      <c r="K495">
        <v>9.7913104493139276</v>
      </c>
      <c r="L495">
        <v>9.7807246383924298</v>
      </c>
      <c r="M495">
        <v>9.7604919288702821</v>
      </c>
      <c r="N495">
        <v>9.7437095440866539</v>
      </c>
      <c r="P495">
        <f t="shared" si="141"/>
        <v>211165.36411677697</v>
      </c>
      <c r="Q495">
        <f t="shared" si="142"/>
        <v>211086.54687212364</v>
      </c>
      <c r="R495">
        <f t="shared" si="143"/>
        <v>209638.9049794178</v>
      </c>
      <c r="S495">
        <f t="shared" si="144"/>
        <v>209498.50755177287</v>
      </c>
      <c r="T495">
        <f t="shared" si="145"/>
        <v>207922.68606610844</v>
      </c>
      <c r="U495">
        <f t="shared" si="146"/>
        <v>206529.91162259964</v>
      </c>
      <c r="V495">
        <f t="shared" si="153"/>
        <v>1</v>
      </c>
      <c r="W495">
        <f t="shared" si="154"/>
        <v>0</v>
      </c>
      <c r="X495">
        <f t="shared" si="155"/>
        <v>0</v>
      </c>
      <c r="Y495">
        <f t="shared" si="156"/>
        <v>0</v>
      </c>
      <c r="Z495">
        <f t="shared" si="157"/>
        <v>0</v>
      </c>
      <c r="AA495">
        <f t="shared" si="158"/>
        <v>0</v>
      </c>
      <c r="AC495">
        <f t="shared" si="147"/>
        <v>211165.36411677697</v>
      </c>
      <c r="AD495">
        <f t="shared" si="148"/>
        <v>211086.54687212364</v>
      </c>
      <c r="AE495">
        <f t="shared" si="149"/>
        <v>209638.9049794178</v>
      </c>
      <c r="AF495">
        <f t="shared" si="150"/>
        <v>209498.50755177287</v>
      </c>
      <c r="AG495">
        <f t="shared" si="151"/>
        <v>207922.68606610844</v>
      </c>
      <c r="AH495">
        <f t="shared" si="152"/>
        <v>206529.91162259964</v>
      </c>
      <c r="AI495">
        <f t="shared" si="159"/>
        <v>211165.36411677697</v>
      </c>
    </row>
    <row r="496" spans="2:35" x14ac:dyDescent="0.3">
      <c r="B496">
        <v>453</v>
      </c>
      <c r="C496">
        <v>73997.047099999996</v>
      </c>
      <c r="D496">
        <v>72522.105200000005</v>
      </c>
      <c r="E496">
        <v>72197.395399999994</v>
      </c>
      <c r="F496">
        <v>72041.032500000001</v>
      </c>
      <c r="G496">
        <v>71722.1103</v>
      </c>
      <c r="H496">
        <v>71648.244600000005</v>
      </c>
      <c r="I496">
        <v>9.7411040359169778</v>
      </c>
      <c r="J496">
        <v>9.7229381297998216</v>
      </c>
      <c r="K496">
        <v>9.7087723161413528</v>
      </c>
      <c r="L496">
        <v>9.7050728498845746</v>
      </c>
      <c r="M496">
        <v>9.6887594659645071</v>
      </c>
      <c r="N496">
        <v>9.6770642779399889</v>
      </c>
      <c r="P496">
        <f t="shared" si="141"/>
        <v>218236.07397750931</v>
      </c>
      <c r="Q496">
        <f t="shared" si="142"/>
        <v>219166.03869399463</v>
      </c>
      <c r="R496">
        <f t="shared" si="143"/>
        <v>219065.77408424061</v>
      </c>
      <c r="S496">
        <f t="shared" si="144"/>
        <v>219111.15299653725</v>
      </c>
      <c r="T496">
        <f t="shared" si="145"/>
        <v>218940.67367893521</v>
      </c>
      <c r="U496">
        <f t="shared" si="146"/>
        <v>218663.68373819967</v>
      </c>
      <c r="V496">
        <f t="shared" si="153"/>
        <v>0</v>
      </c>
      <c r="W496">
        <f t="shared" si="154"/>
        <v>1</v>
      </c>
      <c r="X496">
        <f t="shared" si="155"/>
        <v>0</v>
      </c>
      <c r="Y496">
        <f t="shared" si="156"/>
        <v>0</v>
      </c>
      <c r="Z496">
        <f t="shared" si="157"/>
        <v>0</v>
      </c>
      <c r="AA496">
        <f t="shared" si="158"/>
        <v>0</v>
      </c>
      <c r="AC496">
        <f t="shared" si="147"/>
        <v>218236.07397750931</v>
      </c>
      <c r="AD496">
        <f t="shared" si="148"/>
        <v>219166.03869399463</v>
      </c>
      <c r="AE496">
        <f t="shared" si="149"/>
        <v>219065.77408424061</v>
      </c>
      <c r="AF496">
        <f t="shared" si="150"/>
        <v>219111.15299653725</v>
      </c>
      <c r="AG496">
        <f t="shared" si="151"/>
        <v>218940.67367893521</v>
      </c>
      <c r="AH496">
        <f t="shared" si="152"/>
        <v>218663.68373819967</v>
      </c>
      <c r="AI496">
        <f t="shared" si="159"/>
        <v>219166.03869399463</v>
      </c>
    </row>
    <row r="497" spans="2:35" x14ac:dyDescent="0.3">
      <c r="B497">
        <v>454</v>
      </c>
      <c r="C497">
        <v>85911.152499999997</v>
      </c>
      <c r="D497">
        <v>84709.287599999996</v>
      </c>
      <c r="E497">
        <v>84790.560200000007</v>
      </c>
      <c r="F497">
        <v>84566.113800000006</v>
      </c>
      <c r="G497">
        <v>84643.4804</v>
      </c>
      <c r="H497">
        <v>84829.513800000001</v>
      </c>
      <c r="I497">
        <v>9.3747689659848152</v>
      </c>
      <c r="J497">
        <v>9.3457132026493479</v>
      </c>
      <c r="K497">
        <v>9.3129212322948085</v>
      </c>
      <c r="L497">
        <v>9.3052250268543144</v>
      </c>
      <c r="M497">
        <v>9.2625831288573952</v>
      </c>
      <c r="N497">
        <v>9.2383015840749252</v>
      </c>
      <c r="P497">
        <f t="shared" si="141"/>
        <v>195331.91647954445</v>
      </c>
      <c r="Q497">
        <f t="shared" si="142"/>
        <v>195662.10847948043</v>
      </c>
      <c r="R497">
        <f t="shared" si="143"/>
        <v>194597.07676884427</v>
      </c>
      <c r="S497">
        <f t="shared" si="144"/>
        <v>194590.63700562943</v>
      </c>
      <c r="T497">
        <f t="shared" si="145"/>
        <v>193234.01346572186</v>
      </c>
      <c r="U497">
        <f t="shared" si="146"/>
        <v>192319.53372224775</v>
      </c>
      <c r="V497">
        <f t="shared" si="153"/>
        <v>0</v>
      </c>
      <c r="W497">
        <f t="shared" si="154"/>
        <v>1</v>
      </c>
      <c r="X497">
        <f t="shared" si="155"/>
        <v>0</v>
      </c>
      <c r="Y497">
        <f t="shared" si="156"/>
        <v>0</v>
      </c>
      <c r="Z497">
        <f t="shared" si="157"/>
        <v>0</v>
      </c>
      <c r="AA497">
        <f t="shared" si="158"/>
        <v>0</v>
      </c>
      <c r="AC497">
        <f t="shared" si="147"/>
        <v>195331.91647954445</v>
      </c>
      <c r="AD497">
        <f t="shared" si="148"/>
        <v>195662.10847948043</v>
      </c>
      <c r="AE497">
        <f t="shared" si="149"/>
        <v>194597.07676884427</v>
      </c>
      <c r="AF497">
        <f t="shared" si="150"/>
        <v>194590.63700562943</v>
      </c>
      <c r="AG497">
        <f t="shared" si="151"/>
        <v>193234.01346572186</v>
      </c>
      <c r="AH497">
        <f t="shared" si="152"/>
        <v>192319.53372224775</v>
      </c>
      <c r="AI497">
        <f t="shared" si="159"/>
        <v>195662.10847948043</v>
      </c>
    </row>
    <row r="498" spans="2:35" x14ac:dyDescent="0.3">
      <c r="B498">
        <v>455</v>
      </c>
      <c r="C498">
        <v>82407.636100000003</v>
      </c>
      <c r="D498">
        <v>81022.814100000003</v>
      </c>
      <c r="E498">
        <v>80931.788799999995</v>
      </c>
      <c r="F498">
        <v>80650.242800000007</v>
      </c>
      <c r="G498">
        <v>80437.723700000002</v>
      </c>
      <c r="H498">
        <v>80104.2022</v>
      </c>
      <c r="I498">
        <v>11.010911637362131</v>
      </c>
      <c r="J498">
        <v>10.914226840842533</v>
      </c>
      <c r="K498">
        <v>10.857694991258318</v>
      </c>
      <c r="L498">
        <v>10.823388909759363</v>
      </c>
      <c r="M498">
        <v>10.753964321080543</v>
      </c>
      <c r="N498">
        <v>10.670817703933878</v>
      </c>
      <c r="P498">
        <f t="shared" si="141"/>
        <v>247919.71302086394</v>
      </c>
      <c r="Q498">
        <f t="shared" si="142"/>
        <v>246403.99112527596</v>
      </c>
      <c r="R498">
        <f t="shared" si="143"/>
        <v>244799.06093774957</v>
      </c>
      <c r="S498">
        <f t="shared" si="144"/>
        <v>244051.42449278088</v>
      </c>
      <c r="T498">
        <f t="shared" si="145"/>
        <v>242181.20593241628</v>
      </c>
      <c r="U498">
        <f t="shared" si="146"/>
        <v>240020.32891801634</v>
      </c>
      <c r="V498">
        <f t="shared" si="153"/>
        <v>1</v>
      </c>
      <c r="W498">
        <f t="shared" si="154"/>
        <v>0</v>
      </c>
      <c r="X498">
        <f t="shared" si="155"/>
        <v>0</v>
      </c>
      <c r="Y498">
        <f t="shared" si="156"/>
        <v>0</v>
      </c>
      <c r="Z498">
        <f t="shared" si="157"/>
        <v>0</v>
      </c>
      <c r="AA498">
        <f t="shared" si="158"/>
        <v>0</v>
      </c>
      <c r="AC498">
        <f t="shared" si="147"/>
        <v>247919.71302086394</v>
      </c>
      <c r="AD498">
        <f t="shared" si="148"/>
        <v>246403.99112527596</v>
      </c>
      <c r="AE498">
        <f t="shared" si="149"/>
        <v>244799.06093774957</v>
      </c>
      <c r="AF498">
        <f t="shared" si="150"/>
        <v>244051.42449278088</v>
      </c>
      <c r="AG498">
        <f t="shared" si="151"/>
        <v>242181.20593241628</v>
      </c>
      <c r="AH498">
        <f t="shared" si="152"/>
        <v>240020.32891801634</v>
      </c>
      <c r="AI498">
        <f t="shared" si="159"/>
        <v>247919.71302086394</v>
      </c>
    </row>
    <row r="499" spans="2:35" x14ac:dyDescent="0.3">
      <c r="B499">
        <v>456</v>
      </c>
      <c r="C499">
        <v>82956.774799999999</v>
      </c>
      <c r="D499">
        <v>82321.811300000001</v>
      </c>
      <c r="E499">
        <v>82650.691000000006</v>
      </c>
      <c r="F499">
        <v>82508.165500000003</v>
      </c>
      <c r="G499">
        <v>83138.998300000007</v>
      </c>
      <c r="H499">
        <v>83476.203299999994</v>
      </c>
      <c r="I499">
        <v>10.432274164249527</v>
      </c>
      <c r="J499">
        <v>10.402004759887982</v>
      </c>
      <c r="K499">
        <v>10.385194746744844</v>
      </c>
      <c r="L499">
        <v>10.37577741086977</v>
      </c>
      <c r="M499">
        <v>10.357247272172081</v>
      </c>
      <c r="N499">
        <v>10.334695320578726</v>
      </c>
      <c r="P499">
        <f t="shared" si="141"/>
        <v>230011.45012748579</v>
      </c>
      <c r="Q499">
        <f t="shared" si="142"/>
        <v>229738.33149663947</v>
      </c>
      <c r="R499">
        <f t="shared" si="143"/>
        <v>228905.15140234533</v>
      </c>
      <c r="S499">
        <f t="shared" si="144"/>
        <v>228765.15682609309</v>
      </c>
      <c r="T499">
        <f t="shared" si="145"/>
        <v>227578.41986516243</v>
      </c>
      <c r="U499">
        <f t="shared" si="146"/>
        <v>226564.65631736181</v>
      </c>
      <c r="V499">
        <f t="shared" si="153"/>
        <v>1</v>
      </c>
      <c r="W499">
        <f t="shared" si="154"/>
        <v>0</v>
      </c>
      <c r="X499">
        <f t="shared" si="155"/>
        <v>0</v>
      </c>
      <c r="Y499">
        <f t="shared" si="156"/>
        <v>0</v>
      </c>
      <c r="Z499">
        <f t="shared" si="157"/>
        <v>0</v>
      </c>
      <c r="AA499">
        <f t="shared" si="158"/>
        <v>0</v>
      </c>
      <c r="AC499">
        <f t="shared" si="147"/>
        <v>230011.45012748579</v>
      </c>
      <c r="AD499">
        <f t="shared" si="148"/>
        <v>229738.33149663947</v>
      </c>
      <c r="AE499">
        <f t="shared" si="149"/>
        <v>228905.15140234533</v>
      </c>
      <c r="AF499">
        <f t="shared" si="150"/>
        <v>228765.15682609309</v>
      </c>
      <c r="AG499">
        <f t="shared" si="151"/>
        <v>227578.41986516243</v>
      </c>
      <c r="AH499">
        <f t="shared" si="152"/>
        <v>226564.65631736181</v>
      </c>
      <c r="AI499">
        <f t="shared" si="159"/>
        <v>230011.45012748579</v>
      </c>
    </row>
    <row r="500" spans="2:35" x14ac:dyDescent="0.3">
      <c r="B500">
        <v>457</v>
      </c>
      <c r="C500">
        <v>83521.893299999996</v>
      </c>
      <c r="D500">
        <v>83026.3842</v>
      </c>
      <c r="E500">
        <v>83536.054699999993</v>
      </c>
      <c r="F500">
        <v>83410.361499999999</v>
      </c>
      <c r="G500">
        <v>84397.767000000007</v>
      </c>
      <c r="H500">
        <v>84845.143800000005</v>
      </c>
      <c r="I500">
        <v>9.7209082355747221</v>
      </c>
      <c r="J500">
        <v>9.694820439052739</v>
      </c>
      <c r="K500">
        <v>9.674110832143386</v>
      </c>
      <c r="L500">
        <v>9.6637073183835565</v>
      </c>
      <c r="M500">
        <v>9.6362291829176776</v>
      </c>
      <c r="N500">
        <v>9.6117485405609884</v>
      </c>
      <c r="P500">
        <f t="shared" si="141"/>
        <v>208105.35376724164</v>
      </c>
      <c r="Q500">
        <f t="shared" si="142"/>
        <v>207818.22897158217</v>
      </c>
      <c r="R500">
        <f t="shared" si="143"/>
        <v>206687.27026430162</v>
      </c>
      <c r="S500">
        <f t="shared" si="144"/>
        <v>206500.85805150669</v>
      </c>
      <c r="T500">
        <f t="shared" si="145"/>
        <v>204689.10848753032</v>
      </c>
      <c r="U500">
        <f t="shared" si="146"/>
        <v>203507.31241682963</v>
      </c>
      <c r="V500">
        <f t="shared" si="153"/>
        <v>1</v>
      </c>
      <c r="W500">
        <f t="shared" si="154"/>
        <v>0</v>
      </c>
      <c r="X500">
        <f t="shared" si="155"/>
        <v>0</v>
      </c>
      <c r="Y500">
        <f t="shared" si="156"/>
        <v>0</v>
      </c>
      <c r="Z500">
        <f t="shared" si="157"/>
        <v>0</v>
      </c>
      <c r="AA500">
        <f t="shared" si="158"/>
        <v>0</v>
      </c>
      <c r="AC500">
        <f t="shared" si="147"/>
        <v>208105.35376724164</v>
      </c>
      <c r="AD500">
        <f t="shared" si="148"/>
        <v>207818.22897158217</v>
      </c>
      <c r="AE500">
        <f t="shared" si="149"/>
        <v>206687.27026430162</v>
      </c>
      <c r="AF500">
        <f t="shared" si="150"/>
        <v>206500.85805150669</v>
      </c>
      <c r="AG500">
        <f t="shared" si="151"/>
        <v>204689.10848753032</v>
      </c>
      <c r="AH500">
        <f t="shared" si="152"/>
        <v>203507.31241682963</v>
      </c>
      <c r="AI500">
        <f t="shared" si="159"/>
        <v>208105.35376724164</v>
      </c>
    </row>
    <row r="501" spans="2:35" x14ac:dyDescent="0.3">
      <c r="B501">
        <v>458</v>
      </c>
      <c r="C501">
        <v>85680.300399999993</v>
      </c>
      <c r="D501">
        <v>85390.818899999998</v>
      </c>
      <c r="E501">
        <v>85806.534499999994</v>
      </c>
      <c r="F501">
        <v>86114.4761</v>
      </c>
      <c r="G501">
        <v>86452.333299999998</v>
      </c>
      <c r="H501">
        <v>87383.094800000006</v>
      </c>
      <c r="I501">
        <v>10.736272318533794</v>
      </c>
      <c r="J501">
        <v>10.726574807994474</v>
      </c>
      <c r="K501">
        <v>10.72198216438569</v>
      </c>
      <c r="L501">
        <v>10.715246220991014</v>
      </c>
      <c r="M501">
        <v>10.712735458384918</v>
      </c>
      <c r="N501">
        <v>10.699558667683759</v>
      </c>
      <c r="P501">
        <f t="shared" si="141"/>
        <v>236407.86915601382</v>
      </c>
      <c r="Q501">
        <f t="shared" si="142"/>
        <v>236406.42533983424</v>
      </c>
      <c r="R501">
        <f t="shared" si="143"/>
        <v>235852.93043157068</v>
      </c>
      <c r="S501">
        <f t="shared" si="144"/>
        <v>235342.9105297304</v>
      </c>
      <c r="T501">
        <f t="shared" si="145"/>
        <v>234929.73045154754</v>
      </c>
      <c r="U501">
        <f t="shared" si="146"/>
        <v>233603.66523051274</v>
      </c>
      <c r="V501">
        <f t="shared" si="153"/>
        <v>1</v>
      </c>
      <c r="W501">
        <f t="shared" si="154"/>
        <v>0</v>
      </c>
      <c r="X501">
        <f t="shared" si="155"/>
        <v>0</v>
      </c>
      <c r="Y501">
        <f t="shared" si="156"/>
        <v>0</v>
      </c>
      <c r="Z501">
        <f t="shared" si="157"/>
        <v>0</v>
      </c>
      <c r="AA501">
        <f t="shared" si="158"/>
        <v>0</v>
      </c>
      <c r="AC501">
        <f t="shared" si="147"/>
        <v>236407.86915601382</v>
      </c>
      <c r="AD501">
        <f t="shared" si="148"/>
        <v>236406.42533983424</v>
      </c>
      <c r="AE501">
        <f t="shared" si="149"/>
        <v>235852.93043157068</v>
      </c>
      <c r="AF501">
        <f t="shared" si="150"/>
        <v>235342.9105297304</v>
      </c>
      <c r="AG501">
        <f t="shared" si="151"/>
        <v>234929.73045154754</v>
      </c>
      <c r="AH501">
        <f t="shared" si="152"/>
        <v>233603.66523051274</v>
      </c>
      <c r="AI501">
        <f t="shared" si="159"/>
        <v>236407.86915601382</v>
      </c>
    </row>
    <row r="502" spans="2:35" x14ac:dyDescent="0.3">
      <c r="B502">
        <v>459</v>
      </c>
      <c r="C502">
        <v>82046.264800000004</v>
      </c>
      <c r="D502">
        <v>81199.551999999996</v>
      </c>
      <c r="E502">
        <v>81622.2016</v>
      </c>
      <c r="F502">
        <v>81703.963699999993</v>
      </c>
      <c r="G502">
        <v>81859.051200000002</v>
      </c>
      <c r="H502">
        <v>82332.527000000002</v>
      </c>
      <c r="I502">
        <v>9.4630457136488957</v>
      </c>
      <c r="J502">
        <v>9.439592928696996</v>
      </c>
      <c r="K502">
        <v>9.4213413565649589</v>
      </c>
      <c r="L502">
        <v>9.4097723538338087</v>
      </c>
      <c r="M502">
        <v>9.393098239245715</v>
      </c>
      <c r="N502">
        <v>9.3659576865161362</v>
      </c>
      <c r="P502">
        <f t="shared" si="141"/>
        <v>201845.10660946689</v>
      </c>
      <c r="Q502">
        <f t="shared" si="142"/>
        <v>201988.23586090989</v>
      </c>
      <c r="R502">
        <f t="shared" si="143"/>
        <v>201018.03909694878</v>
      </c>
      <c r="S502">
        <f t="shared" si="144"/>
        <v>200589.20691501428</v>
      </c>
      <c r="T502">
        <f t="shared" si="145"/>
        <v>199933.89597737149</v>
      </c>
      <c r="U502">
        <f t="shared" si="146"/>
        <v>198646.20359548408</v>
      </c>
      <c r="V502">
        <f t="shared" si="153"/>
        <v>0</v>
      </c>
      <c r="W502">
        <f t="shared" si="154"/>
        <v>1</v>
      </c>
      <c r="X502">
        <f t="shared" si="155"/>
        <v>0</v>
      </c>
      <c r="Y502">
        <f t="shared" si="156"/>
        <v>0</v>
      </c>
      <c r="Z502">
        <f t="shared" si="157"/>
        <v>0</v>
      </c>
      <c r="AA502">
        <f t="shared" si="158"/>
        <v>0</v>
      </c>
      <c r="AC502">
        <f t="shared" si="147"/>
        <v>201845.10660946689</v>
      </c>
      <c r="AD502">
        <f t="shared" si="148"/>
        <v>201988.23586090989</v>
      </c>
      <c r="AE502">
        <f t="shared" si="149"/>
        <v>201018.03909694878</v>
      </c>
      <c r="AF502">
        <f t="shared" si="150"/>
        <v>200589.20691501428</v>
      </c>
      <c r="AG502">
        <f t="shared" si="151"/>
        <v>199933.89597737149</v>
      </c>
      <c r="AH502">
        <f t="shared" si="152"/>
        <v>198646.20359548408</v>
      </c>
      <c r="AI502">
        <f t="shared" si="159"/>
        <v>201988.23586090989</v>
      </c>
    </row>
    <row r="503" spans="2:35" x14ac:dyDescent="0.3">
      <c r="B503">
        <v>460</v>
      </c>
      <c r="C503">
        <v>77444.598499999993</v>
      </c>
      <c r="D503">
        <v>76921.2166</v>
      </c>
      <c r="E503">
        <v>77345.231700000004</v>
      </c>
      <c r="F503">
        <v>77486.925399999993</v>
      </c>
      <c r="G503">
        <v>78081.184299999994</v>
      </c>
      <c r="H503">
        <v>78627.446400000001</v>
      </c>
      <c r="I503">
        <v>10.466171033861166</v>
      </c>
      <c r="J503">
        <v>10.452278358213649</v>
      </c>
      <c r="K503">
        <v>10.442997798152845</v>
      </c>
      <c r="L503">
        <v>10.437732920948253</v>
      </c>
      <c r="M503">
        <v>10.427256681395551</v>
      </c>
      <c r="N503">
        <v>10.417093593156045</v>
      </c>
      <c r="P503">
        <f t="shared" si="141"/>
        <v>236540.53251583499</v>
      </c>
      <c r="Q503">
        <f t="shared" si="142"/>
        <v>236647.13414640946</v>
      </c>
      <c r="R503">
        <f t="shared" si="143"/>
        <v>235944.70224458538</v>
      </c>
      <c r="S503">
        <f t="shared" si="144"/>
        <v>235645.06222844758</v>
      </c>
      <c r="T503">
        <f t="shared" si="145"/>
        <v>234736.51614186654</v>
      </c>
      <c r="U503">
        <f t="shared" si="146"/>
        <v>233885.36139468133</v>
      </c>
      <c r="V503">
        <f t="shared" si="153"/>
        <v>0</v>
      </c>
      <c r="W503">
        <f t="shared" si="154"/>
        <v>1</v>
      </c>
      <c r="X503">
        <f t="shared" si="155"/>
        <v>0</v>
      </c>
      <c r="Y503">
        <f t="shared" si="156"/>
        <v>0</v>
      </c>
      <c r="Z503">
        <f t="shared" si="157"/>
        <v>0</v>
      </c>
      <c r="AA503">
        <f t="shared" si="158"/>
        <v>0</v>
      </c>
      <c r="AC503">
        <f t="shared" si="147"/>
        <v>236540.53251583499</v>
      </c>
      <c r="AD503">
        <f t="shared" si="148"/>
        <v>236647.13414640946</v>
      </c>
      <c r="AE503">
        <f t="shared" si="149"/>
        <v>235944.70224458538</v>
      </c>
      <c r="AF503">
        <f t="shared" si="150"/>
        <v>235645.06222844758</v>
      </c>
      <c r="AG503">
        <f t="shared" si="151"/>
        <v>234736.51614186654</v>
      </c>
      <c r="AH503">
        <f t="shared" si="152"/>
        <v>233885.36139468133</v>
      </c>
      <c r="AI503">
        <f t="shared" si="159"/>
        <v>236647.13414640946</v>
      </c>
    </row>
    <row r="504" spans="2:35" x14ac:dyDescent="0.3">
      <c r="B504">
        <v>461</v>
      </c>
      <c r="C504">
        <v>69658.981700000004</v>
      </c>
      <c r="D504">
        <v>68616.157999999996</v>
      </c>
      <c r="E504">
        <v>69149.352700000003</v>
      </c>
      <c r="F504">
        <v>69047.502500000002</v>
      </c>
      <c r="G504">
        <v>69165.775399999999</v>
      </c>
      <c r="H504">
        <v>69661.478900000002</v>
      </c>
      <c r="I504">
        <v>11.136560158096945</v>
      </c>
      <c r="J504">
        <v>11.108267016598314</v>
      </c>
      <c r="K504">
        <v>11.094605871939955</v>
      </c>
      <c r="L504">
        <v>11.084367069651757</v>
      </c>
      <c r="M504">
        <v>11.059272161503452</v>
      </c>
      <c r="N504">
        <v>11.044338782215805</v>
      </c>
      <c r="P504">
        <f t="shared" si="141"/>
        <v>264437.82304290833</v>
      </c>
      <c r="Q504">
        <f t="shared" si="142"/>
        <v>264631.85249794938</v>
      </c>
      <c r="R504">
        <f t="shared" si="143"/>
        <v>263688.82345819863</v>
      </c>
      <c r="S504">
        <f t="shared" si="144"/>
        <v>263483.5095895527</v>
      </c>
      <c r="T504">
        <f t="shared" si="145"/>
        <v>262612.38944510359</v>
      </c>
      <c r="U504">
        <f t="shared" si="146"/>
        <v>261668.68456647417</v>
      </c>
      <c r="V504">
        <f t="shared" si="153"/>
        <v>0</v>
      </c>
      <c r="W504">
        <f t="shared" si="154"/>
        <v>1</v>
      </c>
      <c r="X504">
        <f t="shared" si="155"/>
        <v>0</v>
      </c>
      <c r="Y504">
        <f t="shared" si="156"/>
        <v>0</v>
      </c>
      <c r="Z504">
        <f t="shared" si="157"/>
        <v>0</v>
      </c>
      <c r="AA504">
        <f t="shared" si="158"/>
        <v>0</v>
      </c>
      <c r="AC504">
        <f t="shared" si="147"/>
        <v>264437.82304290833</v>
      </c>
      <c r="AD504">
        <f t="shared" si="148"/>
        <v>264631.85249794938</v>
      </c>
      <c r="AE504">
        <f t="shared" si="149"/>
        <v>263688.82345819863</v>
      </c>
      <c r="AF504">
        <f t="shared" si="150"/>
        <v>263483.5095895527</v>
      </c>
      <c r="AG504">
        <f t="shared" si="151"/>
        <v>262612.38944510359</v>
      </c>
      <c r="AH504">
        <f t="shared" si="152"/>
        <v>261668.68456647417</v>
      </c>
      <c r="AI504">
        <f t="shared" si="159"/>
        <v>264631.85249794938</v>
      </c>
    </row>
    <row r="505" spans="2:35" x14ac:dyDescent="0.3">
      <c r="B505">
        <v>462</v>
      </c>
      <c r="C505">
        <v>76189.609800000006</v>
      </c>
      <c r="D505">
        <v>75727.015100000004</v>
      </c>
      <c r="E505">
        <v>76408.857300000003</v>
      </c>
      <c r="F505">
        <v>76337.412899999996</v>
      </c>
      <c r="G505">
        <v>77037.881999999998</v>
      </c>
      <c r="H505">
        <v>77671.243600000002</v>
      </c>
      <c r="I505">
        <v>10.806728574171574</v>
      </c>
      <c r="J505">
        <v>10.75925981106198</v>
      </c>
      <c r="K505">
        <v>10.731592987131025</v>
      </c>
      <c r="L505">
        <v>10.715570245640347</v>
      </c>
      <c r="M505">
        <v>10.684603140694348</v>
      </c>
      <c r="N505">
        <v>10.64793708013549</v>
      </c>
      <c r="P505">
        <f t="shared" si="141"/>
        <v>248012.24742514719</v>
      </c>
      <c r="Q505">
        <f t="shared" si="142"/>
        <v>247050.77923185937</v>
      </c>
      <c r="R505">
        <f t="shared" si="143"/>
        <v>245538.93231393074</v>
      </c>
      <c r="S505">
        <f t="shared" si="144"/>
        <v>245129.6944692104</v>
      </c>
      <c r="T505">
        <f t="shared" si="145"/>
        <v>243500.21222083044</v>
      </c>
      <c r="U505">
        <f t="shared" si="146"/>
        <v>241766.8688040647</v>
      </c>
      <c r="V505">
        <f t="shared" si="153"/>
        <v>1</v>
      </c>
      <c r="W505">
        <f t="shared" si="154"/>
        <v>0</v>
      </c>
      <c r="X505">
        <f t="shared" si="155"/>
        <v>0</v>
      </c>
      <c r="Y505">
        <f t="shared" si="156"/>
        <v>0</v>
      </c>
      <c r="Z505">
        <f t="shared" si="157"/>
        <v>0</v>
      </c>
      <c r="AA505">
        <f t="shared" si="158"/>
        <v>0</v>
      </c>
      <c r="AC505">
        <f t="shared" si="147"/>
        <v>248012.24742514719</v>
      </c>
      <c r="AD505">
        <f t="shared" si="148"/>
        <v>247050.77923185937</v>
      </c>
      <c r="AE505">
        <f t="shared" si="149"/>
        <v>245538.93231393074</v>
      </c>
      <c r="AF505">
        <f t="shared" si="150"/>
        <v>245129.6944692104</v>
      </c>
      <c r="AG505">
        <f t="shared" si="151"/>
        <v>243500.21222083044</v>
      </c>
      <c r="AH505">
        <f t="shared" si="152"/>
        <v>241766.8688040647</v>
      </c>
      <c r="AI505">
        <f t="shared" si="159"/>
        <v>248012.24742514719</v>
      </c>
    </row>
    <row r="506" spans="2:35" x14ac:dyDescent="0.3">
      <c r="B506">
        <v>463</v>
      </c>
      <c r="C506">
        <v>75055.881899999993</v>
      </c>
      <c r="D506">
        <v>74072.780100000004</v>
      </c>
      <c r="E506">
        <v>74173.652700000006</v>
      </c>
      <c r="F506">
        <v>74101.013699999996</v>
      </c>
      <c r="G506">
        <v>74221.324399999998</v>
      </c>
      <c r="H506">
        <v>74249.6397</v>
      </c>
      <c r="I506">
        <v>10.313803160747382</v>
      </c>
      <c r="J506">
        <v>10.272822346198851</v>
      </c>
      <c r="K506">
        <v>10.231021409359137</v>
      </c>
      <c r="L506">
        <v>10.207808405089288</v>
      </c>
      <c r="M506">
        <v>10.185359564421397</v>
      </c>
      <c r="N506">
        <v>10.136138327643572</v>
      </c>
      <c r="P506">
        <f t="shared" si="141"/>
        <v>234358.21292242146</v>
      </c>
      <c r="Q506">
        <f t="shared" si="142"/>
        <v>234111.89028596549</v>
      </c>
      <c r="R506">
        <f t="shared" si="143"/>
        <v>232756.98958077413</v>
      </c>
      <c r="S506">
        <f t="shared" si="144"/>
        <v>232133.23845267866</v>
      </c>
      <c r="T506">
        <f t="shared" si="145"/>
        <v>231339.46253264195</v>
      </c>
      <c r="U506">
        <f t="shared" si="146"/>
        <v>229834.51012930716</v>
      </c>
      <c r="V506">
        <f t="shared" si="153"/>
        <v>1</v>
      </c>
      <c r="W506">
        <f t="shared" si="154"/>
        <v>0</v>
      </c>
      <c r="X506">
        <f t="shared" si="155"/>
        <v>0</v>
      </c>
      <c r="Y506">
        <f t="shared" si="156"/>
        <v>0</v>
      </c>
      <c r="Z506">
        <f t="shared" si="157"/>
        <v>0</v>
      </c>
      <c r="AA506">
        <f t="shared" si="158"/>
        <v>0</v>
      </c>
      <c r="AC506">
        <f t="shared" si="147"/>
        <v>234358.21292242146</v>
      </c>
      <c r="AD506">
        <f t="shared" si="148"/>
        <v>234111.89028596549</v>
      </c>
      <c r="AE506">
        <f t="shared" si="149"/>
        <v>232756.98958077413</v>
      </c>
      <c r="AF506">
        <f t="shared" si="150"/>
        <v>232133.23845267866</v>
      </c>
      <c r="AG506">
        <f t="shared" si="151"/>
        <v>231339.46253264195</v>
      </c>
      <c r="AH506">
        <f t="shared" si="152"/>
        <v>229834.51012930716</v>
      </c>
      <c r="AI506">
        <f t="shared" si="159"/>
        <v>234358.21292242146</v>
      </c>
    </row>
    <row r="507" spans="2:35" x14ac:dyDescent="0.3">
      <c r="B507">
        <v>464</v>
      </c>
      <c r="C507">
        <v>76697.755900000004</v>
      </c>
      <c r="D507">
        <v>75593.047699999996</v>
      </c>
      <c r="E507">
        <v>75915.125400000004</v>
      </c>
      <c r="F507">
        <v>75888.017699999997</v>
      </c>
      <c r="G507">
        <v>76225.685500000007</v>
      </c>
      <c r="H507">
        <v>76363.127900000007</v>
      </c>
      <c r="I507">
        <v>11.427192353115677</v>
      </c>
      <c r="J507">
        <v>11.386897182584317</v>
      </c>
      <c r="K507">
        <v>11.354808317034925</v>
      </c>
      <c r="L507">
        <v>11.339310751079193</v>
      </c>
      <c r="M507">
        <v>11.302381528793328</v>
      </c>
      <c r="N507">
        <v>11.267182541601187</v>
      </c>
      <c r="P507">
        <f t="shared" si="141"/>
        <v>266118.01469347032</v>
      </c>
      <c r="Q507">
        <f t="shared" si="142"/>
        <v>266013.86777752952</v>
      </c>
      <c r="R507">
        <f t="shared" si="143"/>
        <v>264729.12411104771</v>
      </c>
      <c r="S507">
        <f t="shared" si="144"/>
        <v>264291.30483237584</v>
      </c>
      <c r="T507">
        <f t="shared" si="145"/>
        <v>262845.76036379981</v>
      </c>
      <c r="U507">
        <f t="shared" si="146"/>
        <v>261652.34834803559</v>
      </c>
      <c r="V507">
        <f t="shared" si="153"/>
        <v>1</v>
      </c>
      <c r="W507">
        <f t="shared" si="154"/>
        <v>0</v>
      </c>
      <c r="X507">
        <f t="shared" si="155"/>
        <v>0</v>
      </c>
      <c r="Y507">
        <f t="shared" si="156"/>
        <v>0</v>
      </c>
      <c r="Z507">
        <f t="shared" si="157"/>
        <v>0</v>
      </c>
      <c r="AA507">
        <f t="shared" si="158"/>
        <v>0</v>
      </c>
      <c r="AC507">
        <f t="shared" si="147"/>
        <v>266118.01469347032</v>
      </c>
      <c r="AD507">
        <f t="shared" si="148"/>
        <v>266013.86777752952</v>
      </c>
      <c r="AE507">
        <f t="shared" si="149"/>
        <v>264729.12411104771</v>
      </c>
      <c r="AF507">
        <f t="shared" si="150"/>
        <v>264291.30483237584</v>
      </c>
      <c r="AG507">
        <f t="shared" si="151"/>
        <v>262845.76036379981</v>
      </c>
      <c r="AH507">
        <f t="shared" si="152"/>
        <v>261652.34834803559</v>
      </c>
      <c r="AI507">
        <f t="shared" si="159"/>
        <v>266118.01469347032</v>
      </c>
    </row>
    <row r="508" spans="2:35" x14ac:dyDescent="0.3">
      <c r="B508">
        <v>465</v>
      </c>
      <c r="C508">
        <v>88445.919299999994</v>
      </c>
      <c r="D508">
        <v>87176.264899999995</v>
      </c>
      <c r="E508">
        <v>87044.322899999999</v>
      </c>
      <c r="F508">
        <v>86829.301800000001</v>
      </c>
      <c r="G508">
        <v>86762.261199999994</v>
      </c>
      <c r="H508">
        <v>86777.653699999995</v>
      </c>
      <c r="I508">
        <v>8.5474296218561818</v>
      </c>
      <c r="J508">
        <v>8.5388566543271978</v>
      </c>
      <c r="K508">
        <v>8.5310567955047816</v>
      </c>
      <c r="L508">
        <v>8.5271834290016848</v>
      </c>
      <c r="M508">
        <v>8.5188283875939348</v>
      </c>
      <c r="N508">
        <v>8.5090447017253581</v>
      </c>
      <c r="P508">
        <f t="shared" si="141"/>
        <v>167976.96935568546</v>
      </c>
      <c r="Q508">
        <f t="shared" si="142"/>
        <v>168989.43472981593</v>
      </c>
      <c r="R508">
        <f t="shared" si="143"/>
        <v>168887.38096514344</v>
      </c>
      <c r="S508">
        <f t="shared" si="144"/>
        <v>168986.20107005053</v>
      </c>
      <c r="T508">
        <f t="shared" si="145"/>
        <v>168802.59042781807</v>
      </c>
      <c r="U508">
        <f t="shared" si="146"/>
        <v>168493.68735176075</v>
      </c>
      <c r="V508">
        <f t="shared" si="153"/>
        <v>0</v>
      </c>
      <c r="W508">
        <f t="shared" si="154"/>
        <v>1</v>
      </c>
      <c r="X508">
        <f t="shared" si="155"/>
        <v>0</v>
      </c>
      <c r="Y508">
        <f t="shared" si="156"/>
        <v>0</v>
      </c>
      <c r="Z508">
        <f t="shared" si="157"/>
        <v>0</v>
      </c>
      <c r="AA508">
        <f t="shared" si="158"/>
        <v>0</v>
      </c>
      <c r="AC508">
        <f t="shared" si="147"/>
        <v>167976.96935568546</v>
      </c>
      <c r="AD508">
        <f t="shared" si="148"/>
        <v>168989.43472981593</v>
      </c>
      <c r="AE508">
        <f t="shared" si="149"/>
        <v>168887.38096514344</v>
      </c>
      <c r="AF508">
        <f t="shared" si="150"/>
        <v>168986.20107005053</v>
      </c>
      <c r="AG508">
        <f t="shared" si="151"/>
        <v>168802.59042781807</v>
      </c>
      <c r="AH508">
        <f t="shared" si="152"/>
        <v>168493.68735176075</v>
      </c>
      <c r="AI508">
        <f t="shared" si="159"/>
        <v>168989.43472981593</v>
      </c>
    </row>
    <row r="509" spans="2:35" x14ac:dyDescent="0.3">
      <c r="B509">
        <v>466</v>
      </c>
      <c r="C509">
        <v>76568.006500000003</v>
      </c>
      <c r="D509">
        <v>75220.208299999998</v>
      </c>
      <c r="E509">
        <v>75209.368499999997</v>
      </c>
      <c r="F509">
        <v>75143.323199999999</v>
      </c>
      <c r="G509">
        <v>74835.123099999997</v>
      </c>
      <c r="H509">
        <v>75009.901800000007</v>
      </c>
      <c r="I509">
        <v>9.4311387482580553</v>
      </c>
      <c r="J509">
        <v>9.3938029967440624</v>
      </c>
      <c r="K509">
        <v>9.3785163142426882</v>
      </c>
      <c r="L509">
        <v>9.3641849494939642</v>
      </c>
      <c r="M509">
        <v>9.3389394775528256</v>
      </c>
      <c r="N509">
        <v>9.3109309618057257</v>
      </c>
      <c r="P509">
        <f t="shared" si="141"/>
        <v>206366.15594774164</v>
      </c>
      <c r="Q509">
        <f t="shared" si="142"/>
        <v>206593.88160232187</v>
      </c>
      <c r="R509">
        <f t="shared" si="143"/>
        <v>206146.12092728069</v>
      </c>
      <c r="S509">
        <f t="shared" si="144"/>
        <v>205782.22528481897</v>
      </c>
      <c r="T509">
        <f t="shared" si="145"/>
        <v>205333.06122658474</v>
      </c>
      <c r="U509">
        <f t="shared" si="146"/>
        <v>204318.02705417178</v>
      </c>
      <c r="V509">
        <f t="shared" si="153"/>
        <v>0</v>
      </c>
      <c r="W509">
        <f t="shared" si="154"/>
        <v>1</v>
      </c>
      <c r="X509">
        <f t="shared" si="155"/>
        <v>0</v>
      </c>
      <c r="Y509">
        <f t="shared" si="156"/>
        <v>0</v>
      </c>
      <c r="Z509">
        <f t="shared" si="157"/>
        <v>0</v>
      </c>
      <c r="AA509">
        <f t="shared" si="158"/>
        <v>0</v>
      </c>
      <c r="AC509">
        <f t="shared" si="147"/>
        <v>206366.15594774164</v>
      </c>
      <c r="AD509">
        <f t="shared" si="148"/>
        <v>206593.88160232187</v>
      </c>
      <c r="AE509">
        <f t="shared" si="149"/>
        <v>206146.12092728069</v>
      </c>
      <c r="AF509">
        <f t="shared" si="150"/>
        <v>205782.22528481897</v>
      </c>
      <c r="AG509">
        <f t="shared" si="151"/>
        <v>205333.06122658474</v>
      </c>
      <c r="AH509">
        <f t="shared" si="152"/>
        <v>204318.02705417178</v>
      </c>
      <c r="AI509">
        <f t="shared" si="159"/>
        <v>206593.88160232187</v>
      </c>
    </row>
    <row r="510" spans="2:35" x14ac:dyDescent="0.3">
      <c r="B510">
        <v>467</v>
      </c>
      <c r="C510">
        <v>72196.073699999994</v>
      </c>
      <c r="D510">
        <v>71953.777900000001</v>
      </c>
      <c r="E510">
        <v>72752.984899999996</v>
      </c>
      <c r="F510">
        <v>72849.489400000006</v>
      </c>
      <c r="G510">
        <v>73524.712100000004</v>
      </c>
      <c r="H510">
        <v>74237.101899999994</v>
      </c>
      <c r="I510">
        <v>9.7005244041073091</v>
      </c>
      <c r="J510">
        <v>9.6745925251832379</v>
      </c>
      <c r="K510">
        <v>9.6522214025840736</v>
      </c>
      <c r="L510">
        <v>9.6378169232622373</v>
      </c>
      <c r="M510">
        <v>9.619509961902402</v>
      </c>
      <c r="N510">
        <v>9.6010996509841799</v>
      </c>
      <c r="P510">
        <f t="shared" si="141"/>
        <v>218819.65842321928</v>
      </c>
      <c r="Q510">
        <f t="shared" si="142"/>
        <v>218283.99785549717</v>
      </c>
      <c r="R510">
        <f t="shared" si="143"/>
        <v>216813.65717752225</v>
      </c>
      <c r="S510">
        <f t="shared" si="144"/>
        <v>216285.01829786709</v>
      </c>
      <c r="T510">
        <f t="shared" si="145"/>
        <v>215060.58675707207</v>
      </c>
      <c r="U510">
        <f t="shared" si="146"/>
        <v>213795.88762952539</v>
      </c>
      <c r="V510">
        <f t="shared" si="153"/>
        <v>1</v>
      </c>
      <c r="W510">
        <f t="shared" si="154"/>
        <v>0</v>
      </c>
      <c r="X510">
        <f t="shared" si="155"/>
        <v>0</v>
      </c>
      <c r="Y510">
        <f t="shared" si="156"/>
        <v>0</v>
      </c>
      <c r="Z510">
        <f t="shared" si="157"/>
        <v>0</v>
      </c>
      <c r="AA510">
        <f t="shared" si="158"/>
        <v>0</v>
      </c>
      <c r="AC510">
        <f t="shared" si="147"/>
        <v>218819.65842321928</v>
      </c>
      <c r="AD510">
        <f t="shared" si="148"/>
        <v>218283.99785549717</v>
      </c>
      <c r="AE510">
        <f t="shared" si="149"/>
        <v>216813.65717752225</v>
      </c>
      <c r="AF510">
        <f t="shared" si="150"/>
        <v>216285.01829786709</v>
      </c>
      <c r="AG510">
        <f t="shared" si="151"/>
        <v>215060.58675707207</v>
      </c>
      <c r="AH510">
        <f t="shared" si="152"/>
        <v>213795.88762952539</v>
      </c>
      <c r="AI510">
        <f t="shared" si="159"/>
        <v>218819.65842321928</v>
      </c>
    </row>
    <row r="511" spans="2:35" x14ac:dyDescent="0.3">
      <c r="B511">
        <v>468</v>
      </c>
      <c r="C511">
        <v>75806.326700000005</v>
      </c>
      <c r="D511">
        <v>75679.921900000001</v>
      </c>
      <c r="E511">
        <v>76576.782500000001</v>
      </c>
      <c r="F511">
        <v>76526.269899999999</v>
      </c>
      <c r="G511">
        <v>77398.117599999998</v>
      </c>
      <c r="H511">
        <v>78427.808399999994</v>
      </c>
      <c r="I511">
        <v>11.506190796133088</v>
      </c>
      <c r="J511">
        <v>11.478603693382468</v>
      </c>
      <c r="K511">
        <v>11.459178441908247</v>
      </c>
      <c r="L511">
        <v>11.455753148085632</v>
      </c>
      <c r="M511">
        <v>11.436893498642817</v>
      </c>
      <c r="N511">
        <v>11.413671473721298</v>
      </c>
      <c r="P511">
        <f t="shared" si="141"/>
        <v>269379.39718399267</v>
      </c>
      <c r="Q511">
        <f t="shared" si="142"/>
        <v>268678.188901474</v>
      </c>
      <c r="R511">
        <f t="shared" si="143"/>
        <v>267198.57075724739</v>
      </c>
      <c r="S511">
        <f t="shared" si="144"/>
        <v>267146.32454256894</v>
      </c>
      <c r="T511">
        <f t="shared" si="145"/>
        <v>265708.68735928449</v>
      </c>
      <c r="U511">
        <f t="shared" si="146"/>
        <v>263982.33581163897</v>
      </c>
      <c r="V511">
        <f t="shared" si="153"/>
        <v>1</v>
      </c>
      <c r="W511">
        <f t="shared" si="154"/>
        <v>0</v>
      </c>
      <c r="X511">
        <f t="shared" si="155"/>
        <v>0</v>
      </c>
      <c r="Y511">
        <f t="shared" si="156"/>
        <v>0</v>
      </c>
      <c r="Z511">
        <f t="shared" si="157"/>
        <v>0</v>
      </c>
      <c r="AA511">
        <f t="shared" si="158"/>
        <v>0</v>
      </c>
      <c r="AC511">
        <f t="shared" si="147"/>
        <v>269379.39718399267</v>
      </c>
      <c r="AD511">
        <f t="shared" si="148"/>
        <v>268678.188901474</v>
      </c>
      <c r="AE511">
        <f t="shared" si="149"/>
        <v>267198.57075724739</v>
      </c>
      <c r="AF511">
        <f t="shared" si="150"/>
        <v>267146.32454256894</v>
      </c>
      <c r="AG511">
        <f t="shared" si="151"/>
        <v>265708.68735928449</v>
      </c>
      <c r="AH511">
        <f t="shared" si="152"/>
        <v>263982.33581163897</v>
      </c>
      <c r="AI511">
        <f t="shared" si="159"/>
        <v>269379.39718399267</v>
      </c>
    </row>
    <row r="512" spans="2:35" x14ac:dyDescent="0.3">
      <c r="B512">
        <v>469</v>
      </c>
      <c r="C512">
        <v>76299.493600000002</v>
      </c>
      <c r="D512">
        <v>75960.404899999994</v>
      </c>
      <c r="E512">
        <v>76390.425499999998</v>
      </c>
      <c r="F512">
        <v>76171.222299999994</v>
      </c>
      <c r="G512">
        <v>76872.191900000005</v>
      </c>
      <c r="H512">
        <v>77469.262000000002</v>
      </c>
      <c r="I512">
        <v>10.600726319318218</v>
      </c>
      <c r="J512">
        <v>10.549253616342806</v>
      </c>
      <c r="K512">
        <v>10.507331673023408</v>
      </c>
      <c r="L512">
        <v>10.500395040164243</v>
      </c>
      <c r="M512">
        <v>10.449467343941079</v>
      </c>
      <c r="N512">
        <v>10.413112584193399</v>
      </c>
      <c r="P512">
        <f t="shared" si="141"/>
        <v>241722.29597954656</v>
      </c>
      <c r="Q512">
        <f t="shared" si="142"/>
        <v>240517.20359028419</v>
      </c>
      <c r="R512">
        <f t="shared" si="143"/>
        <v>238829.52469070221</v>
      </c>
      <c r="S512">
        <f t="shared" si="144"/>
        <v>238840.62890492726</v>
      </c>
      <c r="T512">
        <f t="shared" si="145"/>
        <v>236611.82841823236</v>
      </c>
      <c r="U512">
        <f t="shared" si="146"/>
        <v>234924.11552580202</v>
      </c>
      <c r="V512">
        <f t="shared" si="153"/>
        <v>1</v>
      </c>
      <c r="W512">
        <f t="shared" si="154"/>
        <v>0</v>
      </c>
      <c r="X512">
        <f t="shared" si="155"/>
        <v>0</v>
      </c>
      <c r="Y512">
        <f t="shared" si="156"/>
        <v>0</v>
      </c>
      <c r="Z512">
        <f t="shared" si="157"/>
        <v>0</v>
      </c>
      <c r="AA512">
        <f t="shared" si="158"/>
        <v>0</v>
      </c>
      <c r="AC512">
        <f t="shared" si="147"/>
        <v>241722.29597954656</v>
      </c>
      <c r="AD512">
        <f t="shared" si="148"/>
        <v>240517.20359028419</v>
      </c>
      <c r="AE512">
        <f t="shared" si="149"/>
        <v>238829.52469070221</v>
      </c>
      <c r="AF512">
        <f t="shared" si="150"/>
        <v>238840.62890492726</v>
      </c>
      <c r="AG512">
        <f t="shared" si="151"/>
        <v>236611.82841823236</v>
      </c>
      <c r="AH512">
        <f t="shared" si="152"/>
        <v>234924.11552580202</v>
      </c>
      <c r="AI512">
        <f t="shared" si="159"/>
        <v>241722.29597954656</v>
      </c>
    </row>
    <row r="513" spans="2:35" x14ac:dyDescent="0.3">
      <c r="B513">
        <v>470</v>
      </c>
      <c r="C513">
        <v>76836.994900000005</v>
      </c>
      <c r="D513">
        <v>75873.449699999997</v>
      </c>
      <c r="E513">
        <v>76094.592699999994</v>
      </c>
      <c r="F513">
        <v>75853.532900000006</v>
      </c>
      <c r="G513">
        <v>76276.554300000003</v>
      </c>
      <c r="H513">
        <v>76596.109100000001</v>
      </c>
      <c r="I513">
        <v>10.313343872990718</v>
      </c>
      <c r="J513">
        <v>10.28858528513377</v>
      </c>
      <c r="K513">
        <v>10.269487824641578</v>
      </c>
      <c r="L513">
        <v>10.26650036624908</v>
      </c>
      <c r="M513">
        <v>10.251148769243063</v>
      </c>
      <c r="N513">
        <v>10.232198001274464</v>
      </c>
      <c r="P513">
        <f t="shared" ref="P513:P576" si="160">Threshold*I513-C513</f>
        <v>232563.32128972153</v>
      </c>
      <c r="Q513">
        <f t="shared" ref="Q513:Q576" si="161">Threshold*J513-D513</f>
        <v>232784.10885401309</v>
      </c>
      <c r="R513">
        <f t="shared" ref="R513:R576" si="162">Threshold*K513-E513</f>
        <v>231990.04203924735</v>
      </c>
      <c r="S513">
        <f t="shared" ref="S513:S576" si="163">Threshold*L513-F513</f>
        <v>232141.47808747238</v>
      </c>
      <c r="T513">
        <f t="shared" ref="T513:T576" si="164">Threshold*M513-G513</f>
        <v>231257.90877729189</v>
      </c>
      <c r="U513">
        <f t="shared" ref="U513:U576" si="165">Threshold*N513-H513</f>
        <v>230369.83093823388</v>
      </c>
      <c r="V513">
        <f t="shared" si="153"/>
        <v>0</v>
      </c>
      <c r="W513">
        <f t="shared" si="154"/>
        <v>1</v>
      </c>
      <c r="X513">
        <f t="shared" si="155"/>
        <v>0</v>
      </c>
      <c r="Y513">
        <f t="shared" si="156"/>
        <v>0</v>
      </c>
      <c r="Z513">
        <f t="shared" si="157"/>
        <v>0</v>
      </c>
      <c r="AA513">
        <f t="shared" si="158"/>
        <v>0</v>
      </c>
      <c r="AC513">
        <f t="shared" si="147"/>
        <v>232563.32128972153</v>
      </c>
      <c r="AD513">
        <f t="shared" si="148"/>
        <v>232784.10885401309</v>
      </c>
      <c r="AE513">
        <f t="shared" si="149"/>
        <v>231990.04203924735</v>
      </c>
      <c r="AF513">
        <f t="shared" si="150"/>
        <v>232141.47808747238</v>
      </c>
      <c r="AG513">
        <f t="shared" si="151"/>
        <v>231257.90877729189</v>
      </c>
      <c r="AH513">
        <f t="shared" si="152"/>
        <v>230369.83093823388</v>
      </c>
      <c r="AI513">
        <f t="shared" si="159"/>
        <v>232784.10885401309</v>
      </c>
    </row>
    <row r="514" spans="2:35" x14ac:dyDescent="0.3">
      <c r="B514">
        <v>471</v>
      </c>
      <c r="C514">
        <v>87012.856100000005</v>
      </c>
      <c r="D514">
        <v>85849.031199999998</v>
      </c>
      <c r="E514">
        <v>86310.299700000003</v>
      </c>
      <c r="F514">
        <v>85985.103600000002</v>
      </c>
      <c r="G514">
        <v>86237.440700000006</v>
      </c>
      <c r="H514">
        <v>86489.244000000006</v>
      </c>
      <c r="I514">
        <v>9.2103501529335094</v>
      </c>
      <c r="J514">
        <v>9.1799148100645862</v>
      </c>
      <c r="K514">
        <v>9.1552768140969576</v>
      </c>
      <c r="L514">
        <v>9.1430506386751205</v>
      </c>
      <c r="M514">
        <v>9.1146010200115004</v>
      </c>
      <c r="N514">
        <v>9.0783823491096545</v>
      </c>
      <c r="P514">
        <f t="shared" si="160"/>
        <v>189297.6484880053</v>
      </c>
      <c r="Q514">
        <f t="shared" si="161"/>
        <v>189548.41310193759</v>
      </c>
      <c r="R514">
        <f t="shared" si="162"/>
        <v>188348.00472290875</v>
      </c>
      <c r="S514">
        <f t="shared" si="163"/>
        <v>188306.41556025363</v>
      </c>
      <c r="T514">
        <f t="shared" si="164"/>
        <v>187200.58990034499</v>
      </c>
      <c r="U514">
        <f t="shared" si="165"/>
        <v>185862.2264732896</v>
      </c>
      <c r="V514">
        <f t="shared" si="153"/>
        <v>0</v>
      </c>
      <c r="W514">
        <f t="shared" si="154"/>
        <v>1</v>
      </c>
      <c r="X514">
        <f t="shared" si="155"/>
        <v>0</v>
      </c>
      <c r="Y514">
        <f t="shared" si="156"/>
        <v>0</v>
      </c>
      <c r="Z514">
        <f t="shared" si="157"/>
        <v>0</v>
      </c>
      <c r="AA514">
        <f t="shared" si="158"/>
        <v>0</v>
      </c>
      <c r="AC514">
        <f t="shared" si="147"/>
        <v>189297.6484880053</v>
      </c>
      <c r="AD514">
        <f t="shared" si="148"/>
        <v>189548.41310193759</v>
      </c>
      <c r="AE514">
        <f t="shared" si="149"/>
        <v>188348.00472290875</v>
      </c>
      <c r="AF514">
        <f t="shared" si="150"/>
        <v>188306.41556025363</v>
      </c>
      <c r="AG514">
        <f t="shared" si="151"/>
        <v>187200.58990034499</v>
      </c>
      <c r="AH514">
        <f t="shared" si="152"/>
        <v>185862.2264732896</v>
      </c>
      <c r="AI514">
        <f t="shared" si="159"/>
        <v>189548.41310193759</v>
      </c>
    </row>
    <row r="515" spans="2:35" x14ac:dyDescent="0.3">
      <c r="B515">
        <v>472</v>
      </c>
      <c r="C515">
        <v>80685.983399999997</v>
      </c>
      <c r="D515">
        <v>80623.421300000002</v>
      </c>
      <c r="E515">
        <v>81531.137900000002</v>
      </c>
      <c r="F515">
        <v>81484.882800000007</v>
      </c>
      <c r="G515">
        <v>82173.2163</v>
      </c>
      <c r="H515">
        <v>83250.924899999998</v>
      </c>
      <c r="I515">
        <v>10.995629134689896</v>
      </c>
      <c r="J515">
        <v>10.964890774888321</v>
      </c>
      <c r="K515">
        <v>10.947890706742161</v>
      </c>
      <c r="L515">
        <v>10.938999877206584</v>
      </c>
      <c r="M515">
        <v>10.924888309917629</v>
      </c>
      <c r="N515">
        <v>10.900283187502021</v>
      </c>
      <c r="P515">
        <f t="shared" si="160"/>
        <v>249182.89064069689</v>
      </c>
      <c r="Q515">
        <f t="shared" si="161"/>
        <v>248323.30194664962</v>
      </c>
      <c r="R515">
        <f t="shared" si="162"/>
        <v>246905.58330226483</v>
      </c>
      <c r="S515">
        <f t="shared" si="163"/>
        <v>246685.11351619748</v>
      </c>
      <c r="T515">
        <f t="shared" si="164"/>
        <v>245573.43299752884</v>
      </c>
      <c r="U515">
        <f t="shared" si="165"/>
        <v>243757.57072506065</v>
      </c>
      <c r="V515">
        <f t="shared" si="153"/>
        <v>1</v>
      </c>
      <c r="W515">
        <f t="shared" si="154"/>
        <v>0</v>
      </c>
      <c r="X515">
        <f t="shared" si="155"/>
        <v>0</v>
      </c>
      <c r="Y515">
        <f t="shared" si="156"/>
        <v>0</v>
      </c>
      <c r="Z515">
        <f t="shared" si="157"/>
        <v>0</v>
      </c>
      <c r="AA515">
        <f t="shared" si="158"/>
        <v>0</v>
      </c>
      <c r="AC515">
        <f t="shared" si="147"/>
        <v>249182.89064069689</v>
      </c>
      <c r="AD515">
        <f t="shared" si="148"/>
        <v>248323.30194664962</v>
      </c>
      <c r="AE515">
        <f t="shared" si="149"/>
        <v>246905.58330226483</v>
      </c>
      <c r="AF515">
        <f t="shared" si="150"/>
        <v>246685.11351619748</v>
      </c>
      <c r="AG515">
        <f t="shared" si="151"/>
        <v>245573.43299752884</v>
      </c>
      <c r="AH515">
        <f t="shared" si="152"/>
        <v>243757.57072506065</v>
      </c>
      <c r="AI515">
        <f t="shared" si="159"/>
        <v>249182.89064069689</v>
      </c>
    </row>
    <row r="516" spans="2:35" x14ac:dyDescent="0.3">
      <c r="B516">
        <v>473</v>
      </c>
      <c r="C516">
        <v>77607.034599999999</v>
      </c>
      <c r="D516">
        <v>76633.7408</v>
      </c>
      <c r="E516">
        <v>77070.114700000006</v>
      </c>
      <c r="F516">
        <v>76858.860499999995</v>
      </c>
      <c r="G516">
        <v>77246.145000000004</v>
      </c>
      <c r="H516">
        <v>77509.230800000005</v>
      </c>
      <c r="I516">
        <v>10.599310487741311</v>
      </c>
      <c r="J516">
        <v>10.587508973868156</v>
      </c>
      <c r="K516">
        <v>10.577640051979106</v>
      </c>
      <c r="L516">
        <v>10.577015128936447</v>
      </c>
      <c r="M516">
        <v>10.564819473381938</v>
      </c>
      <c r="N516">
        <v>10.555963881896696</v>
      </c>
      <c r="P516">
        <f t="shared" si="160"/>
        <v>240372.28003223933</v>
      </c>
      <c r="Q516">
        <f t="shared" si="161"/>
        <v>240991.52841604469</v>
      </c>
      <c r="R516">
        <f t="shared" si="162"/>
        <v>240259.08685937317</v>
      </c>
      <c r="S516">
        <f t="shared" si="163"/>
        <v>240451.59336809337</v>
      </c>
      <c r="T516">
        <f t="shared" si="164"/>
        <v>239698.43920145812</v>
      </c>
      <c r="U516">
        <f t="shared" si="165"/>
        <v>239169.68565690087</v>
      </c>
      <c r="V516">
        <f t="shared" si="153"/>
        <v>0</v>
      </c>
      <c r="W516">
        <f t="shared" si="154"/>
        <v>1</v>
      </c>
      <c r="X516">
        <f t="shared" si="155"/>
        <v>0</v>
      </c>
      <c r="Y516">
        <f t="shared" si="156"/>
        <v>0</v>
      </c>
      <c r="Z516">
        <f t="shared" si="157"/>
        <v>0</v>
      </c>
      <c r="AA516">
        <f t="shared" si="158"/>
        <v>0</v>
      </c>
      <c r="AC516">
        <f t="shared" si="147"/>
        <v>240372.28003223933</v>
      </c>
      <c r="AD516">
        <f t="shared" si="148"/>
        <v>240991.52841604469</v>
      </c>
      <c r="AE516">
        <f t="shared" si="149"/>
        <v>240259.08685937317</v>
      </c>
      <c r="AF516">
        <f t="shared" si="150"/>
        <v>240451.59336809337</v>
      </c>
      <c r="AG516">
        <f t="shared" si="151"/>
        <v>239698.43920145812</v>
      </c>
      <c r="AH516">
        <f t="shared" si="152"/>
        <v>239169.68565690087</v>
      </c>
      <c r="AI516">
        <f t="shared" si="159"/>
        <v>240991.52841604469</v>
      </c>
    </row>
    <row r="517" spans="2:35" x14ac:dyDescent="0.3">
      <c r="B517">
        <v>474</v>
      </c>
      <c r="C517">
        <v>83005.255999999994</v>
      </c>
      <c r="D517">
        <v>81211.2601</v>
      </c>
      <c r="E517">
        <v>80781.396900000007</v>
      </c>
      <c r="F517">
        <v>80347.281600000002</v>
      </c>
      <c r="G517">
        <v>79900.471900000004</v>
      </c>
      <c r="H517">
        <v>79567.1636</v>
      </c>
      <c r="I517">
        <v>10.527255330012373</v>
      </c>
      <c r="J517">
        <v>10.485280882105769</v>
      </c>
      <c r="K517">
        <v>10.457732544281461</v>
      </c>
      <c r="L517">
        <v>10.446040161200205</v>
      </c>
      <c r="M517">
        <v>10.408066093719798</v>
      </c>
      <c r="N517">
        <v>10.383010512991008</v>
      </c>
      <c r="P517">
        <f t="shared" si="160"/>
        <v>232812.40390037122</v>
      </c>
      <c r="Q517">
        <f t="shared" si="161"/>
        <v>233347.16636317305</v>
      </c>
      <c r="R517">
        <f t="shared" si="162"/>
        <v>232950.57942844386</v>
      </c>
      <c r="S517">
        <f t="shared" si="163"/>
        <v>233033.92323600617</v>
      </c>
      <c r="T517">
        <f t="shared" si="164"/>
        <v>232341.51091159391</v>
      </c>
      <c r="U517">
        <f t="shared" si="165"/>
        <v>231923.15178973027</v>
      </c>
      <c r="V517">
        <f t="shared" si="153"/>
        <v>0</v>
      </c>
      <c r="W517">
        <f t="shared" si="154"/>
        <v>1</v>
      </c>
      <c r="X517">
        <f t="shared" si="155"/>
        <v>0</v>
      </c>
      <c r="Y517">
        <f t="shared" si="156"/>
        <v>0</v>
      </c>
      <c r="Z517">
        <f t="shared" si="157"/>
        <v>0</v>
      </c>
      <c r="AA517">
        <f t="shared" si="158"/>
        <v>0</v>
      </c>
      <c r="AC517">
        <f t="shared" si="147"/>
        <v>232812.40390037122</v>
      </c>
      <c r="AD517">
        <f t="shared" si="148"/>
        <v>233347.16636317305</v>
      </c>
      <c r="AE517">
        <f t="shared" si="149"/>
        <v>232950.57942844386</v>
      </c>
      <c r="AF517">
        <f t="shared" si="150"/>
        <v>233033.92323600617</v>
      </c>
      <c r="AG517">
        <f t="shared" si="151"/>
        <v>232341.51091159391</v>
      </c>
      <c r="AH517">
        <f t="shared" si="152"/>
        <v>231923.15178973027</v>
      </c>
      <c r="AI517">
        <f t="shared" si="159"/>
        <v>233347.16636317305</v>
      </c>
    </row>
    <row r="518" spans="2:35" x14ac:dyDescent="0.3">
      <c r="B518">
        <v>475</v>
      </c>
      <c r="C518">
        <v>73074.400899999993</v>
      </c>
      <c r="D518">
        <v>72109.081699999995</v>
      </c>
      <c r="E518">
        <v>72178.287800000006</v>
      </c>
      <c r="F518">
        <v>72245.137400000007</v>
      </c>
      <c r="G518">
        <v>72561.161500000002</v>
      </c>
      <c r="H518">
        <v>72810.397400000002</v>
      </c>
      <c r="I518">
        <v>9.6369140156370943</v>
      </c>
      <c r="J518">
        <v>9.6167819461663075</v>
      </c>
      <c r="K518">
        <v>9.6059222673074842</v>
      </c>
      <c r="L518">
        <v>9.5961364640056477</v>
      </c>
      <c r="M518">
        <v>9.5808091559758584</v>
      </c>
      <c r="N518">
        <v>9.5563962792912189</v>
      </c>
      <c r="P518">
        <f t="shared" si="160"/>
        <v>216033.0195691128</v>
      </c>
      <c r="Q518">
        <f t="shared" si="161"/>
        <v>216394.37668498926</v>
      </c>
      <c r="R518">
        <f t="shared" si="162"/>
        <v>215999.38021922455</v>
      </c>
      <c r="S518">
        <f t="shared" si="163"/>
        <v>215638.95652016945</v>
      </c>
      <c r="T518">
        <f t="shared" si="164"/>
        <v>214863.11317927577</v>
      </c>
      <c r="U518">
        <f t="shared" si="165"/>
        <v>213881.49097873655</v>
      </c>
      <c r="V518">
        <f t="shared" si="153"/>
        <v>0</v>
      </c>
      <c r="W518">
        <f t="shared" si="154"/>
        <v>1</v>
      </c>
      <c r="X518">
        <f t="shared" si="155"/>
        <v>0</v>
      </c>
      <c r="Y518">
        <f t="shared" si="156"/>
        <v>0</v>
      </c>
      <c r="Z518">
        <f t="shared" si="157"/>
        <v>0</v>
      </c>
      <c r="AA518">
        <f t="shared" si="158"/>
        <v>0</v>
      </c>
      <c r="AC518">
        <f t="shared" si="147"/>
        <v>216033.0195691128</v>
      </c>
      <c r="AD518">
        <f t="shared" si="148"/>
        <v>216394.37668498926</v>
      </c>
      <c r="AE518">
        <f t="shared" si="149"/>
        <v>215999.38021922455</v>
      </c>
      <c r="AF518">
        <f t="shared" si="150"/>
        <v>215638.95652016945</v>
      </c>
      <c r="AG518">
        <f t="shared" si="151"/>
        <v>214863.11317927577</v>
      </c>
      <c r="AH518">
        <f t="shared" si="152"/>
        <v>213881.49097873655</v>
      </c>
      <c r="AI518">
        <f t="shared" si="159"/>
        <v>216394.37668498926</v>
      </c>
    </row>
    <row r="519" spans="2:35" x14ac:dyDescent="0.3">
      <c r="B519">
        <v>476</v>
      </c>
      <c r="C519">
        <v>70351.256200000003</v>
      </c>
      <c r="D519">
        <v>70027.662800000006</v>
      </c>
      <c r="E519">
        <v>70855.265599999999</v>
      </c>
      <c r="F519">
        <v>70980.857300000003</v>
      </c>
      <c r="G519">
        <v>71714.5625</v>
      </c>
      <c r="H519">
        <v>72541.316200000001</v>
      </c>
      <c r="I519">
        <v>9.9021493358133288</v>
      </c>
      <c r="J519">
        <v>9.8743191195858149</v>
      </c>
      <c r="K519">
        <v>9.8524393901951708</v>
      </c>
      <c r="L519">
        <v>9.8458700876459275</v>
      </c>
      <c r="M519">
        <v>9.8265158593218818</v>
      </c>
      <c r="N519">
        <v>9.7988120990794698</v>
      </c>
      <c r="P519">
        <f t="shared" si="160"/>
        <v>226713.22387439985</v>
      </c>
      <c r="Q519">
        <f t="shared" si="161"/>
        <v>226201.91078757448</v>
      </c>
      <c r="R519">
        <f t="shared" si="162"/>
        <v>224717.91610585514</v>
      </c>
      <c r="S519">
        <f t="shared" si="163"/>
        <v>224395.24532937779</v>
      </c>
      <c r="T519">
        <f t="shared" si="164"/>
        <v>223080.91327965644</v>
      </c>
      <c r="U519">
        <f t="shared" si="165"/>
        <v>221423.04677238408</v>
      </c>
      <c r="V519">
        <f t="shared" si="153"/>
        <v>1</v>
      </c>
      <c r="W519">
        <f t="shared" si="154"/>
        <v>0</v>
      </c>
      <c r="X519">
        <f t="shared" si="155"/>
        <v>0</v>
      </c>
      <c r="Y519">
        <f t="shared" si="156"/>
        <v>0</v>
      </c>
      <c r="Z519">
        <f t="shared" si="157"/>
        <v>0</v>
      </c>
      <c r="AA519">
        <f t="shared" si="158"/>
        <v>0</v>
      </c>
      <c r="AC519">
        <f t="shared" si="147"/>
        <v>226713.22387439985</v>
      </c>
      <c r="AD519">
        <f t="shared" si="148"/>
        <v>226201.91078757448</v>
      </c>
      <c r="AE519">
        <f t="shared" si="149"/>
        <v>224717.91610585514</v>
      </c>
      <c r="AF519">
        <f t="shared" si="150"/>
        <v>224395.24532937779</v>
      </c>
      <c r="AG519">
        <f t="shared" si="151"/>
        <v>223080.91327965644</v>
      </c>
      <c r="AH519">
        <f t="shared" si="152"/>
        <v>221423.04677238408</v>
      </c>
      <c r="AI519">
        <f t="shared" si="159"/>
        <v>226713.22387439985</v>
      </c>
    </row>
    <row r="520" spans="2:35" x14ac:dyDescent="0.3">
      <c r="B520">
        <v>477</v>
      </c>
      <c r="C520">
        <v>79276.769799999995</v>
      </c>
      <c r="D520">
        <v>77615.694399999993</v>
      </c>
      <c r="E520">
        <v>77264.388099999996</v>
      </c>
      <c r="F520">
        <v>76909.976699999999</v>
      </c>
      <c r="G520">
        <v>76518.414799999999</v>
      </c>
      <c r="H520">
        <v>76249.5484</v>
      </c>
      <c r="I520">
        <v>9.9376190290422315</v>
      </c>
      <c r="J520">
        <v>9.9148558843387491</v>
      </c>
      <c r="K520">
        <v>9.8934995713541181</v>
      </c>
      <c r="L520">
        <v>9.8802795143459026</v>
      </c>
      <c r="M520">
        <v>9.8562266607791411</v>
      </c>
      <c r="N520">
        <v>9.8366071859556889</v>
      </c>
      <c r="P520">
        <f t="shared" si="160"/>
        <v>218851.80107126693</v>
      </c>
      <c r="Q520">
        <f t="shared" si="161"/>
        <v>219829.98213016248</v>
      </c>
      <c r="R520">
        <f t="shared" si="162"/>
        <v>219540.59904062358</v>
      </c>
      <c r="S520">
        <f t="shared" si="163"/>
        <v>219498.40873037709</v>
      </c>
      <c r="T520">
        <f t="shared" si="164"/>
        <v>219168.38502337426</v>
      </c>
      <c r="U520">
        <f t="shared" si="165"/>
        <v>218848.66717867067</v>
      </c>
      <c r="V520">
        <f t="shared" si="153"/>
        <v>0</v>
      </c>
      <c r="W520">
        <f t="shared" si="154"/>
        <v>1</v>
      </c>
      <c r="X520">
        <f t="shared" si="155"/>
        <v>0</v>
      </c>
      <c r="Y520">
        <f t="shared" si="156"/>
        <v>0</v>
      </c>
      <c r="Z520">
        <f t="shared" si="157"/>
        <v>0</v>
      </c>
      <c r="AA520">
        <f t="shared" si="158"/>
        <v>0</v>
      </c>
      <c r="AC520">
        <f t="shared" si="147"/>
        <v>218851.80107126693</v>
      </c>
      <c r="AD520">
        <f t="shared" si="148"/>
        <v>219829.98213016248</v>
      </c>
      <c r="AE520">
        <f t="shared" si="149"/>
        <v>219540.59904062358</v>
      </c>
      <c r="AF520">
        <f t="shared" si="150"/>
        <v>219498.40873037709</v>
      </c>
      <c r="AG520">
        <f t="shared" si="151"/>
        <v>219168.38502337426</v>
      </c>
      <c r="AH520">
        <f t="shared" si="152"/>
        <v>218848.66717867067</v>
      </c>
      <c r="AI520">
        <f t="shared" si="159"/>
        <v>219829.98213016248</v>
      </c>
    </row>
    <row r="521" spans="2:35" x14ac:dyDescent="0.3">
      <c r="B521">
        <v>478</v>
      </c>
      <c r="C521">
        <v>74458.936000000002</v>
      </c>
      <c r="D521">
        <v>74621.363200000007</v>
      </c>
      <c r="E521">
        <v>75317.0959</v>
      </c>
      <c r="F521">
        <v>75453.052800000005</v>
      </c>
      <c r="G521">
        <v>76374.430999999997</v>
      </c>
      <c r="H521">
        <v>77285.147200000007</v>
      </c>
      <c r="I521">
        <v>9.3148814386249263</v>
      </c>
      <c r="J521">
        <v>9.2681173228679867</v>
      </c>
      <c r="K521">
        <v>9.2408524998425321</v>
      </c>
      <c r="L521">
        <v>9.2312125858792822</v>
      </c>
      <c r="M521">
        <v>9.1999216641297235</v>
      </c>
      <c r="N521">
        <v>9.1653383891471236</v>
      </c>
      <c r="P521">
        <f t="shared" si="160"/>
        <v>204987.50715874782</v>
      </c>
      <c r="Q521">
        <f t="shared" si="161"/>
        <v>203422.15648603957</v>
      </c>
      <c r="R521">
        <f t="shared" si="162"/>
        <v>201908.47909527592</v>
      </c>
      <c r="S521">
        <f t="shared" si="163"/>
        <v>201483.32477637846</v>
      </c>
      <c r="T521">
        <f t="shared" si="164"/>
        <v>199623.21892389172</v>
      </c>
      <c r="U521">
        <f t="shared" si="165"/>
        <v>197675.0044744137</v>
      </c>
      <c r="V521">
        <f t="shared" si="153"/>
        <v>1</v>
      </c>
      <c r="W521">
        <f t="shared" si="154"/>
        <v>0</v>
      </c>
      <c r="X521">
        <f t="shared" si="155"/>
        <v>0</v>
      </c>
      <c r="Y521">
        <f t="shared" si="156"/>
        <v>0</v>
      </c>
      <c r="Z521">
        <f t="shared" si="157"/>
        <v>0</v>
      </c>
      <c r="AA521">
        <f t="shared" si="158"/>
        <v>0</v>
      </c>
      <c r="AC521">
        <f t="shared" si="147"/>
        <v>204987.50715874782</v>
      </c>
      <c r="AD521">
        <f t="shared" si="148"/>
        <v>203422.15648603957</v>
      </c>
      <c r="AE521">
        <f t="shared" si="149"/>
        <v>201908.47909527592</v>
      </c>
      <c r="AF521">
        <f t="shared" si="150"/>
        <v>201483.32477637846</v>
      </c>
      <c r="AG521">
        <f t="shared" si="151"/>
        <v>199623.21892389172</v>
      </c>
      <c r="AH521">
        <f t="shared" si="152"/>
        <v>197675.0044744137</v>
      </c>
      <c r="AI521">
        <f t="shared" si="159"/>
        <v>204987.50715874782</v>
      </c>
    </row>
    <row r="522" spans="2:35" x14ac:dyDescent="0.3">
      <c r="B522">
        <v>479</v>
      </c>
      <c r="C522">
        <v>69614.925499999998</v>
      </c>
      <c r="D522">
        <v>69806.253299999997</v>
      </c>
      <c r="E522">
        <v>70608.641699999993</v>
      </c>
      <c r="F522">
        <v>70704.063200000004</v>
      </c>
      <c r="G522">
        <v>71878.719800000006</v>
      </c>
      <c r="H522">
        <v>72829.845000000001</v>
      </c>
      <c r="I522">
        <v>10.671604883702152</v>
      </c>
      <c r="J522">
        <v>10.651558089821048</v>
      </c>
      <c r="K522">
        <v>10.639029929520044</v>
      </c>
      <c r="L522">
        <v>10.632885478985459</v>
      </c>
      <c r="M522">
        <v>10.615688018190157</v>
      </c>
      <c r="N522">
        <v>10.597826064723501</v>
      </c>
      <c r="P522">
        <f t="shared" si="160"/>
        <v>250533.22101106454</v>
      </c>
      <c r="Q522">
        <f t="shared" si="161"/>
        <v>249740.48939463147</v>
      </c>
      <c r="R522">
        <f t="shared" si="162"/>
        <v>248562.25618560135</v>
      </c>
      <c r="S522">
        <f t="shared" si="163"/>
        <v>248282.50116956377</v>
      </c>
      <c r="T522">
        <f t="shared" si="164"/>
        <v>246591.92074570467</v>
      </c>
      <c r="U522">
        <f t="shared" si="165"/>
        <v>245104.93694170503</v>
      </c>
      <c r="V522">
        <f t="shared" si="153"/>
        <v>1</v>
      </c>
      <c r="W522">
        <f t="shared" si="154"/>
        <v>0</v>
      </c>
      <c r="X522">
        <f t="shared" si="155"/>
        <v>0</v>
      </c>
      <c r="Y522">
        <f t="shared" si="156"/>
        <v>0</v>
      </c>
      <c r="Z522">
        <f t="shared" si="157"/>
        <v>0</v>
      </c>
      <c r="AA522">
        <f t="shared" si="158"/>
        <v>0</v>
      </c>
      <c r="AC522">
        <f t="shared" si="147"/>
        <v>250533.22101106454</v>
      </c>
      <c r="AD522">
        <f t="shared" si="148"/>
        <v>249740.48939463147</v>
      </c>
      <c r="AE522">
        <f t="shared" si="149"/>
        <v>248562.25618560135</v>
      </c>
      <c r="AF522">
        <f t="shared" si="150"/>
        <v>248282.50116956377</v>
      </c>
      <c r="AG522">
        <f t="shared" si="151"/>
        <v>246591.92074570467</v>
      </c>
      <c r="AH522">
        <f t="shared" si="152"/>
        <v>245104.93694170503</v>
      </c>
      <c r="AI522">
        <f t="shared" si="159"/>
        <v>250533.22101106454</v>
      </c>
    </row>
    <row r="523" spans="2:35" x14ac:dyDescent="0.3">
      <c r="B523">
        <v>480</v>
      </c>
      <c r="C523">
        <v>75899.722599999994</v>
      </c>
      <c r="D523">
        <v>74557.659299999999</v>
      </c>
      <c r="E523">
        <v>74522.630399999995</v>
      </c>
      <c r="F523">
        <v>74227.670800000007</v>
      </c>
      <c r="G523">
        <v>74250.250599999999</v>
      </c>
      <c r="H523">
        <v>74261.044399999999</v>
      </c>
      <c r="I523">
        <v>10.482659523712595</v>
      </c>
      <c r="J523">
        <v>10.45431552346691</v>
      </c>
      <c r="K523">
        <v>10.430548491129837</v>
      </c>
      <c r="L523">
        <v>10.419216994822344</v>
      </c>
      <c r="M523">
        <v>10.400987100764661</v>
      </c>
      <c r="N523">
        <v>10.373994985527091</v>
      </c>
      <c r="P523">
        <f t="shared" si="160"/>
        <v>238580.06311137788</v>
      </c>
      <c r="Q523">
        <f t="shared" si="161"/>
        <v>239071.80640400731</v>
      </c>
      <c r="R523">
        <f t="shared" si="162"/>
        <v>238393.82433389514</v>
      </c>
      <c r="S523">
        <f t="shared" si="163"/>
        <v>238348.83904467028</v>
      </c>
      <c r="T523">
        <f t="shared" si="164"/>
        <v>237779.36242293983</v>
      </c>
      <c r="U523">
        <f t="shared" si="165"/>
        <v>236958.80516581272</v>
      </c>
      <c r="V523">
        <f t="shared" si="153"/>
        <v>0</v>
      </c>
      <c r="W523">
        <f t="shared" si="154"/>
        <v>1</v>
      </c>
      <c r="X523">
        <f t="shared" si="155"/>
        <v>0</v>
      </c>
      <c r="Y523">
        <f t="shared" si="156"/>
        <v>0</v>
      </c>
      <c r="Z523">
        <f t="shared" si="157"/>
        <v>0</v>
      </c>
      <c r="AA523">
        <f t="shared" si="158"/>
        <v>0</v>
      </c>
      <c r="AC523">
        <f t="shared" si="147"/>
        <v>238580.06311137788</v>
      </c>
      <c r="AD523">
        <f t="shared" si="148"/>
        <v>239071.80640400731</v>
      </c>
      <c r="AE523">
        <f t="shared" si="149"/>
        <v>238393.82433389514</v>
      </c>
      <c r="AF523">
        <f t="shared" si="150"/>
        <v>238348.83904467028</v>
      </c>
      <c r="AG523">
        <f t="shared" si="151"/>
        <v>237779.36242293983</v>
      </c>
      <c r="AH523">
        <f t="shared" si="152"/>
        <v>236958.80516581272</v>
      </c>
      <c r="AI523">
        <f t="shared" si="159"/>
        <v>239071.80640400731</v>
      </c>
    </row>
    <row r="524" spans="2:35" x14ac:dyDescent="0.3">
      <c r="B524">
        <v>481</v>
      </c>
      <c r="C524">
        <v>85094.351500000004</v>
      </c>
      <c r="D524">
        <v>83823.596399999995</v>
      </c>
      <c r="E524">
        <v>83898.457699999999</v>
      </c>
      <c r="F524">
        <v>83696.855299999996</v>
      </c>
      <c r="G524">
        <v>83613.080400000006</v>
      </c>
      <c r="H524">
        <v>83755.515400000004</v>
      </c>
      <c r="I524">
        <v>11.358474006426656</v>
      </c>
      <c r="J524">
        <v>11.316491500119263</v>
      </c>
      <c r="K524">
        <v>11.290834175135105</v>
      </c>
      <c r="L524">
        <v>11.279299335736518</v>
      </c>
      <c r="M524">
        <v>11.243554049486935</v>
      </c>
      <c r="N524">
        <v>11.2068099423556</v>
      </c>
      <c r="P524">
        <f t="shared" si="160"/>
        <v>255659.8686927997</v>
      </c>
      <c r="Q524">
        <f t="shared" si="161"/>
        <v>255671.14860357792</v>
      </c>
      <c r="R524">
        <f t="shared" si="162"/>
        <v>254826.56755405312</v>
      </c>
      <c r="S524">
        <f t="shared" si="163"/>
        <v>254682.12477209553</v>
      </c>
      <c r="T524">
        <f t="shared" si="164"/>
        <v>253693.54108460803</v>
      </c>
      <c r="U524">
        <f t="shared" si="165"/>
        <v>252448.78287066796</v>
      </c>
      <c r="V524">
        <f t="shared" si="153"/>
        <v>0</v>
      </c>
      <c r="W524">
        <f t="shared" si="154"/>
        <v>1</v>
      </c>
      <c r="X524">
        <f t="shared" si="155"/>
        <v>0</v>
      </c>
      <c r="Y524">
        <f t="shared" si="156"/>
        <v>0</v>
      </c>
      <c r="Z524">
        <f t="shared" si="157"/>
        <v>0</v>
      </c>
      <c r="AA524">
        <f t="shared" si="158"/>
        <v>0</v>
      </c>
      <c r="AC524">
        <f t="shared" si="147"/>
        <v>255659.8686927997</v>
      </c>
      <c r="AD524">
        <f t="shared" si="148"/>
        <v>255671.14860357792</v>
      </c>
      <c r="AE524">
        <f t="shared" si="149"/>
        <v>254826.56755405312</v>
      </c>
      <c r="AF524">
        <f t="shared" si="150"/>
        <v>254682.12477209553</v>
      </c>
      <c r="AG524">
        <f t="shared" si="151"/>
        <v>253693.54108460803</v>
      </c>
      <c r="AH524">
        <f t="shared" si="152"/>
        <v>252448.78287066796</v>
      </c>
      <c r="AI524">
        <f t="shared" si="159"/>
        <v>255671.14860357792</v>
      </c>
    </row>
    <row r="525" spans="2:35" x14ac:dyDescent="0.3">
      <c r="B525">
        <v>482</v>
      </c>
      <c r="C525">
        <v>72322.231400000004</v>
      </c>
      <c r="D525">
        <v>71950.100699999995</v>
      </c>
      <c r="E525">
        <v>72696.544299999994</v>
      </c>
      <c r="F525">
        <v>72777.602899999998</v>
      </c>
      <c r="G525">
        <v>73668.685299999997</v>
      </c>
      <c r="H525">
        <v>74325.302800000005</v>
      </c>
      <c r="I525">
        <v>11.712159057249439</v>
      </c>
      <c r="J525">
        <v>11.694820300543752</v>
      </c>
      <c r="K525">
        <v>11.675736674753949</v>
      </c>
      <c r="L525">
        <v>11.672102418420165</v>
      </c>
      <c r="M525">
        <v>11.655436068140961</v>
      </c>
      <c r="N525">
        <v>11.642149638394072</v>
      </c>
      <c r="P525">
        <f t="shared" si="160"/>
        <v>279042.54031748319</v>
      </c>
      <c r="Q525">
        <f t="shared" si="161"/>
        <v>278894.50831631257</v>
      </c>
      <c r="R525">
        <f t="shared" si="162"/>
        <v>277575.55594261846</v>
      </c>
      <c r="S525">
        <f t="shared" si="163"/>
        <v>277385.46965260495</v>
      </c>
      <c r="T525">
        <f t="shared" si="164"/>
        <v>275994.39674422884</v>
      </c>
      <c r="U525">
        <f t="shared" si="165"/>
        <v>274939.18635182217</v>
      </c>
      <c r="V525">
        <f t="shared" si="153"/>
        <v>1</v>
      </c>
      <c r="W525">
        <f t="shared" si="154"/>
        <v>0</v>
      </c>
      <c r="X525">
        <f t="shared" si="155"/>
        <v>0</v>
      </c>
      <c r="Y525">
        <f t="shared" si="156"/>
        <v>0</v>
      </c>
      <c r="Z525">
        <f t="shared" si="157"/>
        <v>0</v>
      </c>
      <c r="AA525">
        <f t="shared" si="158"/>
        <v>0</v>
      </c>
      <c r="AC525">
        <f t="shared" si="147"/>
        <v>279042.54031748319</v>
      </c>
      <c r="AD525">
        <f t="shared" si="148"/>
        <v>278894.50831631257</v>
      </c>
      <c r="AE525">
        <f t="shared" si="149"/>
        <v>277575.55594261846</v>
      </c>
      <c r="AF525">
        <f t="shared" si="150"/>
        <v>277385.46965260495</v>
      </c>
      <c r="AG525">
        <f t="shared" si="151"/>
        <v>275994.39674422884</v>
      </c>
      <c r="AH525">
        <f t="shared" si="152"/>
        <v>274939.18635182217</v>
      </c>
      <c r="AI525">
        <f t="shared" si="159"/>
        <v>279042.54031748319</v>
      </c>
    </row>
    <row r="526" spans="2:35" x14ac:dyDescent="0.3">
      <c r="B526">
        <v>483</v>
      </c>
      <c r="C526">
        <v>71684.905100000004</v>
      </c>
      <c r="D526">
        <v>69873.109400000001</v>
      </c>
      <c r="E526">
        <v>69704.1633</v>
      </c>
      <c r="F526">
        <v>69244.557199999996</v>
      </c>
      <c r="G526">
        <v>68838.551399999997</v>
      </c>
      <c r="H526">
        <v>68472.407099999997</v>
      </c>
      <c r="I526">
        <v>10.555981101509147</v>
      </c>
      <c r="J526">
        <v>10.523290319751755</v>
      </c>
      <c r="K526">
        <v>10.506234698037542</v>
      </c>
      <c r="L526">
        <v>10.490167447788568</v>
      </c>
      <c r="M526">
        <v>10.461683222291459</v>
      </c>
      <c r="N526">
        <v>10.440490036267194</v>
      </c>
      <c r="P526">
        <f t="shared" si="160"/>
        <v>244994.5279452744</v>
      </c>
      <c r="Q526">
        <f t="shared" si="161"/>
        <v>245825.60019255267</v>
      </c>
      <c r="R526">
        <f t="shared" si="162"/>
        <v>245482.87764112622</v>
      </c>
      <c r="S526">
        <f t="shared" si="163"/>
        <v>245460.46623365709</v>
      </c>
      <c r="T526">
        <f t="shared" si="164"/>
        <v>245011.94526874379</v>
      </c>
      <c r="U526">
        <f t="shared" si="165"/>
        <v>244742.29398801579</v>
      </c>
      <c r="V526">
        <f t="shared" si="153"/>
        <v>0</v>
      </c>
      <c r="W526">
        <f t="shared" si="154"/>
        <v>1</v>
      </c>
      <c r="X526">
        <f t="shared" si="155"/>
        <v>0</v>
      </c>
      <c r="Y526">
        <f t="shared" si="156"/>
        <v>0</v>
      </c>
      <c r="Z526">
        <f t="shared" si="157"/>
        <v>0</v>
      </c>
      <c r="AA526">
        <f t="shared" si="158"/>
        <v>0</v>
      </c>
      <c r="AC526">
        <f t="shared" si="147"/>
        <v>244994.5279452744</v>
      </c>
      <c r="AD526">
        <f t="shared" si="148"/>
        <v>245825.60019255267</v>
      </c>
      <c r="AE526">
        <f t="shared" si="149"/>
        <v>245482.87764112622</v>
      </c>
      <c r="AF526">
        <f t="shared" si="150"/>
        <v>245460.46623365709</v>
      </c>
      <c r="AG526">
        <f t="shared" si="151"/>
        <v>245011.94526874379</v>
      </c>
      <c r="AH526">
        <f t="shared" si="152"/>
        <v>244742.29398801579</v>
      </c>
      <c r="AI526">
        <f t="shared" si="159"/>
        <v>245825.60019255267</v>
      </c>
    </row>
    <row r="527" spans="2:35" x14ac:dyDescent="0.3">
      <c r="B527">
        <v>484</v>
      </c>
      <c r="C527">
        <v>89943.212799999994</v>
      </c>
      <c r="D527">
        <v>89929.616099999999</v>
      </c>
      <c r="E527">
        <v>90492.755300000004</v>
      </c>
      <c r="F527">
        <v>90593.472299999994</v>
      </c>
      <c r="G527">
        <v>91386.128700000001</v>
      </c>
      <c r="H527">
        <v>92185.969200000007</v>
      </c>
      <c r="I527">
        <v>10.147879766378065</v>
      </c>
      <c r="J527">
        <v>10.089056690693665</v>
      </c>
      <c r="K527">
        <v>10.058496174978838</v>
      </c>
      <c r="L527">
        <v>10.039811708066228</v>
      </c>
      <c r="M527">
        <v>9.9880845607661257</v>
      </c>
      <c r="N527">
        <v>9.9563839876738545</v>
      </c>
      <c r="P527">
        <f t="shared" si="160"/>
        <v>214493.18019134196</v>
      </c>
      <c r="Q527">
        <f t="shared" si="161"/>
        <v>212742.08462081</v>
      </c>
      <c r="R527">
        <f t="shared" si="162"/>
        <v>211262.12994936516</v>
      </c>
      <c r="S527">
        <f t="shared" si="163"/>
        <v>210600.87894198686</v>
      </c>
      <c r="T527">
        <f t="shared" si="164"/>
        <v>208256.40812298376</v>
      </c>
      <c r="U527">
        <f t="shared" si="165"/>
        <v>206505.55043021566</v>
      </c>
      <c r="V527">
        <f t="shared" si="153"/>
        <v>1</v>
      </c>
      <c r="W527">
        <f t="shared" si="154"/>
        <v>0</v>
      </c>
      <c r="X527">
        <f t="shared" si="155"/>
        <v>0</v>
      </c>
      <c r="Y527">
        <f t="shared" si="156"/>
        <v>0</v>
      </c>
      <c r="Z527">
        <f t="shared" si="157"/>
        <v>0</v>
      </c>
      <c r="AA527">
        <f t="shared" si="158"/>
        <v>0</v>
      </c>
      <c r="AC527">
        <f t="shared" si="147"/>
        <v>214493.18019134196</v>
      </c>
      <c r="AD527">
        <f t="shared" si="148"/>
        <v>212742.08462081</v>
      </c>
      <c r="AE527">
        <f t="shared" si="149"/>
        <v>211262.12994936516</v>
      </c>
      <c r="AF527">
        <f t="shared" si="150"/>
        <v>210600.87894198686</v>
      </c>
      <c r="AG527">
        <f t="shared" si="151"/>
        <v>208256.40812298376</v>
      </c>
      <c r="AH527">
        <f t="shared" si="152"/>
        <v>206505.55043021566</v>
      </c>
      <c r="AI527">
        <f t="shared" si="159"/>
        <v>214493.18019134196</v>
      </c>
    </row>
    <row r="528" spans="2:35" x14ac:dyDescent="0.3">
      <c r="B528">
        <v>485</v>
      </c>
      <c r="C528">
        <v>85318.682700000005</v>
      </c>
      <c r="D528">
        <v>84987.802800000005</v>
      </c>
      <c r="E528">
        <v>85432.721999999994</v>
      </c>
      <c r="F528">
        <v>85530.296300000002</v>
      </c>
      <c r="G528">
        <v>86104.3315</v>
      </c>
      <c r="H528">
        <v>86629.655499999993</v>
      </c>
      <c r="I528">
        <v>10.291927120541965</v>
      </c>
      <c r="J528">
        <v>10.267074426354075</v>
      </c>
      <c r="K528">
        <v>10.255704508438617</v>
      </c>
      <c r="L528">
        <v>10.242292696742402</v>
      </c>
      <c r="M528">
        <v>10.230304377122506</v>
      </c>
      <c r="N528">
        <v>10.209334854437696</v>
      </c>
      <c r="P528">
        <f t="shared" si="160"/>
        <v>223439.13091625896</v>
      </c>
      <c r="Q528">
        <f t="shared" si="161"/>
        <v>223024.42999062221</v>
      </c>
      <c r="R528">
        <f t="shared" si="162"/>
        <v>222238.41325315851</v>
      </c>
      <c r="S528">
        <f t="shared" si="163"/>
        <v>221738.48460227204</v>
      </c>
      <c r="T528">
        <f t="shared" si="164"/>
        <v>220804.7998136752</v>
      </c>
      <c r="U528">
        <f t="shared" si="165"/>
        <v>219650.39013313089</v>
      </c>
      <c r="V528">
        <f t="shared" si="153"/>
        <v>1</v>
      </c>
      <c r="W528">
        <f t="shared" si="154"/>
        <v>0</v>
      </c>
      <c r="X528">
        <f t="shared" si="155"/>
        <v>0</v>
      </c>
      <c r="Y528">
        <f t="shared" si="156"/>
        <v>0</v>
      </c>
      <c r="Z528">
        <f t="shared" si="157"/>
        <v>0</v>
      </c>
      <c r="AA528">
        <f t="shared" si="158"/>
        <v>0</v>
      </c>
      <c r="AC528">
        <f t="shared" si="147"/>
        <v>223439.13091625896</v>
      </c>
      <c r="AD528">
        <f t="shared" si="148"/>
        <v>223024.42999062221</v>
      </c>
      <c r="AE528">
        <f t="shared" si="149"/>
        <v>222238.41325315851</v>
      </c>
      <c r="AF528">
        <f t="shared" si="150"/>
        <v>221738.48460227204</v>
      </c>
      <c r="AG528">
        <f t="shared" si="151"/>
        <v>220804.7998136752</v>
      </c>
      <c r="AH528">
        <f t="shared" si="152"/>
        <v>219650.39013313089</v>
      </c>
      <c r="AI528">
        <f t="shared" si="159"/>
        <v>223439.13091625896</v>
      </c>
    </row>
    <row r="529" spans="2:35" x14ac:dyDescent="0.3">
      <c r="B529">
        <v>486</v>
      </c>
      <c r="C529">
        <v>84534.852599999998</v>
      </c>
      <c r="D529">
        <v>82828.273199999996</v>
      </c>
      <c r="E529">
        <v>82988.008700000006</v>
      </c>
      <c r="F529">
        <v>82621.373099999997</v>
      </c>
      <c r="G529">
        <v>82527.8992</v>
      </c>
      <c r="H529">
        <v>82412.593900000007</v>
      </c>
      <c r="I529">
        <v>10.65189698343713</v>
      </c>
      <c r="J529">
        <v>10.610323544589084</v>
      </c>
      <c r="K529">
        <v>10.598148903313444</v>
      </c>
      <c r="L529">
        <v>10.58260687213876</v>
      </c>
      <c r="M529">
        <v>10.556498238727439</v>
      </c>
      <c r="N529">
        <v>10.528188357991842</v>
      </c>
      <c r="P529">
        <f t="shared" si="160"/>
        <v>235022.0569031139</v>
      </c>
      <c r="Q529">
        <f t="shared" si="161"/>
        <v>235481.43313767255</v>
      </c>
      <c r="R529">
        <f t="shared" si="162"/>
        <v>234956.45839940332</v>
      </c>
      <c r="S529">
        <f t="shared" si="163"/>
        <v>234856.83306416278</v>
      </c>
      <c r="T529">
        <f t="shared" si="164"/>
        <v>234167.04796182318</v>
      </c>
      <c r="U529">
        <f t="shared" si="165"/>
        <v>233433.05683975524</v>
      </c>
      <c r="V529">
        <f t="shared" si="153"/>
        <v>0</v>
      </c>
      <c r="W529">
        <f t="shared" si="154"/>
        <v>1</v>
      </c>
      <c r="X529">
        <f t="shared" si="155"/>
        <v>0</v>
      </c>
      <c r="Y529">
        <f t="shared" si="156"/>
        <v>0</v>
      </c>
      <c r="Z529">
        <f t="shared" si="157"/>
        <v>0</v>
      </c>
      <c r="AA529">
        <f t="shared" si="158"/>
        <v>0</v>
      </c>
      <c r="AC529">
        <f t="shared" si="147"/>
        <v>235022.0569031139</v>
      </c>
      <c r="AD529">
        <f t="shared" si="148"/>
        <v>235481.43313767255</v>
      </c>
      <c r="AE529">
        <f t="shared" si="149"/>
        <v>234956.45839940332</v>
      </c>
      <c r="AF529">
        <f t="shared" si="150"/>
        <v>234856.83306416278</v>
      </c>
      <c r="AG529">
        <f t="shared" si="151"/>
        <v>234167.04796182318</v>
      </c>
      <c r="AH529">
        <f t="shared" si="152"/>
        <v>233433.05683975524</v>
      </c>
      <c r="AI529">
        <f t="shared" si="159"/>
        <v>235481.43313767255</v>
      </c>
    </row>
    <row r="530" spans="2:35" x14ac:dyDescent="0.3">
      <c r="B530">
        <v>487</v>
      </c>
      <c r="C530">
        <v>74555.959000000003</v>
      </c>
      <c r="D530">
        <v>74896.0861</v>
      </c>
      <c r="E530">
        <v>75589.988299999997</v>
      </c>
      <c r="F530">
        <v>75902.132199999993</v>
      </c>
      <c r="G530">
        <v>77131.7117</v>
      </c>
      <c r="H530">
        <v>77947.073799999998</v>
      </c>
      <c r="I530">
        <v>11.258961738375884</v>
      </c>
      <c r="J530">
        <v>11.237452560273251</v>
      </c>
      <c r="K530">
        <v>11.228572586756268</v>
      </c>
      <c r="L530">
        <v>11.22171348602609</v>
      </c>
      <c r="M530">
        <v>11.205588560888918</v>
      </c>
      <c r="N530">
        <v>11.191173419447669</v>
      </c>
      <c r="P530">
        <f t="shared" si="160"/>
        <v>263212.89315127651</v>
      </c>
      <c r="Q530">
        <f t="shared" si="161"/>
        <v>262227.49070819753</v>
      </c>
      <c r="R530">
        <f t="shared" si="162"/>
        <v>261267.18930268803</v>
      </c>
      <c r="S530">
        <f t="shared" si="163"/>
        <v>260749.2723807827</v>
      </c>
      <c r="T530">
        <f t="shared" si="164"/>
        <v>259035.94512666756</v>
      </c>
      <c r="U530">
        <f t="shared" si="165"/>
        <v>257788.12878343003</v>
      </c>
      <c r="V530">
        <f t="shared" si="153"/>
        <v>1</v>
      </c>
      <c r="W530">
        <f t="shared" si="154"/>
        <v>0</v>
      </c>
      <c r="X530">
        <f t="shared" si="155"/>
        <v>0</v>
      </c>
      <c r="Y530">
        <f t="shared" si="156"/>
        <v>0</v>
      </c>
      <c r="Z530">
        <f t="shared" si="157"/>
        <v>0</v>
      </c>
      <c r="AA530">
        <f t="shared" si="158"/>
        <v>0</v>
      </c>
      <c r="AC530">
        <f t="shared" si="147"/>
        <v>263212.89315127651</v>
      </c>
      <c r="AD530">
        <f t="shared" si="148"/>
        <v>262227.49070819753</v>
      </c>
      <c r="AE530">
        <f t="shared" si="149"/>
        <v>261267.18930268803</v>
      </c>
      <c r="AF530">
        <f t="shared" si="150"/>
        <v>260749.2723807827</v>
      </c>
      <c r="AG530">
        <f t="shared" si="151"/>
        <v>259035.94512666756</v>
      </c>
      <c r="AH530">
        <f t="shared" si="152"/>
        <v>257788.12878343003</v>
      </c>
      <c r="AI530">
        <f t="shared" si="159"/>
        <v>263212.89315127651</v>
      </c>
    </row>
    <row r="531" spans="2:35" x14ac:dyDescent="0.3">
      <c r="B531">
        <v>488</v>
      </c>
      <c r="C531">
        <v>78637.949399999998</v>
      </c>
      <c r="D531">
        <v>78185.428100000005</v>
      </c>
      <c r="E531">
        <v>78565.701400000005</v>
      </c>
      <c r="F531">
        <v>78668.601899999994</v>
      </c>
      <c r="G531">
        <v>79293.336800000005</v>
      </c>
      <c r="H531">
        <v>79692.506200000003</v>
      </c>
      <c r="I531">
        <v>9.5571556378246267</v>
      </c>
      <c r="J531">
        <v>9.4920697716980325</v>
      </c>
      <c r="K531">
        <v>9.469010972281831</v>
      </c>
      <c r="L531">
        <v>9.4490195576439646</v>
      </c>
      <c r="M531">
        <v>9.4143119199855398</v>
      </c>
      <c r="N531">
        <v>9.3605967961803884</v>
      </c>
      <c r="P531">
        <f t="shared" si="160"/>
        <v>208076.71973473881</v>
      </c>
      <c r="Q531">
        <f t="shared" si="161"/>
        <v>206576.66505094094</v>
      </c>
      <c r="R531">
        <f t="shared" si="162"/>
        <v>205504.6277684549</v>
      </c>
      <c r="S531">
        <f t="shared" si="163"/>
        <v>204801.98482931894</v>
      </c>
      <c r="T531">
        <f t="shared" si="164"/>
        <v>203136.02079956618</v>
      </c>
      <c r="U531">
        <f t="shared" si="165"/>
        <v>201125.39768541168</v>
      </c>
      <c r="V531">
        <f t="shared" si="153"/>
        <v>1</v>
      </c>
      <c r="W531">
        <f t="shared" si="154"/>
        <v>0</v>
      </c>
      <c r="X531">
        <f t="shared" si="155"/>
        <v>0</v>
      </c>
      <c r="Y531">
        <f t="shared" si="156"/>
        <v>0</v>
      </c>
      <c r="Z531">
        <f t="shared" si="157"/>
        <v>0</v>
      </c>
      <c r="AA531">
        <f t="shared" si="158"/>
        <v>0</v>
      </c>
      <c r="AC531">
        <f t="shared" si="147"/>
        <v>208076.71973473881</v>
      </c>
      <c r="AD531">
        <f t="shared" si="148"/>
        <v>206576.66505094094</v>
      </c>
      <c r="AE531">
        <f t="shared" si="149"/>
        <v>205504.6277684549</v>
      </c>
      <c r="AF531">
        <f t="shared" si="150"/>
        <v>204801.98482931894</v>
      </c>
      <c r="AG531">
        <f t="shared" si="151"/>
        <v>203136.02079956618</v>
      </c>
      <c r="AH531">
        <f t="shared" si="152"/>
        <v>201125.39768541168</v>
      </c>
      <c r="AI531">
        <f t="shared" si="159"/>
        <v>208076.71973473881</v>
      </c>
    </row>
    <row r="532" spans="2:35" x14ac:dyDescent="0.3">
      <c r="B532">
        <v>489</v>
      </c>
      <c r="C532">
        <v>96779.044699999999</v>
      </c>
      <c r="D532">
        <v>96096.532500000001</v>
      </c>
      <c r="E532">
        <v>96639.139899999995</v>
      </c>
      <c r="F532">
        <v>96680.810800000007</v>
      </c>
      <c r="G532">
        <v>97105.578399999999</v>
      </c>
      <c r="H532">
        <v>97529.309899999993</v>
      </c>
      <c r="I532">
        <v>12.199505622459872</v>
      </c>
      <c r="J532">
        <v>12.166948875020612</v>
      </c>
      <c r="K532">
        <v>12.14035403380344</v>
      </c>
      <c r="L532">
        <v>12.121028243160634</v>
      </c>
      <c r="M532">
        <v>12.096347592488632</v>
      </c>
      <c r="N532">
        <v>12.0591770717185</v>
      </c>
      <c r="P532">
        <f t="shared" si="160"/>
        <v>269206.12397379614</v>
      </c>
      <c r="Q532">
        <f t="shared" si="161"/>
        <v>268911.93375061837</v>
      </c>
      <c r="R532">
        <f t="shared" si="162"/>
        <v>267571.48111410323</v>
      </c>
      <c r="S532">
        <f t="shared" si="163"/>
        <v>266950.03649481898</v>
      </c>
      <c r="T532">
        <f t="shared" si="164"/>
        <v>265784.84937465895</v>
      </c>
      <c r="U532">
        <f t="shared" si="165"/>
        <v>264246.00225155498</v>
      </c>
      <c r="V532">
        <f t="shared" si="153"/>
        <v>1</v>
      </c>
      <c r="W532">
        <f t="shared" si="154"/>
        <v>0</v>
      </c>
      <c r="X532">
        <f t="shared" si="155"/>
        <v>0</v>
      </c>
      <c r="Y532">
        <f t="shared" si="156"/>
        <v>0</v>
      </c>
      <c r="Z532">
        <f t="shared" si="157"/>
        <v>0</v>
      </c>
      <c r="AA532">
        <f t="shared" si="158"/>
        <v>0</v>
      </c>
      <c r="AC532">
        <f t="shared" si="147"/>
        <v>269206.12397379614</v>
      </c>
      <c r="AD532">
        <f t="shared" si="148"/>
        <v>268911.93375061837</v>
      </c>
      <c r="AE532">
        <f t="shared" si="149"/>
        <v>267571.48111410323</v>
      </c>
      <c r="AF532">
        <f t="shared" si="150"/>
        <v>266950.03649481898</v>
      </c>
      <c r="AG532">
        <f t="shared" si="151"/>
        <v>265784.84937465895</v>
      </c>
      <c r="AH532">
        <f t="shared" si="152"/>
        <v>264246.00225155498</v>
      </c>
      <c r="AI532">
        <f t="shared" si="159"/>
        <v>269206.12397379614</v>
      </c>
    </row>
    <row r="533" spans="2:35" x14ac:dyDescent="0.3">
      <c r="B533">
        <v>490</v>
      </c>
      <c r="C533">
        <v>83266.046000000002</v>
      </c>
      <c r="D533">
        <v>81965.665999999997</v>
      </c>
      <c r="E533">
        <v>81910.604200000002</v>
      </c>
      <c r="F533">
        <v>81613.123999999996</v>
      </c>
      <c r="G533">
        <v>81484.4467</v>
      </c>
      <c r="H533">
        <v>81580.903399999996</v>
      </c>
      <c r="I533">
        <v>10.112277205655154</v>
      </c>
      <c r="J533">
        <v>10.090457372239152</v>
      </c>
      <c r="K533">
        <v>10.07063182396732</v>
      </c>
      <c r="L533">
        <v>10.065751465656978</v>
      </c>
      <c r="M533">
        <v>10.047768811385232</v>
      </c>
      <c r="N533">
        <v>10.026457712311155</v>
      </c>
      <c r="P533">
        <f t="shared" si="160"/>
        <v>220102.2701696546</v>
      </c>
      <c r="Q533">
        <f t="shared" si="161"/>
        <v>220748.05516717458</v>
      </c>
      <c r="R533">
        <f t="shared" si="162"/>
        <v>220208.35051901959</v>
      </c>
      <c r="S533">
        <f t="shared" si="163"/>
        <v>220359.41996970936</v>
      </c>
      <c r="T533">
        <f t="shared" si="164"/>
        <v>219948.61764155698</v>
      </c>
      <c r="U533">
        <f t="shared" si="165"/>
        <v>219212.82796933461</v>
      </c>
      <c r="V533">
        <f t="shared" si="153"/>
        <v>0</v>
      </c>
      <c r="W533">
        <f t="shared" si="154"/>
        <v>1</v>
      </c>
      <c r="X533">
        <f t="shared" si="155"/>
        <v>0</v>
      </c>
      <c r="Y533">
        <f t="shared" si="156"/>
        <v>0</v>
      </c>
      <c r="Z533">
        <f t="shared" si="157"/>
        <v>0</v>
      </c>
      <c r="AA533">
        <f t="shared" si="158"/>
        <v>0</v>
      </c>
      <c r="AC533">
        <f t="shared" si="147"/>
        <v>220102.2701696546</v>
      </c>
      <c r="AD533">
        <f t="shared" si="148"/>
        <v>220748.05516717458</v>
      </c>
      <c r="AE533">
        <f t="shared" si="149"/>
        <v>220208.35051901959</v>
      </c>
      <c r="AF533">
        <f t="shared" si="150"/>
        <v>220359.41996970936</v>
      </c>
      <c r="AG533">
        <f t="shared" si="151"/>
        <v>219948.61764155698</v>
      </c>
      <c r="AH533">
        <f t="shared" si="152"/>
        <v>219212.82796933461</v>
      </c>
      <c r="AI533">
        <f t="shared" si="159"/>
        <v>220748.05516717458</v>
      </c>
    </row>
    <row r="534" spans="2:35" x14ac:dyDescent="0.3">
      <c r="B534">
        <v>491</v>
      </c>
      <c r="C534">
        <v>75398.108099999998</v>
      </c>
      <c r="D534">
        <v>74487.138600000006</v>
      </c>
      <c r="E534">
        <v>74750.394799999995</v>
      </c>
      <c r="F534">
        <v>74456.089399999997</v>
      </c>
      <c r="G534">
        <v>74592.513399999996</v>
      </c>
      <c r="H534">
        <v>74954.501999999993</v>
      </c>
      <c r="I534">
        <v>8.6641774489125805</v>
      </c>
      <c r="J534">
        <v>8.6214035569752117</v>
      </c>
      <c r="K534">
        <v>8.5870061768182282</v>
      </c>
      <c r="L534">
        <v>8.5723681727247723</v>
      </c>
      <c r="M534">
        <v>8.5478605288532972</v>
      </c>
      <c r="N534">
        <v>8.5145107867092626</v>
      </c>
      <c r="P534">
        <f t="shared" si="160"/>
        <v>184527.21536737744</v>
      </c>
      <c r="Q534">
        <f t="shared" si="161"/>
        <v>184154.96810925636</v>
      </c>
      <c r="R534">
        <f t="shared" si="162"/>
        <v>182859.79050454684</v>
      </c>
      <c r="S534">
        <f t="shared" si="163"/>
        <v>182714.95578174316</v>
      </c>
      <c r="T534">
        <f t="shared" si="164"/>
        <v>181843.30246559891</v>
      </c>
      <c r="U534">
        <f t="shared" si="165"/>
        <v>180480.82160127786</v>
      </c>
      <c r="V534">
        <f t="shared" si="153"/>
        <v>1</v>
      </c>
      <c r="W534">
        <f t="shared" si="154"/>
        <v>0</v>
      </c>
      <c r="X534">
        <f t="shared" si="155"/>
        <v>0</v>
      </c>
      <c r="Y534">
        <f t="shared" si="156"/>
        <v>0</v>
      </c>
      <c r="Z534">
        <f t="shared" si="157"/>
        <v>0</v>
      </c>
      <c r="AA534">
        <f t="shared" si="158"/>
        <v>0</v>
      </c>
      <c r="AC534">
        <f t="shared" si="147"/>
        <v>184527.21536737744</v>
      </c>
      <c r="AD534">
        <f t="shared" si="148"/>
        <v>184154.96810925636</v>
      </c>
      <c r="AE534">
        <f t="shared" si="149"/>
        <v>182859.79050454684</v>
      </c>
      <c r="AF534">
        <f t="shared" si="150"/>
        <v>182714.95578174316</v>
      </c>
      <c r="AG534">
        <f t="shared" si="151"/>
        <v>181843.30246559891</v>
      </c>
      <c r="AH534">
        <f t="shared" si="152"/>
        <v>180480.82160127786</v>
      </c>
      <c r="AI534">
        <f t="shared" si="159"/>
        <v>184527.21536737744</v>
      </c>
    </row>
    <row r="535" spans="2:35" x14ac:dyDescent="0.3">
      <c r="B535">
        <v>492</v>
      </c>
      <c r="C535">
        <v>72290.492100000003</v>
      </c>
      <c r="D535">
        <v>71159.034799999994</v>
      </c>
      <c r="E535">
        <v>71346.185599999997</v>
      </c>
      <c r="F535">
        <v>71012.306700000001</v>
      </c>
      <c r="G535">
        <v>71293.885899999994</v>
      </c>
      <c r="H535">
        <v>71367.034799999994</v>
      </c>
      <c r="I535">
        <v>10.853584460567093</v>
      </c>
      <c r="J535">
        <v>10.836889891117986</v>
      </c>
      <c r="K535">
        <v>10.822062554185099</v>
      </c>
      <c r="L535">
        <v>10.814501295589293</v>
      </c>
      <c r="M535">
        <v>10.80126838268637</v>
      </c>
      <c r="N535">
        <v>10.783614653999026</v>
      </c>
      <c r="P535">
        <f t="shared" si="160"/>
        <v>253317.04171701279</v>
      </c>
      <c r="Q535">
        <f t="shared" si="161"/>
        <v>253947.66193353958</v>
      </c>
      <c r="R535">
        <f t="shared" si="162"/>
        <v>253315.69102555295</v>
      </c>
      <c r="S535">
        <f t="shared" si="163"/>
        <v>253422.73216767877</v>
      </c>
      <c r="T535">
        <f t="shared" si="164"/>
        <v>252744.16558059113</v>
      </c>
      <c r="U535">
        <f t="shared" si="165"/>
        <v>252141.40481997075</v>
      </c>
      <c r="V535">
        <f t="shared" si="153"/>
        <v>0</v>
      </c>
      <c r="W535">
        <f t="shared" si="154"/>
        <v>1</v>
      </c>
      <c r="X535">
        <f t="shared" si="155"/>
        <v>0</v>
      </c>
      <c r="Y535">
        <f t="shared" si="156"/>
        <v>0</v>
      </c>
      <c r="Z535">
        <f t="shared" si="157"/>
        <v>0</v>
      </c>
      <c r="AA535">
        <f t="shared" si="158"/>
        <v>0</v>
      </c>
      <c r="AC535">
        <f t="shared" si="147"/>
        <v>253317.04171701279</v>
      </c>
      <c r="AD535">
        <f t="shared" si="148"/>
        <v>253947.66193353958</v>
      </c>
      <c r="AE535">
        <f t="shared" si="149"/>
        <v>253315.69102555295</v>
      </c>
      <c r="AF535">
        <f t="shared" si="150"/>
        <v>253422.73216767877</v>
      </c>
      <c r="AG535">
        <f t="shared" si="151"/>
        <v>252744.16558059113</v>
      </c>
      <c r="AH535">
        <f t="shared" si="152"/>
        <v>252141.40481997075</v>
      </c>
      <c r="AI535">
        <f t="shared" si="159"/>
        <v>253947.66193353958</v>
      </c>
    </row>
    <row r="536" spans="2:35" x14ac:dyDescent="0.3">
      <c r="B536">
        <v>493</v>
      </c>
      <c r="C536">
        <v>78436.812999999995</v>
      </c>
      <c r="D536">
        <v>77028.174299999999</v>
      </c>
      <c r="E536">
        <v>76891.946899999995</v>
      </c>
      <c r="F536">
        <v>76617.978099999993</v>
      </c>
      <c r="G536">
        <v>76528.833199999994</v>
      </c>
      <c r="H536">
        <v>76422.828699999998</v>
      </c>
      <c r="I536">
        <v>9.9516388771741831</v>
      </c>
      <c r="J536">
        <v>9.913809279797805</v>
      </c>
      <c r="K536">
        <v>9.8687538968473465</v>
      </c>
      <c r="L536">
        <v>9.8559455125069828</v>
      </c>
      <c r="M536">
        <v>9.8234440936363043</v>
      </c>
      <c r="N536">
        <v>9.7775776270453303</v>
      </c>
      <c r="P536">
        <f t="shared" si="160"/>
        <v>220112.35331522548</v>
      </c>
      <c r="Q536">
        <f t="shared" si="161"/>
        <v>220386.10409393412</v>
      </c>
      <c r="R536">
        <f t="shared" si="162"/>
        <v>219170.6700054204</v>
      </c>
      <c r="S536">
        <f t="shared" si="163"/>
        <v>219060.38727520948</v>
      </c>
      <c r="T536">
        <f t="shared" si="164"/>
        <v>218174.48960908916</v>
      </c>
      <c r="U536">
        <f t="shared" si="165"/>
        <v>216904.50011135987</v>
      </c>
      <c r="V536">
        <f t="shared" si="153"/>
        <v>0</v>
      </c>
      <c r="W536">
        <f t="shared" si="154"/>
        <v>1</v>
      </c>
      <c r="X536">
        <f t="shared" si="155"/>
        <v>0</v>
      </c>
      <c r="Y536">
        <f t="shared" si="156"/>
        <v>0</v>
      </c>
      <c r="Z536">
        <f t="shared" si="157"/>
        <v>0</v>
      </c>
      <c r="AA536">
        <f t="shared" si="158"/>
        <v>0</v>
      </c>
      <c r="AC536">
        <f t="shared" si="147"/>
        <v>220112.35331522548</v>
      </c>
      <c r="AD536">
        <f t="shared" si="148"/>
        <v>220386.10409393412</v>
      </c>
      <c r="AE536">
        <f t="shared" si="149"/>
        <v>219170.6700054204</v>
      </c>
      <c r="AF536">
        <f t="shared" si="150"/>
        <v>219060.38727520948</v>
      </c>
      <c r="AG536">
        <f t="shared" si="151"/>
        <v>218174.48960908916</v>
      </c>
      <c r="AH536">
        <f t="shared" si="152"/>
        <v>216904.50011135987</v>
      </c>
      <c r="AI536">
        <f t="shared" si="159"/>
        <v>220386.10409393412</v>
      </c>
    </row>
    <row r="537" spans="2:35" x14ac:dyDescent="0.3">
      <c r="B537">
        <v>494</v>
      </c>
      <c r="C537">
        <v>75461.612399999998</v>
      </c>
      <c r="D537">
        <v>74844.118799999997</v>
      </c>
      <c r="E537">
        <v>75295.179799999998</v>
      </c>
      <c r="F537">
        <v>75430.953800000003</v>
      </c>
      <c r="G537">
        <v>75875.917000000001</v>
      </c>
      <c r="H537">
        <v>76276.220700000005</v>
      </c>
      <c r="I537">
        <v>10.69335564276002</v>
      </c>
      <c r="J537">
        <v>10.628301323287454</v>
      </c>
      <c r="K537">
        <v>10.564270292910024</v>
      </c>
      <c r="L537">
        <v>10.540731423517119</v>
      </c>
      <c r="M537">
        <v>10.479501868162444</v>
      </c>
      <c r="N537">
        <v>10.418958154888768</v>
      </c>
      <c r="P537">
        <f t="shared" si="160"/>
        <v>245339.05688280059</v>
      </c>
      <c r="Q537">
        <f t="shared" si="161"/>
        <v>244004.92089862365</v>
      </c>
      <c r="R537">
        <f t="shared" si="162"/>
        <v>241632.92898730072</v>
      </c>
      <c r="S537">
        <f t="shared" si="163"/>
        <v>240790.98890551354</v>
      </c>
      <c r="T537">
        <f t="shared" si="164"/>
        <v>238509.1390448733</v>
      </c>
      <c r="U537">
        <f t="shared" si="165"/>
        <v>236292.52394666307</v>
      </c>
      <c r="V537">
        <f t="shared" si="153"/>
        <v>1</v>
      </c>
      <c r="W537">
        <f t="shared" si="154"/>
        <v>0</v>
      </c>
      <c r="X537">
        <f t="shared" si="155"/>
        <v>0</v>
      </c>
      <c r="Y537">
        <f t="shared" si="156"/>
        <v>0</v>
      </c>
      <c r="Z537">
        <f t="shared" si="157"/>
        <v>0</v>
      </c>
      <c r="AA537">
        <f t="shared" si="158"/>
        <v>0</v>
      </c>
      <c r="AC537">
        <f t="shared" si="147"/>
        <v>245339.05688280059</v>
      </c>
      <c r="AD537">
        <f t="shared" si="148"/>
        <v>244004.92089862365</v>
      </c>
      <c r="AE537">
        <f t="shared" si="149"/>
        <v>241632.92898730072</v>
      </c>
      <c r="AF537">
        <f t="shared" si="150"/>
        <v>240790.98890551354</v>
      </c>
      <c r="AG537">
        <f t="shared" si="151"/>
        <v>238509.1390448733</v>
      </c>
      <c r="AH537">
        <f t="shared" si="152"/>
        <v>236292.52394666307</v>
      </c>
      <c r="AI537">
        <f t="shared" si="159"/>
        <v>245339.05688280059</v>
      </c>
    </row>
    <row r="538" spans="2:35" x14ac:dyDescent="0.3">
      <c r="B538">
        <v>495</v>
      </c>
      <c r="C538">
        <v>89288.084700000007</v>
      </c>
      <c r="D538">
        <v>87738.082899999994</v>
      </c>
      <c r="E538">
        <v>87462.894199999995</v>
      </c>
      <c r="F538">
        <v>87060.0861</v>
      </c>
      <c r="G538">
        <v>86797.467499999999</v>
      </c>
      <c r="H538">
        <v>86572.854200000002</v>
      </c>
      <c r="I538">
        <v>10.109672137073508</v>
      </c>
      <c r="J538">
        <v>10.095633409345497</v>
      </c>
      <c r="K538">
        <v>10.083618140526488</v>
      </c>
      <c r="L538">
        <v>10.075668995267824</v>
      </c>
      <c r="M538">
        <v>10.060125492659797</v>
      </c>
      <c r="N538">
        <v>10.048548275142311</v>
      </c>
      <c r="P538">
        <f t="shared" si="160"/>
        <v>214002.0794122052</v>
      </c>
      <c r="Q538">
        <f t="shared" si="161"/>
        <v>215130.91938036494</v>
      </c>
      <c r="R538">
        <f t="shared" si="162"/>
        <v>215045.65001579467</v>
      </c>
      <c r="S538">
        <f t="shared" si="163"/>
        <v>215209.98375803471</v>
      </c>
      <c r="T538">
        <f t="shared" si="164"/>
        <v>215006.29727979391</v>
      </c>
      <c r="U538">
        <f t="shared" si="165"/>
        <v>214883.59405426931</v>
      </c>
      <c r="V538">
        <f t="shared" si="153"/>
        <v>0</v>
      </c>
      <c r="W538">
        <f t="shared" si="154"/>
        <v>0</v>
      </c>
      <c r="X538">
        <f t="shared" si="155"/>
        <v>0</v>
      </c>
      <c r="Y538">
        <f t="shared" si="156"/>
        <v>1</v>
      </c>
      <c r="Z538">
        <f t="shared" si="157"/>
        <v>0</v>
      </c>
      <c r="AA538">
        <f t="shared" si="158"/>
        <v>0</v>
      </c>
      <c r="AC538">
        <f t="shared" si="147"/>
        <v>214002.0794122052</v>
      </c>
      <c r="AD538">
        <f t="shared" si="148"/>
        <v>215130.91938036494</v>
      </c>
      <c r="AE538">
        <f t="shared" si="149"/>
        <v>215045.65001579467</v>
      </c>
      <c r="AF538">
        <f t="shared" si="150"/>
        <v>215209.98375803471</v>
      </c>
      <c r="AG538">
        <f t="shared" si="151"/>
        <v>215006.29727979391</v>
      </c>
      <c r="AH538">
        <f t="shared" si="152"/>
        <v>214883.59405426931</v>
      </c>
      <c r="AI538">
        <f t="shared" si="159"/>
        <v>215209.98375803471</v>
      </c>
    </row>
    <row r="539" spans="2:35" x14ac:dyDescent="0.3">
      <c r="B539">
        <v>496</v>
      </c>
      <c r="C539">
        <v>80474.017200000002</v>
      </c>
      <c r="D539">
        <v>79174.241500000004</v>
      </c>
      <c r="E539">
        <v>79298.453999999998</v>
      </c>
      <c r="F539">
        <v>78944.622700000007</v>
      </c>
      <c r="G539">
        <v>78958.253599999996</v>
      </c>
      <c r="H539">
        <v>78842.145799999998</v>
      </c>
      <c r="I539">
        <v>9.6082108021154955</v>
      </c>
      <c r="J539">
        <v>9.5890671717284199</v>
      </c>
      <c r="K539">
        <v>9.5707116559586272</v>
      </c>
      <c r="L539">
        <v>9.5625573313590539</v>
      </c>
      <c r="M539">
        <v>9.5463954723918061</v>
      </c>
      <c r="N539">
        <v>9.5256860919218447</v>
      </c>
      <c r="P539">
        <f t="shared" si="160"/>
        <v>207772.30686346488</v>
      </c>
      <c r="Q539">
        <f t="shared" si="161"/>
        <v>208497.77365185262</v>
      </c>
      <c r="R539">
        <f t="shared" si="162"/>
        <v>207822.89567875882</v>
      </c>
      <c r="S539">
        <f t="shared" si="163"/>
        <v>207932.09724077163</v>
      </c>
      <c r="T539">
        <f t="shared" si="164"/>
        <v>207433.61057175416</v>
      </c>
      <c r="U539">
        <f t="shared" si="165"/>
        <v>206928.43695765536</v>
      </c>
      <c r="V539">
        <f t="shared" si="153"/>
        <v>0</v>
      </c>
      <c r="W539">
        <f t="shared" si="154"/>
        <v>1</v>
      </c>
      <c r="X539">
        <f t="shared" si="155"/>
        <v>0</v>
      </c>
      <c r="Y539">
        <f t="shared" si="156"/>
        <v>0</v>
      </c>
      <c r="Z539">
        <f t="shared" si="157"/>
        <v>0</v>
      </c>
      <c r="AA539">
        <f t="shared" si="158"/>
        <v>0</v>
      </c>
      <c r="AC539">
        <f t="shared" si="147"/>
        <v>207772.30686346488</v>
      </c>
      <c r="AD539">
        <f t="shared" si="148"/>
        <v>208497.77365185262</v>
      </c>
      <c r="AE539">
        <f t="shared" si="149"/>
        <v>207822.89567875882</v>
      </c>
      <c r="AF539">
        <f t="shared" si="150"/>
        <v>207932.09724077163</v>
      </c>
      <c r="AG539">
        <f t="shared" si="151"/>
        <v>207433.61057175416</v>
      </c>
      <c r="AH539">
        <f t="shared" si="152"/>
        <v>206928.43695765536</v>
      </c>
      <c r="AI539">
        <f t="shared" si="159"/>
        <v>208497.77365185262</v>
      </c>
    </row>
    <row r="540" spans="2:35" x14ac:dyDescent="0.3">
      <c r="B540">
        <v>497</v>
      </c>
      <c r="C540">
        <v>85477.403699999995</v>
      </c>
      <c r="D540">
        <v>85646.061499999996</v>
      </c>
      <c r="E540">
        <v>86725.339000000007</v>
      </c>
      <c r="F540">
        <v>86963.989799999996</v>
      </c>
      <c r="G540">
        <v>87991.656600000002</v>
      </c>
      <c r="H540">
        <v>89207.630900000004</v>
      </c>
      <c r="I540">
        <v>9.9250655782510204</v>
      </c>
      <c r="J540">
        <v>9.9105713815844325</v>
      </c>
      <c r="K540">
        <v>9.899773570575471</v>
      </c>
      <c r="L540">
        <v>9.895626134076597</v>
      </c>
      <c r="M540">
        <v>9.8850659877835998</v>
      </c>
      <c r="N540">
        <v>9.8731563807622038</v>
      </c>
      <c r="P540">
        <f t="shared" si="160"/>
        <v>212274.56364753059</v>
      </c>
      <c r="Q540">
        <f t="shared" si="161"/>
        <v>211671.07994753297</v>
      </c>
      <c r="R540">
        <f t="shared" si="162"/>
        <v>210267.86811726415</v>
      </c>
      <c r="S540">
        <f t="shared" si="163"/>
        <v>209904.7942222979</v>
      </c>
      <c r="T540">
        <f t="shared" si="164"/>
        <v>208560.32303350803</v>
      </c>
      <c r="U540">
        <f t="shared" si="165"/>
        <v>206987.06052286614</v>
      </c>
      <c r="V540">
        <f t="shared" si="153"/>
        <v>1</v>
      </c>
      <c r="W540">
        <f t="shared" si="154"/>
        <v>0</v>
      </c>
      <c r="X540">
        <f t="shared" si="155"/>
        <v>0</v>
      </c>
      <c r="Y540">
        <f t="shared" si="156"/>
        <v>0</v>
      </c>
      <c r="Z540">
        <f t="shared" si="157"/>
        <v>0</v>
      </c>
      <c r="AA540">
        <f t="shared" si="158"/>
        <v>0</v>
      </c>
      <c r="AC540">
        <f t="shared" si="147"/>
        <v>212274.56364753059</v>
      </c>
      <c r="AD540">
        <f t="shared" si="148"/>
        <v>211671.07994753297</v>
      </c>
      <c r="AE540">
        <f t="shared" si="149"/>
        <v>210267.86811726415</v>
      </c>
      <c r="AF540">
        <f t="shared" si="150"/>
        <v>209904.7942222979</v>
      </c>
      <c r="AG540">
        <f t="shared" si="151"/>
        <v>208560.32303350803</v>
      </c>
      <c r="AH540">
        <f t="shared" si="152"/>
        <v>206987.06052286614</v>
      </c>
      <c r="AI540">
        <f t="shared" si="159"/>
        <v>212274.56364753059</v>
      </c>
    </row>
    <row r="541" spans="2:35" x14ac:dyDescent="0.3">
      <c r="B541">
        <v>498</v>
      </c>
      <c r="C541">
        <v>80585.968200000003</v>
      </c>
      <c r="D541">
        <v>80542.028099999996</v>
      </c>
      <c r="E541">
        <v>81427.1201</v>
      </c>
      <c r="F541">
        <v>81321.984800000006</v>
      </c>
      <c r="G541">
        <v>82512.111999999994</v>
      </c>
      <c r="H541">
        <v>83333.423299999995</v>
      </c>
      <c r="I541">
        <v>10.288818145622461</v>
      </c>
      <c r="J541">
        <v>10.267130260280963</v>
      </c>
      <c r="K541">
        <v>10.248513815018724</v>
      </c>
      <c r="L541">
        <v>10.250103200067596</v>
      </c>
      <c r="M541">
        <v>10.223923445439627</v>
      </c>
      <c r="N541">
        <v>10.204338182778887</v>
      </c>
      <c r="P541">
        <f t="shared" si="160"/>
        <v>228078.57616867381</v>
      </c>
      <c r="Q541">
        <f t="shared" si="161"/>
        <v>227471.87970842887</v>
      </c>
      <c r="R541">
        <f t="shared" si="162"/>
        <v>226028.29435056169</v>
      </c>
      <c r="S541">
        <f t="shared" si="163"/>
        <v>226181.11120202785</v>
      </c>
      <c r="T541">
        <f t="shared" si="164"/>
        <v>224205.59136318884</v>
      </c>
      <c r="U541">
        <f t="shared" si="165"/>
        <v>222796.72218336663</v>
      </c>
      <c r="V541">
        <f t="shared" si="153"/>
        <v>1</v>
      </c>
      <c r="W541">
        <f t="shared" si="154"/>
        <v>0</v>
      </c>
      <c r="X541">
        <f t="shared" si="155"/>
        <v>0</v>
      </c>
      <c r="Y541">
        <f t="shared" si="156"/>
        <v>0</v>
      </c>
      <c r="Z541">
        <f t="shared" si="157"/>
        <v>0</v>
      </c>
      <c r="AA541">
        <f t="shared" si="158"/>
        <v>0</v>
      </c>
      <c r="AC541">
        <f t="shared" si="147"/>
        <v>228078.57616867381</v>
      </c>
      <c r="AD541">
        <f t="shared" si="148"/>
        <v>227471.87970842887</v>
      </c>
      <c r="AE541">
        <f t="shared" si="149"/>
        <v>226028.29435056169</v>
      </c>
      <c r="AF541">
        <f t="shared" si="150"/>
        <v>226181.11120202785</v>
      </c>
      <c r="AG541">
        <f t="shared" si="151"/>
        <v>224205.59136318884</v>
      </c>
      <c r="AH541">
        <f t="shared" si="152"/>
        <v>222796.72218336663</v>
      </c>
      <c r="AI541">
        <f t="shared" si="159"/>
        <v>228078.57616867381</v>
      </c>
    </row>
    <row r="542" spans="2:35" x14ac:dyDescent="0.3">
      <c r="B542">
        <v>499</v>
      </c>
      <c r="C542">
        <v>84011.741899999994</v>
      </c>
      <c r="D542">
        <v>83453.590200000006</v>
      </c>
      <c r="E542">
        <v>83915.041100000002</v>
      </c>
      <c r="F542">
        <v>83973.907900000006</v>
      </c>
      <c r="G542">
        <v>84219.645300000004</v>
      </c>
      <c r="H542">
        <v>84981.551900000006</v>
      </c>
      <c r="I542">
        <v>11.665520569016131</v>
      </c>
      <c r="J542">
        <v>11.630614044233475</v>
      </c>
      <c r="K542">
        <v>11.612665360311638</v>
      </c>
      <c r="L542">
        <v>11.596698007165603</v>
      </c>
      <c r="M542">
        <v>11.580270405762512</v>
      </c>
      <c r="N542">
        <v>11.553195623255961</v>
      </c>
      <c r="P542">
        <f t="shared" si="160"/>
        <v>265953.87517048395</v>
      </c>
      <c r="Q542">
        <f t="shared" si="161"/>
        <v>265464.83112700423</v>
      </c>
      <c r="R542">
        <f t="shared" si="162"/>
        <v>264464.91970934917</v>
      </c>
      <c r="S542">
        <f t="shared" si="163"/>
        <v>263927.03231496812</v>
      </c>
      <c r="T542">
        <f t="shared" si="164"/>
        <v>263188.46687287535</v>
      </c>
      <c r="U542">
        <f t="shared" si="165"/>
        <v>261614.31679767882</v>
      </c>
      <c r="V542">
        <f t="shared" si="153"/>
        <v>1</v>
      </c>
      <c r="W542">
        <f t="shared" si="154"/>
        <v>0</v>
      </c>
      <c r="X542">
        <f t="shared" si="155"/>
        <v>0</v>
      </c>
      <c r="Y542">
        <f t="shared" si="156"/>
        <v>0</v>
      </c>
      <c r="Z542">
        <f t="shared" si="157"/>
        <v>0</v>
      </c>
      <c r="AA542">
        <f t="shared" si="158"/>
        <v>0</v>
      </c>
      <c r="AC542">
        <f t="shared" si="147"/>
        <v>265953.87517048395</v>
      </c>
      <c r="AD542">
        <f t="shared" si="148"/>
        <v>265464.83112700423</v>
      </c>
      <c r="AE542">
        <f t="shared" si="149"/>
        <v>264464.91970934917</v>
      </c>
      <c r="AF542">
        <f t="shared" si="150"/>
        <v>263927.03231496812</v>
      </c>
      <c r="AG542">
        <f t="shared" si="151"/>
        <v>263188.46687287535</v>
      </c>
      <c r="AH542">
        <f t="shared" si="152"/>
        <v>261614.31679767882</v>
      </c>
      <c r="AI542">
        <f t="shared" si="159"/>
        <v>265953.87517048395</v>
      </c>
    </row>
    <row r="543" spans="2:35" x14ac:dyDescent="0.3">
      <c r="B543">
        <v>500</v>
      </c>
      <c r="C543">
        <v>71588.289399999994</v>
      </c>
      <c r="D543">
        <v>70915.660699999993</v>
      </c>
      <c r="E543">
        <v>71380.781700000007</v>
      </c>
      <c r="F543">
        <v>71245.991699999999</v>
      </c>
      <c r="G543">
        <v>71852.114000000001</v>
      </c>
      <c r="H543">
        <v>72201.088600000003</v>
      </c>
      <c r="I543">
        <v>10.702488438152201</v>
      </c>
      <c r="J543">
        <v>10.639337173147007</v>
      </c>
      <c r="K543">
        <v>10.595969106239808</v>
      </c>
      <c r="L543">
        <v>10.572426499054121</v>
      </c>
      <c r="M543">
        <v>10.518860338000529</v>
      </c>
      <c r="N543">
        <v>10.469965240974508</v>
      </c>
      <c r="P543">
        <f t="shared" si="160"/>
        <v>249486.36374456604</v>
      </c>
      <c r="Q543">
        <f t="shared" si="161"/>
        <v>248264.45449441019</v>
      </c>
      <c r="R543">
        <f t="shared" si="162"/>
        <v>246498.29148719425</v>
      </c>
      <c r="S543">
        <f t="shared" si="163"/>
        <v>245926.80327162362</v>
      </c>
      <c r="T543">
        <f t="shared" si="164"/>
        <v>243713.69614001585</v>
      </c>
      <c r="U543">
        <f t="shared" si="165"/>
        <v>241897.86862923525</v>
      </c>
      <c r="V543">
        <f t="shared" si="153"/>
        <v>1</v>
      </c>
      <c r="W543">
        <f t="shared" si="154"/>
        <v>0</v>
      </c>
      <c r="X543">
        <f t="shared" si="155"/>
        <v>0</v>
      </c>
      <c r="Y543">
        <f t="shared" si="156"/>
        <v>0</v>
      </c>
      <c r="Z543">
        <f t="shared" si="157"/>
        <v>0</v>
      </c>
      <c r="AA543">
        <f>IF(MAX(P543:U543)=U543, 1, 0)</f>
        <v>0</v>
      </c>
      <c r="AC543">
        <f t="shared" si="147"/>
        <v>249486.36374456604</v>
      </c>
      <c r="AD543">
        <f t="shared" si="148"/>
        <v>248264.45449441019</v>
      </c>
      <c r="AE543">
        <f t="shared" si="149"/>
        <v>246498.29148719425</v>
      </c>
      <c r="AF543">
        <f t="shared" si="150"/>
        <v>245926.80327162362</v>
      </c>
      <c r="AG543">
        <f t="shared" si="151"/>
        <v>243713.69614001585</v>
      </c>
      <c r="AH543">
        <f t="shared" si="152"/>
        <v>241897.86862923525</v>
      </c>
      <c r="AI543">
        <f t="shared" si="159"/>
        <v>249486.36374456604</v>
      </c>
    </row>
    <row r="544" spans="2:35" x14ac:dyDescent="0.3">
      <c r="B544">
        <v>501</v>
      </c>
      <c r="C544">
        <v>73729.615999999995</v>
      </c>
      <c r="D544">
        <v>73211.478000000003</v>
      </c>
      <c r="E544">
        <v>73946.749599999996</v>
      </c>
      <c r="F544">
        <v>73954.849199999997</v>
      </c>
      <c r="G544">
        <v>74575.680999999997</v>
      </c>
      <c r="H544">
        <v>75108.635599999994</v>
      </c>
      <c r="I544">
        <v>11.91517077173563</v>
      </c>
      <c r="J544">
        <v>11.882028897629747</v>
      </c>
      <c r="K544">
        <v>11.852749916979992</v>
      </c>
      <c r="L544">
        <v>11.847267624486145</v>
      </c>
      <c r="M544">
        <v>11.820326439717888</v>
      </c>
      <c r="N544">
        <v>11.79532970203462</v>
      </c>
      <c r="P544">
        <f t="shared" si="160"/>
        <v>283725.50715206889</v>
      </c>
      <c r="Q544">
        <f t="shared" si="161"/>
        <v>283249.38892889238</v>
      </c>
      <c r="R544">
        <f t="shared" si="162"/>
        <v>281635.7479093998</v>
      </c>
      <c r="S544">
        <f t="shared" si="163"/>
        <v>281463.17953458434</v>
      </c>
      <c r="T544">
        <f t="shared" si="164"/>
        <v>280034.1121915367</v>
      </c>
      <c r="U544">
        <f t="shared" si="165"/>
        <v>278751.25546103861</v>
      </c>
      <c r="V544">
        <f t="shared" ref="V544:V545" si="166">IF(MAX(P544:U544)=P544, 1, 0)</f>
        <v>1</v>
      </c>
      <c r="W544">
        <f t="shared" ref="W544:W545" si="167">IF(MAX(P544:U544)=Q544, 1, 0)</f>
        <v>0</v>
      </c>
      <c r="X544">
        <f t="shared" ref="X544:X545" si="168">IF(MAX(P544:U544)=R544, 1, 0)</f>
        <v>0</v>
      </c>
      <c r="Y544">
        <f t="shared" ref="Y544:Y545" si="169">IF(MAX(P544:U544)=S544, 1, 0)</f>
        <v>0</v>
      </c>
      <c r="Z544">
        <f t="shared" ref="Z544:Z545" si="170">IF(MAX(P544:U544)=T544, 1, 0)</f>
        <v>0</v>
      </c>
      <c r="AC544">
        <f t="shared" ref="AC544:AC607" si="171">Threshold*I544-C544</f>
        <v>283725.50715206889</v>
      </c>
      <c r="AD544">
        <f t="shared" ref="AD544:AD607" si="172">Threshold*J544-D544</f>
        <v>283249.38892889238</v>
      </c>
      <c r="AE544">
        <f t="shared" ref="AE544:AE607" si="173">Threshold*K544-E544</f>
        <v>281635.7479093998</v>
      </c>
      <c r="AF544">
        <f t="shared" ref="AF544:AF607" si="174">Threshold*L544-F544</f>
        <v>281463.17953458434</v>
      </c>
      <c r="AG544">
        <f t="shared" ref="AG544:AG607" si="175">Threshold*M544-G544</f>
        <v>280034.1121915367</v>
      </c>
      <c r="AH544">
        <f t="shared" ref="AH544:AH607" si="176">Threshold*N544-H544</f>
        <v>278751.25546103861</v>
      </c>
      <c r="AI544">
        <f t="shared" si="159"/>
        <v>283725.50715206889</v>
      </c>
    </row>
    <row r="545" spans="2:35" x14ac:dyDescent="0.3">
      <c r="B545">
        <v>502</v>
      </c>
      <c r="C545">
        <v>79673.093299999993</v>
      </c>
      <c r="D545">
        <v>78861.157999999996</v>
      </c>
      <c r="E545">
        <v>79132.397200000007</v>
      </c>
      <c r="F545">
        <v>79103.758199999997</v>
      </c>
      <c r="G545">
        <v>79346.375899999999</v>
      </c>
      <c r="H545">
        <v>79716.012600000002</v>
      </c>
      <c r="I545">
        <v>10.790773517924947</v>
      </c>
      <c r="J545">
        <v>10.769294979855122</v>
      </c>
      <c r="K545">
        <v>10.755821934181204</v>
      </c>
      <c r="L545">
        <v>10.753163198100861</v>
      </c>
      <c r="M545">
        <v>10.738099723995406</v>
      </c>
      <c r="N545">
        <v>10.720497948250307</v>
      </c>
      <c r="P545">
        <f t="shared" si="160"/>
        <v>244050.1122377484</v>
      </c>
      <c r="Q545">
        <f t="shared" si="161"/>
        <v>244217.69139565364</v>
      </c>
      <c r="R545">
        <f t="shared" si="162"/>
        <v>243542.26082543615</v>
      </c>
      <c r="S545">
        <f t="shared" si="163"/>
        <v>243491.13774302584</v>
      </c>
      <c r="T545">
        <f t="shared" si="164"/>
        <v>242796.61581986217</v>
      </c>
      <c r="U545">
        <f t="shared" si="165"/>
        <v>241898.92584750918</v>
      </c>
      <c r="V545">
        <f t="shared" si="166"/>
        <v>0</v>
      </c>
      <c r="W545">
        <f t="shared" si="167"/>
        <v>1</v>
      </c>
      <c r="X545">
        <f t="shared" si="168"/>
        <v>0</v>
      </c>
      <c r="Y545">
        <f t="shared" si="169"/>
        <v>0</v>
      </c>
      <c r="Z545">
        <f t="shared" si="170"/>
        <v>0</v>
      </c>
      <c r="AA545">
        <f t="shared" ref="AA545" si="177">IF(MAX(P545:U545)=U545, 1, 0)</f>
        <v>0</v>
      </c>
      <c r="AC545">
        <f t="shared" si="171"/>
        <v>244050.1122377484</v>
      </c>
      <c r="AD545">
        <f t="shared" si="172"/>
        <v>244217.69139565364</v>
      </c>
      <c r="AE545">
        <f t="shared" si="173"/>
        <v>243542.26082543615</v>
      </c>
      <c r="AF545">
        <f t="shared" si="174"/>
        <v>243491.13774302584</v>
      </c>
      <c r="AG545">
        <f t="shared" si="175"/>
        <v>242796.61581986217</v>
      </c>
      <c r="AH545">
        <f t="shared" si="176"/>
        <v>241898.92584750918</v>
      </c>
      <c r="AI545">
        <f t="shared" si="159"/>
        <v>244217.69139565364</v>
      </c>
    </row>
    <row r="546" spans="2:35" x14ac:dyDescent="0.3">
      <c r="B546">
        <v>503</v>
      </c>
      <c r="C546">
        <v>97173.8217</v>
      </c>
      <c r="D546">
        <v>96384.622799999997</v>
      </c>
      <c r="E546">
        <v>96723.033299999996</v>
      </c>
      <c r="F546">
        <v>96710.270099999994</v>
      </c>
      <c r="G546">
        <v>97055.563599999994</v>
      </c>
      <c r="H546">
        <v>97264.125599999999</v>
      </c>
      <c r="I546">
        <v>10.911195257257628</v>
      </c>
      <c r="J546">
        <v>10.878179422503065</v>
      </c>
      <c r="K546">
        <v>10.853514436011366</v>
      </c>
      <c r="L546">
        <v>10.841051271950635</v>
      </c>
      <c r="M546">
        <v>10.819615897003388</v>
      </c>
      <c r="N546">
        <v>10.796749986918131</v>
      </c>
      <c r="P546">
        <f t="shared" si="160"/>
        <v>230162.03601772882</v>
      </c>
      <c r="Q546">
        <f t="shared" si="161"/>
        <v>229960.75987509196</v>
      </c>
      <c r="R546">
        <f t="shared" si="162"/>
        <v>228882.39978034096</v>
      </c>
      <c r="S546">
        <f t="shared" si="163"/>
        <v>228521.26805851902</v>
      </c>
      <c r="T546">
        <f t="shared" si="164"/>
        <v>227532.91331010166</v>
      </c>
      <c r="U546">
        <f t="shared" si="165"/>
        <v>226638.37400754393</v>
      </c>
      <c r="V546">
        <f t="shared" ref="V546:V609" si="178">IF(MAX(P546:U546)=P546, 1, 0)</f>
        <v>1</v>
      </c>
      <c r="W546">
        <f t="shared" ref="W546:W609" si="179">IF(MAX(P546:U546)=Q546, 1, 0)</f>
        <v>0</v>
      </c>
      <c r="X546">
        <f t="shared" ref="X546:X609" si="180">IF(MAX(P546:U546)=R546, 1, 0)</f>
        <v>0</v>
      </c>
      <c r="Y546">
        <f t="shared" ref="Y546:Y609" si="181">IF(MAX(P546:U546)=S546, 1, 0)</f>
        <v>0</v>
      </c>
      <c r="Z546">
        <f t="shared" ref="Z546:Z609" si="182">IF(MAX(P546:U546)=T546, 1, 0)</f>
        <v>0</v>
      </c>
      <c r="AC546">
        <f t="shared" si="171"/>
        <v>230162.03601772882</v>
      </c>
      <c r="AD546">
        <f t="shared" si="172"/>
        <v>229960.75987509196</v>
      </c>
      <c r="AE546">
        <f t="shared" si="173"/>
        <v>228882.39978034096</v>
      </c>
      <c r="AF546">
        <f t="shared" si="174"/>
        <v>228521.26805851902</v>
      </c>
      <c r="AG546">
        <f t="shared" si="175"/>
        <v>227532.91331010166</v>
      </c>
      <c r="AH546">
        <f t="shared" si="176"/>
        <v>226638.37400754393</v>
      </c>
      <c r="AI546">
        <f t="shared" si="159"/>
        <v>230162.03601772882</v>
      </c>
    </row>
    <row r="547" spans="2:35" x14ac:dyDescent="0.3">
      <c r="B547">
        <v>504</v>
      </c>
      <c r="C547">
        <v>74697.874400000001</v>
      </c>
      <c r="D547">
        <v>72625.594800000006</v>
      </c>
      <c r="E547">
        <v>72585.9902</v>
      </c>
      <c r="F547">
        <v>72029.981100000005</v>
      </c>
      <c r="G547">
        <v>71702.564199999993</v>
      </c>
      <c r="H547">
        <v>71168.549599999998</v>
      </c>
      <c r="I547">
        <v>10.151520396578018</v>
      </c>
      <c r="J547">
        <v>10.115551481425525</v>
      </c>
      <c r="K547">
        <v>10.100521399073145</v>
      </c>
      <c r="L547">
        <v>10.092195933506186</v>
      </c>
      <c r="M547">
        <v>10.06598321782605</v>
      </c>
      <c r="N547">
        <v>10.04332239544992</v>
      </c>
      <c r="P547">
        <f t="shared" si="160"/>
        <v>229847.73749734057</v>
      </c>
      <c r="Q547">
        <f t="shared" si="161"/>
        <v>230840.94964276574</v>
      </c>
      <c r="R547">
        <f t="shared" si="162"/>
        <v>230429.65177219437</v>
      </c>
      <c r="S547">
        <f t="shared" si="163"/>
        <v>230735.89690518557</v>
      </c>
      <c r="T547">
        <f t="shared" si="164"/>
        <v>230276.93233478148</v>
      </c>
      <c r="U547">
        <f t="shared" si="165"/>
        <v>230131.12226349759</v>
      </c>
      <c r="V547">
        <f t="shared" si="178"/>
        <v>0</v>
      </c>
      <c r="W547">
        <f t="shared" si="179"/>
        <v>1</v>
      </c>
      <c r="X547">
        <f t="shared" si="180"/>
        <v>0</v>
      </c>
      <c r="Y547">
        <f t="shared" si="181"/>
        <v>0</v>
      </c>
      <c r="Z547">
        <f t="shared" si="182"/>
        <v>0</v>
      </c>
      <c r="AA547">
        <f t="shared" ref="AA547" si="183">IF(MAX(P547:U547)=U547, 1, 0)</f>
        <v>0</v>
      </c>
      <c r="AC547">
        <f t="shared" si="171"/>
        <v>229847.73749734057</v>
      </c>
      <c r="AD547">
        <f t="shared" si="172"/>
        <v>230840.94964276574</v>
      </c>
      <c r="AE547">
        <f t="shared" si="173"/>
        <v>230429.65177219437</v>
      </c>
      <c r="AF547">
        <f t="shared" si="174"/>
        <v>230735.89690518557</v>
      </c>
      <c r="AG547">
        <f t="shared" si="175"/>
        <v>230276.93233478148</v>
      </c>
      <c r="AH547">
        <f t="shared" si="176"/>
        <v>230131.12226349759</v>
      </c>
      <c r="AI547">
        <f t="shared" si="159"/>
        <v>230840.94964276574</v>
      </c>
    </row>
    <row r="548" spans="2:35" x14ac:dyDescent="0.3">
      <c r="B548">
        <v>505</v>
      </c>
      <c r="C548">
        <v>75793.342000000004</v>
      </c>
      <c r="D548">
        <v>75306.783899999995</v>
      </c>
      <c r="E548">
        <v>75838.782300000006</v>
      </c>
      <c r="F548">
        <v>75670.845300000001</v>
      </c>
      <c r="G548">
        <v>76347.560500000007</v>
      </c>
      <c r="H548">
        <v>76980.492599999998</v>
      </c>
      <c r="I548">
        <v>10.686657622424892</v>
      </c>
      <c r="J548">
        <v>10.641247004005681</v>
      </c>
      <c r="K548">
        <v>10.609938345327965</v>
      </c>
      <c r="L548">
        <v>10.606684792014715</v>
      </c>
      <c r="M548">
        <v>10.57078261702546</v>
      </c>
      <c r="N548">
        <v>10.529187072452672</v>
      </c>
      <c r="P548">
        <f t="shared" si="160"/>
        <v>244806.38667274674</v>
      </c>
      <c r="Q548">
        <f t="shared" si="161"/>
        <v>243930.62622017047</v>
      </c>
      <c r="R548">
        <f t="shared" si="162"/>
        <v>242459.36805983895</v>
      </c>
      <c r="S548">
        <f t="shared" si="163"/>
        <v>242529.69846044143</v>
      </c>
      <c r="T548">
        <f t="shared" si="164"/>
        <v>240775.91801076377</v>
      </c>
      <c r="U548">
        <f t="shared" si="165"/>
        <v>238895.11957358016</v>
      </c>
      <c r="V548">
        <f t="shared" si="178"/>
        <v>1</v>
      </c>
      <c r="W548">
        <f t="shared" si="179"/>
        <v>0</v>
      </c>
      <c r="X548">
        <f t="shared" si="180"/>
        <v>0</v>
      </c>
      <c r="Y548">
        <f t="shared" si="181"/>
        <v>0</v>
      </c>
      <c r="Z548">
        <f t="shared" si="182"/>
        <v>0</v>
      </c>
      <c r="AC548">
        <f t="shared" si="171"/>
        <v>244806.38667274674</v>
      </c>
      <c r="AD548">
        <f t="shared" si="172"/>
        <v>243930.62622017047</v>
      </c>
      <c r="AE548">
        <f t="shared" si="173"/>
        <v>242459.36805983895</v>
      </c>
      <c r="AF548">
        <f t="shared" si="174"/>
        <v>242529.69846044143</v>
      </c>
      <c r="AG548">
        <f t="shared" si="175"/>
        <v>240775.91801076377</v>
      </c>
      <c r="AH548">
        <f t="shared" si="176"/>
        <v>238895.11957358016</v>
      </c>
      <c r="AI548">
        <f t="shared" si="159"/>
        <v>244806.38667274674</v>
      </c>
    </row>
    <row r="549" spans="2:35" x14ac:dyDescent="0.3">
      <c r="B549">
        <v>506</v>
      </c>
      <c r="C549">
        <v>79184.456900000005</v>
      </c>
      <c r="D549">
        <v>77883.740999999995</v>
      </c>
      <c r="E549">
        <v>77784.367700000003</v>
      </c>
      <c r="F549">
        <v>77486.094200000007</v>
      </c>
      <c r="G549">
        <v>77433.184599999993</v>
      </c>
      <c r="H549">
        <v>77331.590200000006</v>
      </c>
      <c r="I549">
        <v>9.8333431068357537</v>
      </c>
      <c r="J549">
        <v>9.8113240167287348</v>
      </c>
      <c r="K549">
        <v>9.8011871791172318</v>
      </c>
      <c r="L549">
        <v>9.7914083999659436</v>
      </c>
      <c r="M549">
        <v>9.7758842346408841</v>
      </c>
      <c r="N549">
        <v>9.7595502026781951</v>
      </c>
      <c r="P549">
        <f t="shared" si="160"/>
        <v>215815.83630507265</v>
      </c>
      <c r="Q549">
        <f t="shared" si="161"/>
        <v>216455.97950186208</v>
      </c>
      <c r="R549">
        <f t="shared" si="162"/>
        <v>216251.24767351698</v>
      </c>
      <c r="S549">
        <f t="shared" si="163"/>
        <v>216256.15779897833</v>
      </c>
      <c r="T549">
        <f t="shared" si="164"/>
        <v>215843.34243922652</v>
      </c>
      <c r="U549">
        <f t="shared" si="165"/>
        <v>215454.91588034583</v>
      </c>
      <c r="V549">
        <f t="shared" si="178"/>
        <v>0</v>
      </c>
      <c r="W549">
        <f t="shared" si="179"/>
        <v>1</v>
      </c>
      <c r="X549">
        <f t="shared" si="180"/>
        <v>0</v>
      </c>
      <c r="Y549">
        <f t="shared" si="181"/>
        <v>0</v>
      </c>
      <c r="Z549">
        <f t="shared" si="182"/>
        <v>0</v>
      </c>
      <c r="AA549">
        <f t="shared" ref="AA549" si="184">IF(MAX(P549:U549)=U549, 1, 0)</f>
        <v>0</v>
      </c>
      <c r="AC549">
        <f t="shared" si="171"/>
        <v>215815.83630507265</v>
      </c>
      <c r="AD549">
        <f t="shared" si="172"/>
        <v>216455.97950186208</v>
      </c>
      <c r="AE549">
        <f t="shared" si="173"/>
        <v>216251.24767351698</v>
      </c>
      <c r="AF549">
        <f t="shared" si="174"/>
        <v>216256.15779897833</v>
      </c>
      <c r="AG549">
        <f t="shared" si="175"/>
        <v>215843.34243922652</v>
      </c>
      <c r="AH549">
        <f t="shared" si="176"/>
        <v>215454.91588034583</v>
      </c>
      <c r="AI549">
        <f t="shared" si="159"/>
        <v>216455.97950186208</v>
      </c>
    </row>
    <row r="550" spans="2:35" x14ac:dyDescent="0.3">
      <c r="B550">
        <v>507</v>
      </c>
      <c r="C550">
        <v>72742.472500000003</v>
      </c>
      <c r="D550">
        <v>72245.371599999999</v>
      </c>
      <c r="E550">
        <v>72878.697</v>
      </c>
      <c r="F550">
        <v>72900.448999999993</v>
      </c>
      <c r="G550">
        <v>73498.172099999996</v>
      </c>
      <c r="H550">
        <v>74051.243100000007</v>
      </c>
      <c r="I550">
        <v>9.5502465565159032</v>
      </c>
      <c r="J550">
        <v>9.528130758359687</v>
      </c>
      <c r="K550">
        <v>9.511761472560865</v>
      </c>
      <c r="L550">
        <v>9.501123693731147</v>
      </c>
      <c r="M550">
        <v>9.4866363934064264</v>
      </c>
      <c r="N550">
        <v>9.4690875186885055</v>
      </c>
      <c r="P550">
        <f t="shared" si="160"/>
        <v>213764.92419547707</v>
      </c>
      <c r="Q550">
        <f t="shared" si="161"/>
        <v>213598.55115079059</v>
      </c>
      <c r="R550">
        <f t="shared" si="162"/>
        <v>212474.14717682597</v>
      </c>
      <c r="S550">
        <f t="shared" si="163"/>
        <v>212133.26181193444</v>
      </c>
      <c r="T550">
        <f t="shared" si="164"/>
        <v>211100.9197021928</v>
      </c>
      <c r="U550">
        <f t="shared" si="165"/>
        <v>210021.38246065512</v>
      </c>
      <c r="V550">
        <f t="shared" si="178"/>
        <v>1</v>
      </c>
      <c r="W550">
        <f t="shared" si="179"/>
        <v>0</v>
      </c>
      <c r="X550">
        <f t="shared" si="180"/>
        <v>0</v>
      </c>
      <c r="Y550">
        <f t="shared" si="181"/>
        <v>0</v>
      </c>
      <c r="Z550">
        <f t="shared" si="182"/>
        <v>0</v>
      </c>
      <c r="AC550">
        <f t="shared" si="171"/>
        <v>213764.92419547707</v>
      </c>
      <c r="AD550">
        <f t="shared" si="172"/>
        <v>213598.55115079059</v>
      </c>
      <c r="AE550">
        <f t="shared" si="173"/>
        <v>212474.14717682597</v>
      </c>
      <c r="AF550">
        <f t="shared" si="174"/>
        <v>212133.26181193444</v>
      </c>
      <c r="AG550">
        <f t="shared" si="175"/>
        <v>211100.9197021928</v>
      </c>
      <c r="AH550">
        <f t="shared" si="176"/>
        <v>210021.38246065512</v>
      </c>
      <c r="AI550">
        <f t="shared" si="159"/>
        <v>213764.92419547707</v>
      </c>
    </row>
    <row r="551" spans="2:35" x14ac:dyDescent="0.3">
      <c r="B551">
        <v>508</v>
      </c>
      <c r="C551">
        <v>77660.668399999995</v>
      </c>
      <c r="D551">
        <v>78187.537599999996</v>
      </c>
      <c r="E551">
        <v>78898.721699999995</v>
      </c>
      <c r="F551">
        <v>79396.101500000004</v>
      </c>
      <c r="G551">
        <v>80483.623399999997</v>
      </c>
      <c r="H551">
        <v>81726.4035</v>
      </c>
      <c r="I551">
        <v>9.987396870433134</v>
      </c>
      <c r="J551">
        <v>9.9513850573120255</v>
      </c>
      <c r="K551">
        <v>9.9475532687427854</v>
      </c>
      <c r="L551">
        <v>9.9326585729211487</v>
      </c>
      <c r="M551">
        <v>9.9162829607743213</v>
      </c>
      <c r="N551">
        <v>9.8887257797381185</v>
      </c>
      <c r="P551">
        <f t="shared" si="160"/>
        <v>221961.23771299401</v>
      </c>
      <c r="Q551">
        <f t="shared" si="161"/>
        <v>220354.01411936077</v>
      </c>
      <c r="R551">
        <f t="shared" si="162"/>
        <v>219527.8763622836</v>
      </c>
      <c r="S551">
        <f t="shared" si="163"/>
        <v>218583.65568763448</v>
      </c>
      <c r="T551">
        <f t="shared" si="164"/>
        <v>217004.86542322964</v>
      </c>
      <c r="U551">
        <f t="shared" si="165"/>
        <v>214935.36989214353</v>
      </c>
      <c r="V551">
        <f t="shared" si="178"/>
        <v>1</v>
      </c>
      <c r="W551">
        <f t="shared" si="179"/>
        <v>0</v>
      </c>
      <c r="X551">
        <f t="shared" si="180"/>
        <v>0</v>
      </c>
      <c r="Y551">
        <f t="shared" si="181"/>
        <v>0</v>
      </c>
      <c r="Z551">
        <f t="shared" si="182"/>
        <v>0</v>
      </c>
      <c r="AA551">
        <f t="shared" ref="AA551" si="185">IF(MAX(P551:U551)=U551, 1, 0)</f>
        <v>0</v>
      </c>
      <c r="AC551">
        <f t="shared" si="171"/>
        <v>221961.23771299401</v>
      </c>
      <c r="AD551">
        <f t="shared" si="172"/>
        <v>220354.01411936077</v>
      </c>
      <c r="AE551">
        <f t="shared" si="173"/>
        <v>219527.8763622836</v>
      </c>
      <c r="AF551">
        <f t="shared" si="174"/>
        <v>218583.65568763448</v>
      </c>
      <c r="AG551">
        <f t="shared" si="175"/>
        <v>217004.86542322964</v>
      </c>
      <c r="AH551">
        <f t="shared" si="176"/>
        <v>214935.36989214353</v>
      </c>
      <c r="AI551">
        <f t="shared" si="159"/>
        <v>221961.23771299401</v>
      </c>
    </row>
    <row r="552" spans="2:35" x14ac:dyDescent="0.3">
      <c r="B552">
        <v>509</v>
      </c>
      <c r="C552">
        <v>87817.035699999993</v>
      </c>
      <c r="D552">
        <v>86536.874800000005</v>
      </c>
      <c r="E552">
        <v>86416.538499999995</v>
      </c>
      <c r="F552">
        <v>86341.785999999993</v>
      </c>
      <c r="G552">
        <v>86324.936199999996</v>
      </c>
      <c r="H552">
        <v>86239.493499999997</v>
      </c>
      <c r="I552">
        <v>10.332595943220607</v>
      </c>
      <c r="J552">
        <v>10.318621971412277</v>
      </c>
      <c r="K552">
        <v>10.305473716472616</v>
      </c>
      <c r="L552">
        <v>10.299456275644948</v>
      </c>
      <c r="M552">
        <v>10.287727969547321</v>
      </c>
      <c r="N552">
        <v>10.272312165953826</v>
      </c>
      <c r="P552">
        <f t="shared" si="160"/>
        <v>222160.84259661823</v>
      </c>
      <c r="Q552">
        <f t="shared" si="161"/>
        <v>223021.78434236831</v>
      </c>
      <c r="R552">
        <f t="shared" si="162"/>
        <v>222747.67299417846</v>
      </c>
      <c r="S552">
        <f t="shared" si="163"/>
        <v>222641.90226934847</v>
      </c>
      <c r="T552">
        <f t="shared" si="164"/>
        <v>222306.90288641962</v>
      </c>
      <c r="U552">
        <f t="shared" si="165"/>
        <v>221929.8714786148</v>
      </c>
      <c r="V552">
        <f t="shared" si="178"/>
        <v>0</v>
      </c>
      <c r="W552">
        <f t="shared" si="179"/>
        <v>1</v>
      </c>
      <c r="X552">
        <f t="shared" si="180"/>
        <v>0</v>
      </c>
      <c r="Y552">
        <f t="shared" si="181"/>
        <v>0</v>
      </c>
      <c r="Z552">
        <f t="shared" si="182"/>
        <v>0</v>
      </c>
      <c r="AC552">
        <f t="shared" si="171"/>
        <v>222160.84259661823</v>
      </c>
      <c r="AD552">
        <f t="shared" si="172"/>
        <v>223021.78434236831</v>
      </c>
      <c r="AE552">
        <f t="shared" si="173"/>
        <v>222747.67299417846</v>
      </c>
      <c r="AF552">
        <f t="shared" si="174"/>
        <v>222641.90226934847</v>
      </c>
      <c r="AG552">
        <f t="shared" si="175"/>
        <v>222306.90288641962</v>
      </c>
      <c r="AH552">
        <f t="shared" si="176"/>
        <v>221929.8714786148</v>
      </c>
      <c r="AI552">
        <f t="shared" si="159"/>
        <v>223021.78434236831</v>
      </c>
    </row>
    <row r="553" spans="2:35" x14ac:dyDescent="0.3">
      <c r="B553">
        <v>510</v>
      </c>
      <c r="C553">
        <v>67824.516099999993</v>
      </c>
      <c r="D553">
        <v>66958.825200000007</v>
      </c>
      <c r="E553">
        <v>67318.611600000004</v>
      </c>
      <c r="F553">
        <v>67220.369600000005</v>
      </c>
      <c r="G553">
        <v>67497.197199999995</v>
      </c>
      <c r="H553">
        <v>67674.717399999994</v>
      </c>
      <c r="I553">
        <v>10.511616177930332</v>
      </c>
      <c r="J553">
        <v>10.463629688795958</v>
      </c>
      <c r="K553">
        <v>10.438753992226417</v>
      </c>
      <c r="L553">
        <v>10.417046161521203</v>
      </c>
      <c r="M553">
        <v>10.382685116157162</v>
      </c>
      <c r="N553">
        <v>10.350576225067417</v>
      </c>
      <c r="P553">
        <f t="shared" si="160"/>
        <v>247523.96923790994</v>
      </c>
      <c r="Q553">
        <f t="shared" si="161"/>
        <v>246950.06546387874</v>
      </c>
      <c r="R553">
        <f t="shared" si="162"/>
        <v>245844.00816679251</v>
      </c>
      <c r="S553">
        <f t="shared" si="163"/>
        <v>245291.01524563608</v>
      </c>
      <c r="T553">
        <f t="shared" si="164"/>
        <v>243983.35628471489</v>
      </c>
      <c r="U553">
        <f t="shared" si="165"/>
        <v>242842.56935202252</v>
      </c>
      <c r="V553">
        <f t="shared" si="178"/>
        <v>1</v>
      </c>
      <c r="W553">
        <f t="shared" si="179"/>
        <v>0</v>
      </c>
      <c r="X553">
        <f t="shared" si="180"/>
        <v>0</v>
      </c>
      <c r="Y553">
        <f t="shared" si="181"/>
        <v>0</v>
      </c>
      <c r="Z553">
        <f t="shared" si="182"/>
        <v>0</v>
      </c>
      <c r="AA553">
        <f t="shared" ref="AA553" si="186">IF(MAX(P553:U553)=U553, 1, 0)</f>
        <v>0</v>
      </c>
      <c r="AC553">
        <f t="shared" si="171"/>
        <v>247523.96923790994</v>
      </c>
      <c r="AD553">
        <f t="shared" si="172"/>
        <v>246950.06546387874</v>
      </c>
      <c r="AE553">
        <f t="shared" si="173"/>
        <v>245844.00816679251</v>
      </c>
      <c r="AF553">
        <f t="shared" si="174"/>
        <v>245291.01524563608</v>
      </c>
      <c r="AG553">
        <f t="shared" si="175"/>
        <v>243983.35628471489</v>
      </c>
      <c r="AH553">
        <f t="shared" si="176"/>
        <v>242842.56935202252</v>
      </c>
      <c r="AI553">
        <f t="shared" si="159"/>
        <v>247523.96923790994</v>
      </c>
    </row>
    <row r="554" spans="2:35" x14ac:dyDescent="0.3">
      <c r="B554">
        <v>511</v>
      </c>
      <c r="C554">
        <v>79374.6973</v>
      </c>
      <c r="D554">
        <v>78300.1397</v>
      </c>
      <c r="E554">
        <v>78592.930399999997</v>
      </c>
      <c r="F554">
        <v>78411.236799999999</v>
      </c>
      <c r="G554">
        <v>78662.001000000004</v>
      </c>
      <c r="H554">
        <v>78805.202900000004</v>
      </c>
      <c r="I554">
        <v>9.5600830720634811</v>
      </c>
      <c r="J554">
        <v>9.5391556699443534</v>
      </c>
      <c r="K554">
        <v>9.5212391335467164</v>
      </c>
      <c r="L554">
        <v>9.5194604274228318</v>
      </c>
      <c r="M554">
        <v>9.5019497149485428</v>
      </c>
      <c r="N554">
        <v>9.4842734789280296</v>
      </c>
      <c r="P554">
        <f t="shared" si="160"/>
        <v>207427.7948619044</v>
      </c>
      <c r="Q554">
        <f t="shared" si="161"/>
        <v>207874.53039833059</v>
      </c>
      <c r="R554">
        <f t="shared" si="162"/>
        <v>207044.24360640149</v>
      </c>
      <c r="S554">
        <f t="shared" si="163"/>
        <v>207172.57602268492</v>
      </c>
      <c r="T554">
        <f t="shared" si="164"/>
        <v>206396.49044845632</v>
      </c>
      <c r="U554">
        <f t="shared" si="165"/>
        <v>205723.00146784089</v>
      </c>
      <c r="V554">
        <f t="shared" si="178"/>
        <v>0</v>
      </c>
      <c r="W554">
        <f t="shared" si="179"/>
        <v>1</v>
      </c>
      <c r="X554">
        <f t="shared" si="180"/>
        <v>0</v>
      </c>
      <c r="Y554">
        <f t="shared" si="181"/>
        <v>0</v>
      </c>
      <c r="Z554">
        <f t="shared" si="182"/>
        <v>0</v>
      </c>
      <c r="AC554">
        <f t="shared" si="171"/>
        <v>207427.7948619044</v>
      </c>
      <c r="AD554">
        <f t="shared" si="172"/>
        <v>207874.53039833059</v>
      </c>
      <c r="AE554">
        <f t="shared" si="173"/>
        <v>207044.24360640149</v>
      </c>
      <c r="AF554">
        <f t="shared" si="174"/>
        <v>207172.57602268492</v>
      </c>
      <c r="AG554">
        <f t="shared" si="175"/>
        <v>206396.49044845632</v>
      </c>
      <c r="AH554">
        <f t="shared" si="176"/>
        <v>205723.00146784089</v>
      </c>
      <c r="AI554">
        <f t="shared" si="159"/>
        <v>207874.53039833059</v>
      </c>
    </row>
    <row r="555" spans="2:35" x14ac:dyDescent="0.3">
      <c r="B555">
        <v>512</v>
      </c>
      <c r="C555">
        <v>69314.267500000002</v>
      </c>
      <c r="D555">
        <v>68823.643599999996</v>
      </c>
      <c r="E555">
        <v>69641.831999999995</v>
      </c>
      <c r="F555">
        <v>69696.765100000004</v>
      </c>
      <c r="G555">
        <v>70226.684699999998</v>
      </c>
      <c r="H555">
        <v>71078.647599999997</v>
      </c>
      <c r="I555">
        <v>11.03490905108063</v>
      </c>
      <c r="J555">
        <v>11.003123964164368</v>
      </c>
      <c r="K555">
        <v>10.970226558922944</v>
      </c>
      <c r="L555">
        <v>10.959873570099486</v>
      </c>
      <c r="M555">
        <v>10.938635125415368</v>
      </c>
      <c r="N555">
        <v>10.903164384482382</v>
      </c>
      <c r="P555">
        <f t="shared" si="160"/>
        <v>261733.00403241889</v>
      </c>
      <c r="Q555">
        <f t="shared" si="161"/>
        <v>261270.07532493107</v>
      </c>
      <c r="R555">
        <f t="shared" si="162"/>
        <v>259464.9647676883</v>
      </c>
      <c r="S555">
        <f t="shared" si="163"/>
        <v>259099.44200298458</v>
      </c>
      <c r="T555">
        <f t="shared" si="164"/>
        <v>257932.36906246108</v>
      </c>
      <c r="U555">
        <f t="shared" si="165"/>
        <v>256016.28393447146</v>
      </c>
      <c r="V555">
        <f t="shared" si="178"/>
        <v>1</v>
      </c>
      <c r="W555">
        <f t="shared" si="179"/>
        <v>0</v>
      </c>
      <c r="X555">
        <f t="shared" si="180"/>
        <v>0</v>
      </c>
      <c r="Y555">
        <f t="shared" si="181"/>
        <v>0</v>
      </c>
      <c r="Z555">
        <f t="shared" si="182"/>
        <v>0</v>
      </c>
      <c r="AA555">
        <f t="shared" ref="AA555" si="187">IF(MAX(P555:U555)=U555, 1, 0)</f>
        <v>0</v>
      </c>
      <c r="AC555">
        <f t="shared" si="171"/>
        <v>261733.00403241889</v>
      </c>
      <c r="AD555">
        <f t="shared" si="172"/>
        <v>261270.07532493107</v>
      </c>
      <c r="AE555">
        <f t="shared" si="173"/>
        <v>259464.9647676883</v>
      </c>
      <c r="AF555">
        <f t="shared" si="174"/>
        <v>259099.44200298458</v>
      </c>
      <c r="AG555">
        <f t="shared" si="175"/>
        <v>257932.36906246108</v>
      </c>
      <c r="AH555">
        <f t="shared" si="176"/>
        <v>256016.28393447146</v>
      </c>
      <c r="AI555">
        <f t="shared" si="159"/>
        <v>261733.00403241889</v>
      </c>
    </row>
    <row r="556" spans="2:35" x14ac:dyDescent="0.3">
      <c r="B556">
        <v>513</v>
      </c>
      <c r="C556">
        <v>75115.3122</v>
      </c>
      <c r="D556">
        <v>74349.900999999998</v>
      </c>
      <c r="E556">
        <v>74650.739499999996</v>
      </c>
      <c r="F556">
        <v>74433.687699999995</v>
      </c>
      <c r="G556">
        <v>74736.138500000001</v>
      </c>
      <c r="H556">
        <v>75230.260299999994</v>
      </c>
      <c r="I556">
        <v>11.411362659321131</v>
      </c>
      <c r="J556">
        <v>11.365565293033072</v>
      </c>
      <c r="K556">
        <v>11.341566293489967</v>
      </c>
      <c r="L556">
        <v>11.335614969838735</v>
      </c>
      <c r="M556">
        <v>11.289427310908941</v>
      </c>
      <c r="N556">
        <v>11.26099909152884</v>
      </c>
      <c r="P556">
        <f t="shared" si="160"/>
        <v>267225.56757963396</v>
      </c>
      <c r="Q556">
        <f t="shared" si="161"/>
        <v>266617.05779099214</v>
      </c>
      <c r="R556">
        <f t="shared" si="162"/>
        <v>265596.24930469901</v>
      </c>
      <c r="S556">
        <f t="shared" si="163"/>
        <v>265634.76139516203</v>
      </c>
      <c r="T556">
        <f t="shared" si="164"/>
        <v>263946.68082726822</v>
      </c>
      <c r="U556">
        <f t="shared" si="165"/>
        <v>262599.71244586515</v>
      </c>
      <c r="V556">
        <f t="shared" si="178"/>
        <v>1</v>
      </c>
      <c r="W556">
        <f t="shared" si="179"/>
        <v>0</v>
      </c>
      <c r="X556">
        <f t="shared" si="180"/>
        <v>0</v>
      </c>
      <c r="Y556">
        <f t="shared" si="181"/>
        <v>0</v>
      </c>
      <c r="Z556">
        <f t="shared" si="182"/>
        <v>0</v>
      </c>
      <c r="AC556">
        <f t="shared" si="171"/>
        <v>267225.56757963396</v>
      </c>
      <c r="AD556">
        <f t="shared" si="172"/>
        <v>266617.05779099214</v>
      </c>
      <c r="AE556">
        <f t="shared" si="173"/>
        <v>265596.24930469901</v>
      </c>
      <c r="AF556">
        <f t="shared" si="174"/>
        <v>265634.76139516203</v>
      </c>
      <c r="AG556">
        <f t="shared" si="175"/>
        <v>263946.68082726822</v>
      </c>
      <c r="AH556">
        <f t="shared" si="176"/>
        <v>262599.71244586515</v>
      </c>
      <c r="AI556">
        <f t="shared" si="159"/>
        <v>267225.56757963396</v>
      </c>
    </row>
    <row r="557" spans="2:35" x14ac:dyDescent="0.3">
      <c r="B557">
        <v>514</v>
      </c>
      <c r="C557">
        <v>73126.755099999995</v>
      </c>
      <c r="D557">
        <v>72505.691399999996</v>
      </c>
      <c r="E557">
        <v>73113.66</v>
      </c>
      <c r="F557">
        <v>73110.356</v>
      </c>
      <c r="G557">
        <v>73409.106</v>
      </c>
      <c r="H557">
        <v>74161.542400000006</v>
      </c>
      <c r="I557">
        <v>10.142717576256489</v>
      </c>
      <c r="J557">
        <v>10.125613326500574</v>
      </c>
      <c r="K557">
        <v>10.106641005201853</v>
      </c>
      <c r="L557">
        <v>10.099291754484621</v>
      </c>
      <c r="M557">
        <v>10.087318356982442</v>
      </c>
      <c r="N557">
        <v>10.071686956347344</v>
      </c>
      <c r="P557">
        <f t="shared" si="160"/>
        <v>231154.77218769467</v>
      </c>
      <c r="Q557">
        <f t="shared" si="161"/>
        <v>231262.70839501719</v>
      </c>
      <c r="R557">
        <f t="shared" si="162"/>
        <v>230085.57015605559</v>
      </c>
      <c r="S557">
        <f t="shared" si="163"/>
        <v>229868.39663453863</v>
      </c>
      <c r="T557">
        <f t="shared" si="164"/>
        <v>229210.44470947326</v>
      </c>
      <c r="U557">
        <f t="shared" si="165"/>
        <v>227989.06629042033</v>
      </c>
      <c r="V557">
        <f t="shared" si="178"/>
        <v>0</v>
      </c>
      <c r="W557">
        <f t="shared" si="179"/>
        <v>1</v>
      </c>
      <c r="X557">
        <f t="shared" si="180"/>
        <v>0</v>
      </c>
      <c r="Y557">
        <f t="shared" si="181"/>
        <v>0</v>
      </c>
      <c r="Z557">
        <f t="shared" si="182"/>
        <v>0</v>
      </c>
      <c r="AA557">
        <f t="shared" ref="AA557" si="188">IF(MAX(P557:U557)=U557, 1, 0)</f>
        <v>0</v>
      </c>
      <c r="AC557">
        <f t="shared" si="171"/>
        <v>231154.77218769467</v>
      </c>
      <c r="AD557">
        <f t="shared" si="172"/>
        <v>231262.70839501719</v>
      </c>
      <c r="AE557">
        <f t="shared" si="173"/>
        <v>230085.57015605559</v>
      </c>
      <c r="AF557">
        <f t="shared" si="174"/>
        <v>229868.39663453863</v>
      </c>
      <c r="AG557">
        <f t="shared" si="175"/>
        <v>229210.44470947326</v>
      </c>
      <c r="AH557">
        <f t="shared" si="176"/>
        <v>227989.06629042033</v>
      </c>
      <c r="AI557">
        <f t="shared" ref="AI557:AI620" si="189">MAX(AC557:AH557)</f>
        <v>231262.70839501719</v>
      </c>
    </row>
    <row r="558" spans="2:35" x14ac:dyDescent="0.3">
      <c r="B558">
        <v>515</v>
      </c>
      <c r="C558">
        <v>74991.1394</v>
      </c>
      <c r="D558">
        <v>73864.1639</v>
      </c>
      <c r="E558">
        <v>73988.777100000007</v>
      </c>
      <c r="F558">
        <v>73875.179799999998</v>
      </c>
      <c r="G558">
        <v>73890.242899999997</v>
      </c>
      <c r="H558">
        <v>74090.120599999995</v>
      </c>
      <c r="I558">
        <v>10.377478063294848</v>
      </c>
      <c r="J558">
        <v>10.357817527944036</v>
      </c>
      <c r="K558">
        <v>10.344522644398682</v>
      </c>
      <c r="L558">
        <v>10.33157907846741</v>
      </c>
      <c r="M558">
        <v>10.327717703630881</v>
      </c>
      <c r="N558">
        <v>10.310699565452667</v>
      </c>
      <c r="P558">
        <f t="shared" si="160"/>
        <v>236333.20249884547</v>
      </c>
      <c r="Q558">
        <f t="shared" si="161"/>
        <v>236870.36193832109</v>
      </c>
      <c r="R558">
        <f t="shared" si="162"/>
        <v>236346.90223196044</v>
      </c>
      <c r="S558">
        <f t="shared" si="163"/>
        <v>236072.1925540223</v>
      </c>
      <c r="T558">
        <f t="shared" si="164"/>
        <v>235941.28820892645</v>
      </c>
      <c r="U558">
        <f t="shared" si="165"/>
        <v>235230.86636358002</v>
      </c>
      <c r="V558">
        <f t="shared" si="178"/>
        <v>0</v>
      </c>
      <c r="W558">
        <f t="shared" si="179"/>
        <v>1</v>
      </c>
      <c r="X558">
        <f t="shared" si="180"/>
        <v>0</v>
      </c>
      <c r="Y558">
        <f t="shared" si="181"/>
        <v>0</v>
      </c>
      <c r="Z558">
        <f t="shared" si="182"/>
        <v>0</v>
      </c>
      <c r="AC558">
        <f t="shared" si="171"/>
        <v>236333.20249884547</v>
      </c>
      <c r="AD558">
        <f t="shared" si="172"/>
        <v>236870.36193832109</v>
      </c>
      <c r="AE558">
        <f t="shared" si="173"/>
        <v>236346.90223196044</v>
      </c>
      <c r="AF558">
        <f t="shared" si="174"/>
        <v>236072.1925540223</v>
      </c>
      <c r="AG558">
        <f t="shared" si="175"/>
        <v>235941.28820892645</v>
      </c>
      <c r="AH558">
        <f t="shared" si="176"/>
        <v>235230.86636358002</v>
      </c>
      <c r="AI558">
        <f t="shared" si="189"/>
        <v>236870.36193832109</v>
      </c>
    </row>
    <row r="559" spans="2:35" x14ac:dyDescent="0.3">
      <c r="B559">
        <v>516</v>
      </c>
      <c r="C559">
        <v>83126.016000000003</v>
      </c>
      <c r="D559">
        <v>82231.302899999995</v>
      </c>
      <c r="E559">
        <v>82687.861399999994</v>
      </c>
      <c r="F559">
        <v>82430.950100000002</v>
      </c>
      <c r="G559">
        <v>82826.928400000004</v>
      </c>
      <c r="H559">
        <v>83094.809800000003</v>
      </c>
      <c r="I559">
        <v>9.4584872277325491</v>
      </c>
      <c r="J559">
        <v>9.4213724278779782</v>
      </c>
      <c r="K559">
        <v>9.3866569989532351</v>
      </c>
      <c r="L559">
        <v>9.3798743017051542</v>
      </c>
      <c r="M559">
        <v>9.3438941258947086</v>
      </c>
      <c r="N559">
        <v>9.3175743419283616</v>
      </c>
      <c r="P559">
        <f t="shared" si="160"/>
        <v>200628.60083197645</v>
      </c>
      <c r="Q559">
        <f t="shared" si="161"/>
        <v>200409.86993633932</v>
      </c>
      <c r="R559">
        <f t="shared" si="162"/>
        <v>198911.84856859705</v>
      </c>
      <c r="S559">
        <f t="shared" si="163"/>
        <v>198965.27895115461</v>
      </c>
      <c r="T559">
        <f t="shared" si="164"/>
        <v>197489.89537684128</v>
      </c>
      <c r="U559">
        <f t="shared" si="165"/>
        <v>196432.42045785085</v>
      </c>
      <c r="V559">
        <f t="shared" si="178"/>
        <v>1</v>
      </c>
      <c r="W559">
        <f t="shared" si="179"/>
        <v>0</v>
      </c>
      <c r="X559">
        <f t="shared" si="180"/>
        <v>0</v>
      </c>
      <c r="Y559">
        <f t="shared" si="181"/>
        <v>0</v>
      </c>
      <c r="Z559">
        <f t="shared" si="182"/>
        <v>0</v>
      </c>
      <c r="AA559">
        <f t="shared" ref="AA559" si="190">IF(MAX(P559:U559)=U559, 1, 0)</f>
        <v>0</v>
      </c>
      <c r="AC559">
        <f t="shared" si="171"/>
        <v>200628.60083197645</v>
      </c>
      <c r="AD559">
        <f t="shared" si="172"/>
        <v>200409.86993633932</v>
      </c>
      <c r="AE559">
        <f t="shared" si="173"/>
        <v>198911.84856859705</v>
      </c>
      <c r="AF559">
        <f t="shared" si="174"/>
        <v>198965.27895115461</v>
      </c>
      <c r="AG559">
        <f t="shared" si="175"/>
        <v>197489.89537684128</v>
      </c>
      <c r="AH559">
        <f t="shared" si="176"/>
        <v>196432.42045785085</v>
      </c>
      <c r="AI559">
        <f t="shared" si="189"/>
        <v>200628.60083197645</v>
      </c>
    </row>
    <row r="560" spans="2:35" x14ac:dyDescent="0.3">
      <c r="B560">
        <v>517</v>
      </c>
      <c r="C560">
        <v>81401.119699999996</v>
      </c>
      <c r="D560">
        <v>81358.159400000004</v>
      </c>
      <c r="E560">
        <v>82604.5291</v>
      </c>
      <c r="F560">
        <v>82897.271099999998</v>
      </c>
      <c r="G560">
        <v>83917.624899999995</v>
      </c>
      <c r="H560">
        <v>84801.406300000002</v>
      </c>
      <c r="I560">
        <v>10.85754246693765</v>
      </c>
      <c r="J560">
        <v>10.819728357593764</v>
      </c>
      <c r="K560">
        <v>10.787703417388059</v>
      </c>
      <c r="L560">
        <v>10.775026932510096</v>
      </c>
      <c r="M560">
        <v>10.74672387600461</v>
      </c>
      <c r="N560">
        <v>10.71639329935415</v>
      </c>
      <c r="P560">
        <f t="shared" si="160"/>
        <v>244325.15430812951</v>
      </c>
      <c r="Q560">
        <f t="shared" si="161"/>
        <v>243233.69132781291</v>
      </c>
      <c r="R560">
        <f t="shared" si="162"/>
        <v>241026.57342164178</v>
      </c>
      <c r="S560">
        <f t="shared" si="163"/>
        <v>240353.5368753029</v>
      </c>
      <c r="T560">
        <f t="shared" si="164"/>
        <v>238484.0913801383</v>
      </c>
      <c r="U560">
        <f t="shared" si="165"/>
        <v>236690.39268062453</v>
      </c>
      <c r="V560">
        <f t="shared" si="178"/>
        <v>1</v>
      </c>
      <c r="W560">
        <f t="shared" si="179"/>
        <v>0</v>
      </c>
      <c r="X560">
        <f t="shared" si="180"/>
        <v>0</v>
      </c>
      <c r="Y560">
        <f t="shared" si="181"/>
        <v>0</v>
      </c>
      <c r="Z560">
        <f t="shared" si="182"/>
        <v>0</v>
      </c>
      <c r="AC560">
        <f t="shared" si="171"/>
        <v>244325.15430812951</v>
      </c>
      <c r="AD560">
        <f t="shared" si="172"/>
        <v>243233.69132781291</v>
      </c>
      <c r="AE560">
        <f t="shared" si="173"/>
        <v>241026.57342164178</v>
      </c>
      <c r="AF560">
        <f t="shared" si="174"/>
        <v>240353.5368753029</v>
      </c>
      <c r="AG560">
        <f t="shared" si="175"/>
        <v>238484.0913801383</v>
      </c>
      <c r="AH560">
        <f t="shared" si="176"/>
        <v>236690.39268062453</v>
      </c>
      <c r="AI560">
        <f t="shared" si="189"/>
        <v>244325.15430812951</v>
      </c>
    </row>
    <row r="561" spans="2:35" x14ac:dyDescent="0.3">
      <c r="B561">
        <v>518</v>
      </c>
      <c r="C561">
        <v>75840.971000000005</v>
      </c>
      <c r="D561">
        <v>74842.839200000002</v>
      </c>
      <c r="E561">
        <v>74940.574800000002</v>
      </c>
      <c r="F561">
        <v>75003.364499999996</v>
      </c>
      <c r="G561">
        <v>75027.1014</v>
      </c>
      <c r="H561">
        <v>75202.943400000004</v>
      </c>
      <c r="I561">
        <v>11.083046373750504</v>
      </c>
      <c r="J561">
        <v>11.053236156251716</v>
      </c>
      <c r="K561">
        <v>11.030363300003753</v>
      </c>
      <c r="L561">
        <v>11.013763795901895</v>
      </c>
      <c r="M561">
        <v>10.996594178273476</v>
      </c>
      <c r="N561">
        <v>10.970606540451538</v>
      </c>
      <c r="P561">
        <f t="shared" si="160"/>
        <v>256650.42021251511</v>
      </c>
      <c r="Q561">
        <f t="shared" si="161"/>
        <v>256754.2454875515</v>
      </c>
      <c r="R561">
        <f t="shared" si="162"/>
        <v>255970.32420011261</v>
      </c>
      <c r="S561">
        <f t="shared" si="163"/>
        <v>255409.54937705686</v>
      </c>
      <c r="T561">
        <f t="shared" si="164"/>
        <v>254870.72394820431</v>
      </c>
      <c r="U561">
        <f t="shared" si="165"/>
        <v>253915.25281354616</v>
      </c>
      <c r="V561">
        <f t="shared" si="178"/>
        <v>0</v>
      </c>
      <c r="W561">
        <f t="shared" si="179"/>
        <v>1</v>
      </c>
      <c r="X561">
        <f t="shared" si="180"/>
        <v>0</v>
      </c>
      <c r="Y561">
        <f t="shared" si="181"/>
        <v>0</v>
      </c>
      <c r="Z561">
        <f t="shared" si="182"/>
        <v>0</v>
      </c>
      <c r="AA561">
        <f t="shared" ref="AA561" si="191">IF(MAX(P561:U561)=U561, 1, 0)</f>
        <v>0</v>
      </c>
      <c r="AC561">
        <f t="shared" si="171"/>
        <v>256650.42021251511</v>
      </c>
      <c r="AD561">
        <f t="shared" si="172"/>
        <v>256754.2454875515</v>
      </c>
      <c r="AE561">
        <f t="shared" si="173"/>
        <v>255970.32420011261</v>
      </c>
      <c r="AF561">
        <f t="shared" si="174"/>
        <v>255409.54937705686</v>
      </c>
      <c r="AG561">
        <f t="shared" si="175"/>
        <v>254870.72394820431</v>
      </c>
      <c r="AH561">
        <f t="shared" si="176"/>
        <v>253915.25281354616</v>
      </c>
      <c r="AI561">
        <f t="shared" si="189"/>
        <v>256754.2454875515</v>
      </c>
    </row>
    <row r="562" spans="2:35" x14ac:dyDescent="0.3">
      <c r="B562">
        <v>519</v>
      </c>
      <c r="C562">
        <v>77036.744699999996</v>
      </c>
      <c r="D562">
        <v>75934.244999999995</v>
      </c>
      <c r="E562">
        <v>76034.162700000001</v>
      </c>
      <c r="F562">
        <v>75962.924899999998</v>
      </c>
      <c r="G562">
        <v>76044.929199999999</v>
      </c>
      <c r="H562">
        <v>76126.7935</v>
      </c>
      <c r="I562">
        <v>10.150860189102817</v>
      </c>
      <c r="J562">
        <v>10.098930741470356</v>
      </c>
      <c r="K562">
        <v>10.073472465919945</v>
      </c>
      <c r="L562">
        <v>10.056315399861349</v>
      </c>
      <c r="M562">
        <v>10.025872108965755</v>
      </c>
      <c r="N562">
        <v>9.9923928840546683</v>
      </c>
      <c r="P562">
        <f t="shared" si="160"/>
        <v>227489.06097308453</v>
      </c>
      <c r="Q562">
        <f t="shared" si="161"/>
        <v>227033.67724411067</v>
      </c>
      <c r="R562">
        <f t="shared" si="162"/>
        <v>226170.01127759839</v>
      </c>
      <c r="S562">
        <f t="shared" si="163"/>
        <v>225726.5370958405</v>
      </c>
      <c r="T562">
        <f t="shared" si="164"/>
        <v>224731.23406897264</v>
      </c>
      <c r="U562">
        <f t="shared" si="165"/>
        <v>223644.99302164002</v>
      </c>
      <c r="V562">
        <f t="shared" si="178"/>
        <v>1</v>
      </c>
      <c r="W562">
        <f t="shared" si="179"/>
        <v>0</v>
      </c>
      <c r="X562">
        <f t="shared" si="180"/>
        <v>0</v>
      </c>
      <c r="Y562">
        <f t="shared" si="181"/>
        <v>0</v>
      </c>
      <c r="Z562">
        <f t="shared" si="182"/>
        <v>0</v>
      </c>
      <c r="AC562">
        <f t="shared" si="171"/>
        <v>227489.06097308453</v>
      </c>
      <c r="AD562">
        <f t="shared" si="172"/>
        <v>227033.67724411067</v>
      </c>
      <c r="AE562">
        <f t="shared" si="173"/>
        <v>226170.01127759839</v>
      </c>
      <c r="AF562">
        <f t="shared" si="174"/>
        <v>225726.5370958405</v>
      </c>
      <c r="AG562">
        <f t="shared" si="175"/>
        <v>224731.23406897264</v>
      </c>
      <c r="AH562">
        <f t="shared" si="176"/>
        <v>223644.99302164002</v>
      </c>
      <c r="AI562">
        <f t="shared" si="189"/>
        <v>227489.06097308453</v>
      </c>
    </row>
    <row r="563" spans="2:35" x14ac:dyDescent="0.3">
      <c r="B563">
        <v>520</v>
      </c>
      <c r="C563">
        <v>77764.550799999997</v>
      </c>
      <c r="D563">
        <v>76769.354699999996</v>
      </c>
      <c r="E563">
        <v>76962.629199999996</v>
      </c>
      <c r="F563">
        <v>76728.139899999995</v>
      </c>
      <c r="G563">
        <v>76920.5821</v>
      </c>
      <c r="H563">
        <v>77114.769400000005</v>
      </c>
      <c r="I563">
        <v>11.012135285228936</v>
      </c>
      <c r="J563">
        <v>10.983746106832605</v>
      </c>
      <c r="K563">
        <v>10.96094556469715</v>
      </c>
      <c r="L563">
        <v>10.952682398246008</v>
      </c>
      <c r="M563">
        <v>10.931849979385893</v>
      </c>
      <c r="N563">
        <v>10.901966019537481</v>
      </c>
      <c r="P563">
        <f t="shared" si="160"/>
        <v>252599.50775686812</v>
      </c>
      <c r="Q563">
        <f t="shared" si="161"/>
        <v>252743.02850497814</v>
      </c>
      <c r="R563">
        <f t="shared" si="162"/>
        <v>251865.73774091448</v>
      </c>
      <c r="S563">
        <f t="shared" si="163"/>
        <v>251852.33204738022</v>
      </c>
      <c r="T563">
        <f t="shared" si="164"/>
        <v>251034.91728157678</v>
      </c>
      <c r="U563">
        <f t="shared" si="165"/>
        <v>249944.21118612442</v>
      </c>
      <c r="V563">
        <f t="shared" si="178"/>
        <v>0</v>
      </c>
      <c r="W563">
        <f t="shared" si="179"/>
        <v>1</v>
      </c>
      <c r="X563">
        <f t="shared" si="180"/>
        <v>0</v>
      </c>
      <c r="Y563">
        <f t="shared" si="181"/>
        <v>0</v>
      </c>
      <c r="Z563">
        <f t="shared" si="182"/>
        <v>0</v>
      </c>
      <c r="AA563">
        <f t="shared" ref="AA563" si="192">IF(MAX(P563:U563)=U563, 1, 0)</f>
        <v>0</v>
      </c>
      <c r="AC563">
        <f t="shared" si="171"/>
        <v>252599.50775686812</v>
      </c>
      <c r="AD563">
        <f t="shared" si="172"/>
        <v>252743.02850497814</v>
      </c>
      <c r="AE563">
        <f t="shared" si="173"/>
        <v>251865.73774091448</v>
      </c>
      <c r="AF563">
        <f t="shared" si="174"/>
        <v>251852.33204738022</v>
      </c>
      <c r="AG563">
        <f t="shared" si="175"/>
        <v>251034.91728157678</v>
      </c>
      <c r="AH563">
        <f t="shared" si="176"/>
        <v>249944.21118612442</v>
      </c>
      <c r="AI563">
        <f t="shared" si="189"/>
        <v>252743.02850497814</v>
      </c>
    </row>
    <row r="564" spans="2:35" x14ac:dyDescent="0.3">
      <c r="B564">
        <v>521</v>
      </c>
      <c r="C564">
        <v>79348.905599999998</v>
      </c>
      <c r="D564">
        <v>77643.067599999995</v>
      </c>
      <c r="E564">
        <v>77273.104699999996</v>
      </c>
      <c r="F564">
        <v>76866.638300000006</v>
      </c>
      <c r="G564">
        <v>76454.462499999994</v>
      </c>
      <c r="H564">
        <v>75955.165299999993</v>
      </c>
      <c r="I564">
        <v>9.7420636492781814</v>
      </c>
      <c r="J564">
        <v>9.7200433345082917</v>
      </c>
      <c r="K564">
        <v>9.7043117745228873</v>
      </c>
      <c r="L564">
        <v>9.6976983708631135</v>
      </c>
      <c r="M564">
        <v>9.6779647645029403</v>
      </c>
      <c r="N564">
        <v>9.6562202313499377</v>
      </c>
      <c r="P564">
        <f t="shared" si="160"/>
        <v>212913.00387834542</v>
      </c>
      <c r="Q564">
        <f t="shared" si="161"/>
        <v>213958.23243524873</v>
      </c>
      <c r="R564">
        <f t="shared" si="162"/>
        <v>213856.24853568661</v>
      </c>
      <c r="S564">
        <f t="shared" si="163"/>
        <v>214064.3128258934</v>
      </c>
      <c r="T564">
        <f t="shared" si="164"/>
        <v>213884.48043508819</v>
      </c>
      <c r="U564">
        <f t="shared" si="165"/>
        <v>213731.44164049812</v>
      </c>
      <c r="V564">
        <f t="shared" si="178"/>
        <v>0</v>
      </c>
      <c r="W564">
        <f t="shared" si="179"/>
        <v>0</v>
      </c>
      <c r="X564">
        <f t="shared" si="180"/>
        <v>0</v>
      </c>
      <c r="Y564">
        <f t="shared" si="181"/>
        <v>1</v>
      </c>
      <c r="Z564">
        <f t="shared" si="182"/>
        <v>0</v>
      </c>
      <c r="AC564">
        <f t="shared" si="171"/>
        <v>212913.00387834542</v>
      </c>
      <c r="AD564">
        <f t="shared" si="172"/>
        <v>213958.23243524873</v>
      </c>
      <c r="AE564">
        <f t="shared" si="173"/>
        <v>213856.24853568661</v>
      </c>
      <c r="AF564">
        <f t="shared" si="174"/>
        <v>214064.3128258934</v>
      </c>
      <c r="AG564">
        <f t="shared" si="175"/>
        <v>213884.48043508819</v>
      </c>
      <c r="AH564">
        <f t="shared" si="176"/>
        <v>213731.44164049812</v>
      </c>
      <c r="AI564">
        <f t="shared" si="189"/>
        <v>214064.3128258934</v>
      </c>
    </row>
    <row r="565" spans="2:35" x14ac:dyDescent="0.3">
      <c r="B565">
        <v>522</v>
      </c>
      <c r="C565">
        <v>81602.255499999999</v>
      </c>
      <c r="D565">
        <v>80065.434500000003</v>
      </c>
      <c r="E565">
        <v>79831.255499999999</v>
      </c>
      <c r="F565">
        <v>79508.044099999999</v>
      </c>
      <c r="G565">
        <v>79352.704100000003</v>
      </c>
      <c r="H565">
        <v>79170.971399999995</v>
      </c>
      <c r="I565">
        <v>10.856024670434669</v>
      </c>
      <c r="J565">
        <v>10.819805609836358</v>
      </c>
      <c r="K565">
        <v>10.795581053303552</v>
      </c>
      <c r="L565">
        <v>10.783028464956663</v>
      </c>
      <c r="M565">
        <v>10.760723398079625</v>
      </c>
      <c r="N565">
        <v>10.733626920462624</v>
      </c>
      <c r="P565">
        <f t="shared" si="160"/>
        <v>244078.48461304008</v>
      </c>
      <c r="Q565">
        <f t="shared" si="161"/>
        <v>244528.73379509072</v>
      </c>
      <c r="R565">
        <f t="shared" si="162"/>
        <v>244036.17609910658</v>
      </c>
      <c r="S565">
        <f t="shared" si="163"/>
        <v>243982.80984869989</v>
      </c>
      <c r="T565">
        <f t="shared" si="164"/>
        <v>243468.99784238872</v>
      </c>
      <c r="U565">
        <f t="shared" si="165"/>
        <v>242837.83621387876</v>
      </c>
      <c r="V565">
        <f t="shared" si="178"/>
        <v>0</v>
      </c>
      <c r="W565">
        <f t="shared" si="179"/>
        <v>1</v>
      </c>
      <c r="X565">
        <f t="shared" si="180"/>
        <v>0</v>
      </c>
      <c r="Y565">
        <f t="shared" si="181"/>
        <v>0</v>
      </c>
      <c r="Z565">
        <f t="shared" si="182"/>
        <v>0</v>
      </c>
      <c r="AA565">
        <f t="shared" ref="AA565" si="193">IF(MAX(P565:U565)=U565, 1, 0)</f>
        <v>0</v>
      </c>
      <c r="AC565">
        <f t="shared" si="171"/>
        <v>244078.48461304008</v>
      </c>
      <c r="AD565">
        <f t="shared" si="172"/>
        <v>244528.73379509072</v>
      </c>
      <c r="AE565">
        <f t="shared" si="173"/>
        <v>244036.17609910658</v>
      </c>
      <c r="AF565">
        <f t="shared" si="174"/>
        <v>243982.80984869989</v>
      </c>
      <c r="AG565">
        <f t="shared" si="175"/>
        <v>243468.99784238872</v>
      </c>
      <c r="AH565">
        <f t="shared" si="176"/>
        <v>242837.83621387876</v>
      </c>
      <c r="AI565">
        <f t="shared" si="189"/>
        <v>244528.73379509072</v>
      </c>
    </row>
    <row r="566" spans="2:35" x14ac:dyDescent="0.3">
      <c r="B566">
        <v>523</v>
      </c>
      <c r="C566">
        <v>70494.523799999995</v>
      </c>
      <c r="D566">
        <v>70374.878100000002</v>
      </c>
      <c r="E566">
        <v>71154.550099999993</v>
      </c>
      <c r="F566">
        <v>71341.616299999994</v>
      </c>
      <c r="G566">
        <v>72100.233600000007</v>
      </c>
      <c r="H566">
        <v>73251.193299999999</v>
      </c>
      <c r="I566">
        <v>8.8150194421063155</v>
      </c>
      <c r="J566">
        <v>8.7845702765836275</v>
      </c>
      <c r="K566">
        <v>8.7656452953512662</v>
      </c>
      <c r="L566">
        <v>8.7564261912657706</v>
      </c>
      <c r="M566">
        <v>8.7361904089481932</v>
      </c>
      <c r="N566">
        <v>8.7080968889112302</v>
      </c>
      <c r="P566">
        <f t="shared" si="160"/>
        <v>193956.05946318948</v>
      </c>
      <c r="Q566">
        <f t="shared" si="161"/>
        <v>193162.23019750885</v>
      </c>
      <c r="R566">
        <f t="shared" si="162"/>
        <v>191814.808760538</v>
      </c>
      <c r="S566">
        <f t="shared" si="163"/>
        <v>191351.16943797312</v>
      </c>
      <c r="T566">
        <f t="shared" si="164"/>
        <v>189985.47866844578</v>
      </c>
      <c r="U566">
        <f t="shared" si="165"/>
        <v>187991.7133673369</v>
      </c>
      <c r="V566">
        <f t="shared" si="178"/>
        <v>1</v>
      </c>
      <c r="W566">
        <f t="shared" si="179"/>
        <v>0</v>
      </c>
      <c r="X566">
        <f t="shared" si="180"/>
        <v>0</v>
      </c>
      <c r="Y566">
        <f t="shared" si="181"/>
        <v>0</v>
      </c>
      <c r="Z566">
        <f t="shared" si="182"/>
        <v>0</v>
      </c>
      <c r="AC566">
        <f t="shared" si="171"/>
        <v>193956.05946318948</v>
      </c>
      <c r="AD566">
        <f t="shared" si="172"/>
        <v>193162.23019750885</v>
      </c>
      <c r="AE566">
        <f t="shared" si="173"/>
        <v>191814.808760538</v>
      </c>
      <c r="AF566">
        <f t="shared" si="174"/>
        <v>191351.16943797312</v>
      </c>
      <c r="AG566">
        <f t="shared" si="175"/>
        <v>189985.47866844578</v>
      </c>
      <c r="AH566">
        <f t="shared" si="176"/>
        <v>187991.7133673369</v>
      </c>
      <c r="AI566">
        <f t="shared" si="189"/>
        <v>193956.05946318948</v>
      </c>
    </row>
    <row r="567" spans="2:35" x14ac:dyDescent="0.3">
      <c r="B567">
        <v>524</v>
      </c>
      <c r="C567">
        <v>82139.450899999996</v>
      </c>
      <c r="D567">
        <v>80771.637700000007</v>
      </c>
      <c r="E567">
        <v>80561.752999999997</v>
      </c>
      <c r="F567">
        <v>80197.156199999998</v>
      </c>
      <c r="G567">
        <v>80161.336800000005</v>
      </c>
      <c r="H567">
        <v>79819.202799999999</v>
      </c>
      <c r="I567">
        <v>8.9259780805743159</v>
      </c>
      <c r="J567">
        <v>8.9037219301940027</v>
      </c>
      <c r="K567">
        <v>8.8858528669216774</v>
      </c>
      <c r="L567">
        <v>8.8711864584691149</v>
      </c>
      <c r="M567">
        <v>8.8558835105826752</v>
      </c>
      <c r="N567">
        <v>8.8278470003448426</v>
      </c>
      <c r="P567">
        <f t="shared" si="160"/>
        <v>185639.89151722949</v>
      </c>
      <c r="Q567">
        <f t="shared" si="161"/>
        <v>186340.02020582004</v>
      </c>
      <c r="R567">
        <f t="shared" si="162"/>
        <v>186013.8330076503</v>
      </c>
      <c r="S567">
        <f t="shared" si="163"/>
        <v>185938.43755407343</v>
      </c>
      <c r="T567">
        <f t="shared" si="164"/>
        <v>185515.16851748026</v>
      </c>
      <c r="U567">
        <f t="shared" si="165"/>
        <v>185016.20721034528</v>
      </c>
      <c r="V567">
        <f t="shared" si="178"/>
        <v>0</v>
      </c>
      <c r="W567">
        <f t="shared" si="179"/>
        <v>1</v>
      </c>
      <c r="X567">
        <f t="shared" si="180"/>
        <v>0</v>
      </c>
      <c r="Y567">
        <f t="shared" si="181"/>
        <v>0</v>
      </c>
      <c r="Z567">
        <f t="shared" si="182"/>
        <v>0</v>
      </c>
      <c r="AA567">
        <f t="shared" ref="AA567" si="194">IF(MAX(P567:U567)=U567, 1, 0)</f>
        <v>0</v>
      </c>
      <c r="AC567">
        <f t="shared" si="171"/>
        <v>185639.89151722949</v>
      </c>
      <c r="AD567">
        <f t="shared" si="172"/>
        <v>186340.02020582004</v>
      </c>
      <c r="AE567">
        <f t="shared" si="173"/>
        <v>186013.8330076503</v>
      </c>
      <c r="AF567">
        <f t="shared" si="174"/>
        <v>185938.43755407343</v>
      </c>
      <c r="AG567">
        <f t="shared" si="175"/>
        <v>185515.16851748026</v>
      </c>
      <c r="AH567">
        <f t="shared" si="176"/>
        <v>185016.20721034528</v>
      </c>
      <c r="AI567">
        <f t="shared" si="189"/>
        <v>186340.02020582004</v>
      </c>
    </row>
    <row r="568" spans="2:35" x14ac:dyDescent="0.3">
      <c r="B568">
        <v>525</v>
      </c>
      <c r="C568">
        <v>87059.140100000004</v>
      </c>
      <c r="D568">
        <v>85703.775200000004</v>
      </c>
      <c r="E568">
        <v>85651.940499999997</v>
      </c>
      <c r="F568">
        <v>85366.906400000007</v>
      </c>
      <c r="G568">
        <v>85273.754100000006</v>
      </c>
      <c r="H568">
        <v>85186.718099999998</v>
      </c>
      <c r="I568">
        <v>8.8613834840280052</v>
      </c>
      <c r="J568">
        <v>8.8062374421185368</v>
      </c>
      <c r="K568">
        <v>8.7727878919797018</v>
      </c>
      <c r="L568">
        <v>8.7575799733048303</v>
      </c>
      <c r="M568">
        <v>8.7180323160097117</v>
      </c>
      <c r="N568">
        <v>8.6775844511702989</v>
      </c>
      <c r="P568">
        <f t="shared" si="160"/>
        <v>178782.36442084017</v>
      </c>
      <c r="Q568">
        <f t="shared" si="161"/>
        <v>178483.3480635561</v>
      </c>
      <c r="R568">
        <f t="shared" si="162"/>
        <v>177531.69625939106</v>
      </c>
      <c r="S568">
        <f t="shared" si="163"/>
        <v>177360.49279914491</v>
      </c>
      <c r="T568">
        <f t="shared" si="164"/>
        <v>176267.21538029134</v>
      </c>
      <c r="U568">
        <f t="shared" si="165"/>
        <v>175140.81543510896</v>
      </c>
      <c r="V568">
        <f t="shared" si="178"/>
        <v>1</v>
      </c>
      <c r="W568">
        <f t="shared" si="179"/>
        <v>0</v>
      </c>
      <c r="X568">
        <f t="shared" si="180"/>
        <v>0</v>
      </c>
      <c r="Y568">
        <f t="shared" si="181"/>
        <v>0</v>
      </c>
      <c r="Z568">
        <f t="shared" si="182"/>
        <v>0</v>
      </c>
      <c r="AC568">
        <f t="shared" si="171"/>
        <v>178782.36442084017</v>
      </c>
      <c r="AD568">
        <f t="shared" si="172"/>
        <v>178483.3480635561</v>
      </c>
      <c r="AE568">
        <f t="shared" si="173"/>
        <v>177531.69625939106</v>
      </c>
      <c r="AF568">
        <f t="shared" si="174"/>
        <v>177360.49279914491</v>
      </c>
      <c r="AG568">
        <f t="shared" si="175"/>
        <v>176267.21538029134</v>
      </c>
      <c r="AH568">
        <f t="shared" si="176"/>
        <v>175140.81543510896</v>
      </c>
      <c r="AI568">
        <f t="shared" si="189"/>
        <v>178782.36442084017</v>
      </c>
    </row>
    <row r="569" spans="2:35" x14ac:dyDescent="0.3">
      <c r="B569">
        <v>526</v>
      </c>
      <c r="C569">
        <v>63385.603300000002</v>
      </c>
      <c r="D569">
        <v>63086.886500000001</v>
      </c>
      <c r="E569">
        <v>64014.099600000001</v>
      </c>
      <c r="F569">
        <v>63710.504699999998</v>
      </c>
      <c r="G569">
        <v>64796.886500000001</v>
      </c>
      <c r="H569">
        <v>65468.460899999998</v>
      </c>
      <c r="I569">
        <v>9.8137818697640942</v>
      </c>
      <c r="J569">
        <v>9.785070654957984</v>
      </c>
      <c r="K569">
        <v>9.7586478900359879</v>
      </c>
      <c r="L569">
        <v>9.7613515973523111</v>
      </c>
      <c r="M569">
        <v>9.7300400543430161</v>
      </c>
      <c r="N569">
        <v>9.7124463459270434</v>
      </c>
      <c r="P569">
        <f t="shared" si="160"/>
        <v>231027.85279292281</v>
      </c>
      <c r="Q569">
        <f t="shared" si="161"/>
        <v>230465.23314873953</v>
      </c>
      <c r="R569">
        <f t="shared" si="162"/>
        <v>228745.33710107964</v>
      </c>
      <c r="S569">
        <f t="shared" si="163"/>
        <v>229130.04322056932</v>
      </c>
      <c r="T569">
        <f t="shared" si="164"/>
        <v>227104.31513029049</v>
      </c>
      <c r="U569">
        <f t="shared" si="165"/>
        <v>225904.92947781127</v>
      </c>
      <c r="V569">
        <f t="shared" si="178"/>
        <v>1</v>
      </c>
      <c r="W569">
        <f t="shared" si="179"/>
        <v>0</v>
      </c>
      <c r="X569">
        <f t="shared" si="180"/>
        <v>0</v>
      </c>
      <c r="Y569">
        <f t="shared" si="181"/>
        <v>0</v>
      </c>
      <c r="Z569">
        <f t="shared" si="182"/>
        <v>0</v>
      </c>
      <c r="AA569">
        <f t="shared" ref="AA569" si="195">IF(MAX(P569:U569)=U569, 1, 0)</f>
        <v>0</v>
      </c>
      <c r="AC569">
        <f t="shared" si="171"/>
        <v>231027.85279292281</v>
      </c>
      <c r="AD569">
        <f t="shared" si="172"/>
        <v>230465.23314873953</v>
      </c>
      <c r="AE569">
        <f t="shared" si="173"/>
        <v>228745.33710107964</v>
      </c>
      <c r="AF569">
        <f t="shared" si="174"/>
        <v>229130.04322056932</v>
      </c>
      <c r="AG569">
        <f t="shared" si="175"/>
        <v>227104.31513029049</v>
      </c>
      <c r="AH569">
        <f t="shared" si="176"/>
        <v>225904.92947781127</v>
      </c>
      <c r="AI569">
        <f t="shared" si="189"/>
        <v>231027.85279292281</v>
      </c>
    </row>
    <row r="570" spans="2:35" x14ac:dyDescent="0.3">
      <c r="B570">
        <v>527</v>
      </c>
      <c r="C570">
        <v>70768.209700000007</v>
      </c>
      <c r="D570">
        <v>70400.910900000003</v>
      </c>
      <c r="E570">
        <v>71312.093399999998</v>
      </c>
      <c r="F570">
        <v>71081.727499999994</v>
      </c>
      <c r="G570">
        <v>71887.428899999999</v>
      </c>
      <c r="H570">
        <v>72582.778600000005</v>
      </c>
      <c r="I570">
        <v>9.9297260898495487</v>
      </c>
      <c r="J570">
        <v>9.8919028544585412</v>
      </c>
      <c r="K570">
        <v>9.8679576455204057</v>
      </c>
      <c r="L570">
        <v>9.8563555751889727</v>
      </c>
      <c r="M570">
        <v>9.8326226201265765</v>
      </c>
      <c r="N570">
        <v>9.8054491371173356</v>
      </c>
      <c r="P570">
        <f t="shared" si="160"/>
        <v>227123.57299548644</v>
      </c>
      <c r="Q570">
        <f t="shared" si="161"/>
        <v>226356.17473375623</v>
      </c>
      <c r="R570">
        <f t="shared" si="162"/>
        <v>224726.63596561213</v>
      </c>
      <c r="S570">
        <f t="shared" si="163"/>
        <v>224608.93975566921</v>
      </c>
      <c r="T570">
        <f t="shared" si="164"/>
        <v>223091.24970379728</v>
      </c>
      <c r="U570">
        <f t="shared" si="165"/>
        <v>221580.69551352004</v>
      </c>
      <c r="V570">
        <f t="shared" si="178"/>
        <v>1</v>
      </c>
      <c r="W570">
        <f t="shared" si="179"/>
        <v>0</v>
      </c>
      <c r="X570">
        <f t="shared" si="180"/>
        <v>0</v>
      </c>
      <c r="Y570">
        <f t="shared" si="181"/>
        <v>0</v>
      </c>
      <c r="Z570">
        <f t="shared" si="182"/>
        <v>0</v>
      </c>
      <c r="AC570">
        <f t="shared" si="171"/>
        <v>227123.57299548644</v>
      </c>
      <c r="AD570">
        <f t="shared" si="172"/>
        <v>226356.17473375623</v>
      </c>
      <c r="AE570">
        <f t="shared" si="173"/>
        <v>224726.63596561213</v>
      </c>
      <c r="AF570">
        <f t="shared" si="174"/>
        <v>224608.93975566921</v>
      </c>
      <c r="AG570">
        <f t="shared" si="175"/>
        <v>223091.24970379728</v>
      </c>
      <c r="AH570">
        <f t="shared" si="176"/>
        <v>221580.69551352004</v>
      </c>
      <c r="AI570">
        <f t="shared" si="189"/>
        <v>227123.57299548644</v>
      </c>
    </row>
    <row r="571" spans="2:35" x14ac:dyDescent="0.3">
      <c r="B571">
        <v>528</v>
      </c>
      <c r="C571">
        <v>68909.269</v>
      </c>
      <c r="D571">
        <v>67759.658599999995</v>
      </c>
      <c r="E571">
        <v>67714.301900000006</v>
      </c>
      <c r="F571">
        <v>67510.2978</v>
      </c>
      <c r="G571">
        <v>67443.205499999996</v>
      </c>
      <c r="H571">
        <v>67505.081600000005</v>
      </c>
      <c r="I571">
        <v>10.184782412140869</v>
      </c>
      <c r="J571">
        <v>10.154046386695626</v>
      </c>
      <c r="K571">
        <v>10.134630366717921</v>
      </c>
      <c r="L571">
        <v>10.119601850753901</v>
      </c>
      <c r="M571">
        <v>10.109864163320355</v>
      </c>
      <c r="N571">
        <v>10.07620802623947</v>
      </c>
      <c r="P571">
        <f t="shared" si="160"/>
        <v>236634.20336422606</v>
      </c>
      <c r="Q571">
        <f t="shared" si="161"/>
        <v>236861.73300086879</v>
      </c>
      <c r="R571">
        <f t="shared" si="162"/>
        <v>236324.60910153762</v>
      </c>
      <c r="S571">
        <f t="shared" si="163"/>
        <v>236077.75772261701</v>
      </c>
      <c r="T571">
        <f t="shared" si="164"/>
        <v>235852.71939961065</v>
      </c>
      <c r="U571">
        <f t="shared" si="165"/>
        <v>234781.15918718409</v>
      </c>
      <c r="V571">
        <f t="shared" si="178"/>
        <v>0</v>
      </c>
      <c r="W571">
        <f t="shared" si="179"/>
        <v>1</v>
      </c>
      <c r="X571">
        <f t="shared" si="180"/>
        <v>0</v>
      </c>
      <c r="Y571">
        <f t="shared" si="181"/>
        <v>0</v>
      </c>
      <c r="Z571">
        <f t="shared" si="182"/>
        <v>0</v>
      </c>
      <c r="AA571">
        <f t="shared" ref="AA571" si="196">IF(MAX(P571:U571)=U571, 1, 0)</f>
        <v>0</v>
      </c>
      <c r="AC571">
        <f t="shared" si="171"/>
        <v>236634.20336422606</v>
      </c>
      <c r="AD571">
        <f t="shared" si="172"/>
        <v>236861.73300086879</v>
      </c>
      <c r="AE571">
        <f t="shared" si="173"/>
        <v>236324.60910153762</v>
      </c>
      <c r="AF571">
        <f t="shared" si="174"/>
        <v>236077.75772261701</v>
      </c>
      <c r="AG571">
        <f t="shared" si="175"/>
        <v>235852.71939961065</v>
      </c>
      <c r="AH571">
        <f t="shared" si="176"/>
        <v>234781.15918718409</v>
      </c>
      <c r="AI571">
        <f t="shared" si="189"/>
        <v>236861.73300086879</v>
      </c>
    </row>
    <row r="572" spans="2:35" x14ac:dyDescent="0.3">
      <c r="B572">
        <v>529</v>
      </c>
      <c r="C572">
        <v>67628.417100000006</v>
      </c>
      <c r="D572">
        <v>66270.345100000006</v>
      </c>
      <c r="E572">
        <v>66321.429900000003</v>
      </c>
      <c r="F572">
        <v>65875.890400000004</v>
      </c>
      <c r="G572">
        <v>65992.507400000002</v>
      </c>
      <c r="H572">
        <v>65749.543699999995</v>
      </c>
      <c r="I572">
        <v>10.874094726275933</v>
      </c>
      <c r="J572">
        <v>10.848371110636325</v>
      </c>
      <c r="K572">
        <v>10.826667750370321</v>
      </c>
      <c r="L572">
        <v>10.814487807280075</v>
      </c>
      <c r="M572">
        <v>10.804656832851144</v>
      </c>
      <c r="N572">
        <v>10.773397436003174</v>
      </c>
      <c r="P572">
        <f t="shared" si="160"/>
        <v>258594.424688278</v>
      </c>
      <c r="Q572">
        <f t="shared" si="161"/>
        <v>259180.78821908977</v>
      </c>
      <c r="R572">
        <f t="shared" si="162"/>
        <v>258478.60261110961</v>
      </c>
      <c r="S572">
        <f t="shared" si="163"/>
        <v>258558.74381840226</v>
      </c>
      <c r="T572">
        <f t="shared" si="164"/>
        <v>258147.1975855343</v>
      </c>
      <c r="U572">
        <f t="shared" si="165"/>
        <v>257452.37938009523</v>
      </c>
      <c r="V572">
        <f t="shared" si="178"/>
        <v>0</v>
      </c>
      <c r="W572">
        <f t="shared" si="179"/>
        <v>1</v>
      </c>
      <c r="X572">
        <f t="shared" si="180"/>
        <v>0</v>
      </c>
      <c r="Y572">
        <f t="shared" si="181"/>
        <v>0</v>
      </c>
      <c r="Z572">
        <f t="shared" si="182"/>
        <v>0</v>
      </c>
      <c r="AC572">
        <f t="shared" si="171"/>
        <v>258594.424688278</v>
      </c>
      <c r="AD572">
        <f t="shared" si="172"/>
        <v>259180.78821908977</v>
      </c>
      <c r="AE572">
        <f t="shared" si="173"/>
        <v>258478.60261110961</v>
      </c>
      <c r="AF572">
        <f t="shared" si="174"/>
        <v>258558.74381840226</v>
      </c>
      <c r="AG572">
        <f t="shared" si="175"/>
        <v>258147.1975855343</v>
      </c>
      <c r="AH572">
        <f t="shared" si="176"/>
        <v>257452.37938009523</v>
      </c>
      <c r="AI572">
        <f t="shared" si="189"/>
        <v>259180.78821908977</v>
      </c>
    </row>
    <row r="573" spans="2:35" x14ac:dyDescent="0.3">
      <c r="B573">
        <v>530</v>
      </c>
      <c r="C573">
        <v>78394.068299999999</v>
      </c>
      <c r="D573">
        <v>77980.349900000001</v>
      </c>
      <c r="E573">
        <v>78793.997300000003</v>
      </c>
      <c r="F573">
        <v>79022.123999999996</v>
      </c>
      <c r="G573">
        <v>79731.036600000007</v>
      </c>
      <c r="H573">
        <v>80568.141600000003</v>
      </c>
      <c r="I573">
        <v>11.360117948936628</v>
      </c>
      <c r="J573">
        <v>11.343631873587869</v>
      </c>
      <c r="K573">
        <v>11.327834152589173</v>
      </c>
      <c r="L573">
        <v>11.319761333318318</v>
      </c>
      <c r="M573">
        <v>11.305106864145733</v>
      </c>
      <c r="N573">
        <v>11.292407221921572</v>
      </c>
      <c r="P573">
        <f t="shared" si="160"/>
        <v>262409.47016809887</v>
      </c>
      <c r="Q573">
        <f t="shared" si="161"/>
        <v>262328.60630763602</v>
      </c>
      <c r="R573">
        <f t="shared" si="162"/>
        <v>261041.02727767517</v>
      </c>
      <c r="S573">
        <f t="shared" si="163"/>
        <v>260570.71599954955</v>
      </c>
      <c r="T573">
        <f t="shared" si="164"/>
        <v>259422.16932437202</v>
      </c>
      <c r="U573">
        <f t="shared" si="165"/>
        <v>258204.07505764716</v>
      </c>
      <c r="V573">
        <f t="shared" si="178"/>
        <v>1</v>
      </c>
      <c r="W573">
        <f t="shared" si="179"/>
        <v>0</v>
      </c>
      <c r="X573">
        <f t="shared" si="180"/>
        <v>0</v>
      </c>
      <c r="Y573">
        <f t="shared" si="181"/>
        <v>0</v>
      </c>
      <c r="Z573">
        <f t="shared" si="182"/>
        <v>0</v>
      </c>
      <c r="AA573">
        <f t="shared" ref="AA573" si="197">IF(MAX(P573:U573)=U573, 1, 0)</f>
        <v>0</v>
      </c>
      <c r="AC573">
        <f t="shared" si="171"/>
        <v>262409.47016809887</v>
      </c>
      <c r="AD573">
        <f t="shared" si="172"/>
        <v>262328.60630763602</v>
      </c>
      <c r="AE573">
        <f t="shared" si="173"/>
        <v>261041.02727767517</v>
      </c>
      <c r="AF573">
        <f t="shared" si="174"/>
        <v>260570.71599954955</v>
      </c>
      <c r="AG573">
        <f t="shared" si="175"/>
        <v>259422.16932437202</v>
      </c>
      <c r="AH573">
        <f t="shared" si="176"/>
        <v>258204.07505764716</v>
      </c>
      <c r="AI573">
        <f t="shared" si="189"/>
        <v>262409.47016809887</v>
      </c>
    </row>
    <row r="574" spans="2:35" x14ac:dyDescent="0.3">
      <c r="B574">
        <v>531</v>
      </c>
      <c r="C574">
        <v>84438.165299999993</v>
      </c>
      <c r="D574">
        <v>83130.590299999996</v>
      </c>
      <c r="E574">
        <v>83086.963900000002</v>
      </c>
      <c r="F574">
        <v>82899.862599999993</v>
      </c>
      <c r="G574">
        <v>82837.450599999996</v>
      </c>
      <c r="H574">
        <v>82792.9326</v>
      </c>
      <c r="I574">
        <v>11.177879629860472</v>
      </c>
      <c r="J574">
        <v>11.167013763400117</v>
      </c>
      <c r="K574">
        <v>11.157702604685673</v>
      </c>
      <c r="L574">
        <v>11.153900757834625</v>
      </c>
      <c r="M574">
        <v>11.144772506501434</v>
      </c>
      <c r="N574">
        <v>11.135749082330706</v>
      </c>
      <c r="P574">
        <f t="shared" si="160"/>
        <v>250898.2235958142</v>
      </c>
      <c r="Q574">
        <f t="shared" si="161"/>
        <v>251879.82260200352</v>
      </c>
      <c r="R574">
        <f t="shared" si="162"/>
        <v>251644.1142405702</v>
      </c>
      <c r="S574">
        <f t="shared" si="163"/>
        <v>251717.16013503878</v>
      </c>
      <c r="T574">
        <f t="shared" si="164"/>
        <v>251505.72459504305</v>
      </c>
      <c r="U574">
        <f t="shared" si="165"/>
        <v>251279.53986992117</v>
      </c>
      <c r="V574">
        <f t="shared" si="178"/>
        <v>0</v>
      </c>
      <c r="W574">
        <f t="shared" si="179"/>
        <v>1</v>
      </c>
      <c r="X574">
        <f t="shared" si="180"/>
        <v>0</v>
      </c>
      <c r="Y574">
        <f t="shared" si="181"/>
        <v>0</v>
      </c>
      <c r="Z574">
        <f t="shared" si="182"/>
        <v>0</v>
      </c>
      <c r="AC574">
        <f t="shared" si="171"/>
        <v>250898.2235958142</v>
      </c>
      <c r="AD574">
        <f t="shared" si="172"/>
        <v>251879.82260200352</v>
      </c>
      <c r="AE574">
        <f t="shared" si="173"/>
        <v>251644.1142405702</v>
      </c>
      <c r="AF574">
        <f t="shared" si="174"/>
        <v>251717.16013503878</v>
      </c>
      <c r="AG574">
        <f t="shared" si="175"/>
        <v>251505.72459504305</v>
      </c>
      <c r="AH574">
        <f t="shared" si="176"/>
        <v>251279.53986992117</v>
      </c>
      <c r="AI574">
        <f t="shared" si="189"/>
        <v>251879.82260200352</v>
      </c>
    </row>
    <row r="575" spans="2:35" x14ac:dyDescent="0.3">
      <c r="B575">
        <v>532</v>
      </c>
      <c r="C575">
        <v>70193.402499999997</v>
      </c>
      <c r="D575">
        <v>70294.617899999997</v>
      </c>
      <c r="E575">
        <v>71069.103400000007</v>
      </c>
      <c r="F575">
        <v>70999.423800000004</v>
      </c>
      <c r="G575">
        <v>72078.770900000003</v>
      </c>
      <c r="H575">
        <v>72924.667499999996</v>
      </c>
      <c r="I575">
        <v>11.358511933357194</v>
      </c>
      <c r="J575">
        <v>11.335808480778875</v>
      </c>
      <c r="K575">
        <v>11.314968128784226</v>
      </c>
      <c r="L575">
        <v>11.30915899406827</v>
      </c>
      <c r="M575">
        <v>11.290099779885988</v>
      </c>
      <c r="N575">
        <v>11.267774053367232</v>
      </c>
      <c r="P575">
        <f t="shared" si="160"/>
        <v>270561.95550071588</v>
      </c>
      <c r="Q575">
        <f t="shared" si="161"/>
        <v>269779.63652336621</v>
      </c>
      <c r="R575">
        <f t="shared" si="162"/>
        <v>268379.94046352676</v>
      </c>
      <c r="S575">
        <f t="shared" si="163"/>
        <v>268275.34602204809</v>
      </c>
      <c r="T575">
        <f t="shared" si="164"/>
        <v>266624.22249657963</v>
      </c>
      <c r="U575">
        <f t="shared" si="165"/>
        <v>265108.55410101695</v>
      </c>
      <c r="V575">
        <f t="shared" si="178"/>
        <v>1</v>
      </c>
      <c r="W575">
        <f t="shared" si="179"/>
        <v>0</v>
      </c>
      <c r="X575">
        <f t="shared" si="180"/>
        <v>0</v>
      </c>
      <c r="Y575">
        <f t="shared" si="181"/>
        <v>0</v>
      </c>
      <c r="Z575">
        <f t="shared" si="182"/>
        <v>0</v>
      </c>
      <c r="AA575">
        <f t="shared" ref="AA575" si="198">IF(MAX(P575:U575)=U575, 1, 0)</f>
        <v>0</v>
      </c>
      <c r="AC575">
        <f t="shared" si="171"/>
        <v>270561.95550071588</v>
      </c>
      <c r="AD575">
        <f t="shared" si="172"/>
        <v>269779.63652336621</v>
      </c>
      <c r="AE575">
        <f t="shared" si="173"/>
        <v>268379.94046352676</v>
      </c>
      <c r="AF575">
        <f t="shared" si="174"/>
        <v>268275.34602204809</v>
      </c>
      <c r="AG575">
        <f t="shared" si="175"/>
        <v>266624.22249657963</v>
      </c>
      <c r="AH575">
        <f t="shared" si="176"/>
        <v>265108.55410101695</v>
      </c>
      <c r="AI575">
        <f t="shared" si="189"/>
        <v>270561.95550071588</v>
      </c>
    </row>
    <row r="576" spans="2:35" x14ac:dyDescent="0.3">
      <c r="B576">
        <v>533</v>
      </c>
      <c r="C576">
        <v>71790.852499999994</v>
      </c>
      <c r="D576">
        <v>70673.822</v>
      </c>
      <c r="E576">
        <v>70888.866999999998</v>
      </c>
      <c r="F576">
        <v>70776.5962</v>
      </c>
      <c r="G576">
        <v>70757.018400000001</v>
      </c>
      <c r="H576">
        <v>71015.340599999996</v>
      </c>
      <c r="I576">
        <v>10.100361713494612</v>
      </c>
      <c r="J576">
        <v>10.074868819024221</v>
      </c>
      <c r="K576">
        <v>10.062089028752428</v>
      </c>
      <c r="L576">
        <v>10.050746221904401</v>
      </c>
      <c r="M576">
        <v>10.035091911245587</v>
      </c>
      <c r="N576">
        <v>10.016084133869636</v>
      </c>
      <c r="P576">
        <f t="shared" si="160"/>
        <v>231219.9989048384</v>
      </c>
      <c r="Q576">
        <f t="shared" si="161"/>
        <v>231572.24257072667</v>
      </c>
      <c r="R576">
        <f t="shared" si="162"/>
        <v>230973.80386257285</v>
      </c>
      <c r="S576">
        <f t="shared" si="163"/>
        <v>230745.79045713201</v>
      </c>
      <c r="T576">
        <f t="shared" si="164"/>
        <v>230295.73893736763</v>
      </c>
      <c r="U576">
        <f t="shared" si="165"/>
        <v>229467.1834160891</v>
      </c>
      <c r="V576">
        <f t="shared" si="178"/>
        <v>0</v>
      </c>
      <c r="W576">
        <f t="shared" si="179"/>
        <v>1</v>
      </c>
      <c r="X576">
        <f t="shared" si="180"/>
        <v>0</v>
      </c>
      <c r="Y576">
        <f t="shared" si="181"/>
        <v>0</v>
      </c>
      <c r="Z576">
        <f t="shared" si="182"/>
        <v>0</v>
      </c>
      <c r="AC576">
        <f t="shared" si="171"/>
        <v>231219.9989048384</v>
      </c>
      <c r="AD576">
        <f t="shared" si="172"/>
        <v>231572.24257072667</v>
      </c>
      <c r="AE576">
        <f t="shared" si="173"/>
        <v>230973.80386257285</v>
      </c>
      <c r="AF576">
        <f t="shared" si="174"/>
        <v>230745.79045713201</v>
      </c>
      <c r="AG576">
        <f t="shared" si="175"/>
        <v>230295.73893736763</v>
      </c>
      <c r="AH576">
        <f t="shared" si="176"/>
        <v>229467.1834160891</v>
      </c>
      <c r="AI576">
        <f t="shared" si="189"/>
        <v>231572.24257072667</v>
      </c>
    </row>
    <row r="577" spans="2:35" x14ac:dyDescent="0.3">
      <c r="B577">
        <v>534</v>
      </c>
      <c r="C577">
        <v>85328.484500000006</v>
      </c>
      <c r="D577">
        <v>84392.165900000007</v>
      </c>
      <c r="E577">
        <v>84747.849700000006</v>
      </c>
      <c r="F577">
        <v>84584.512799999997</v>
      </c>
      <c r="G577">
        <v>84955.429600000003</v>
      </c>
      <c r="H577">
        <v>85496.350699999995</v>
      </c>
      <c r="I577">
        <v>10.871077647124736</v>
      </c>
      <c r="J577">
        <v>10.830518720688396</v>
      </c>
      <c r="K577">
        <v>10.80985668643069</v>
      </c>
      <c r="L577">
        <v>10.794317851693068</v>
      </c>
      <c r="M577">
        <v>10.76575821041177</v>
      </c>
      <c r="N577">
        <v>10.736881998918015</v>
      </c>
      <c r="P577">
        <f t="shared" ref="P577:P640" si="199">Threshold*I577-C577</f>
        <v>240803.84491374204</v>
      </c>
      <c r="Q577">
        <f t="shared" ref="Q577:Q640" si="200">Threshold*J577-D577</f>
        <v>240523.39572065184</v>
      </c>
      <c r="R577">
        <f t="shared" ref="R577:R640" si="201">Threshold*K577-E577</f>
        <v>239547.85089292069</v>
      </c>
      <c r="S577">
        <f t="shared" ref="S577:S640" si="202">Threshold*L577-F577</f>
        <v>239245.02275079201</v>
      </c>
      <c r="T577">
        <f t="shared" ref="T577:T640" si="203">Threshold*M577-G577</f>
        <v>238017.31671235312</v>
      </c>
      <c r="U577">
        <f t="shared" ref="U577:U640" si="204">Threshold*N577-H577</f>
        <v>236610.10926754045</v>
      </c>
      <c r="V577">
        <f t="shared" si="178"/>
        <v>1</v>
      </c>
      <c r="W577">
        <f t="shared" si="179"/>
        <v>0</v>
      </c>
      <c r="X577">
        <f t="shared" si="180"/>
        <v>0</v>
      </c>
      <c r="Y577">
        <f t="shared" si="181"/>
        <v>0</v>
      </c>
      <c r="Z577">
        <f t="shared" si="182"/>
        <v>0</v>
      </c>
      <c r="AA577">
        <f t="shared" ref="AA577" si="205">IF(MAX(P577:U577)=U577, 1, 0)</f>
        <v>0</v>
      </c>
      <c r="AC577">
        <f t="shared" si="171"/>
        <v>240803.84491374204</v>
      </c>
      <c r="AD577">
        <f t="shared" si="172"/>
        <v>240523.39572065184</v>
      </c>
      <c r="AE577">
        <f t="shared" si="173"/>
        <v>239547.85089292069</v>
      </c>
      <c r="AF577">
        <f t="shared" si="174"/>
        <v>239245.02275079201</v>
      </c>
      <c r="AG577">
        <f t="shared" si="175"/>
        <v>238017.31671235312</v>
      </c>
      <c r="AH577">
        <f t="shared" si="176"/>
        <v>236610.10926754045</v>
      </c>
      <c r="AI577">
        <f t="shared" si="189"/>
        <v>240803.84491374204</v>
      </c>
    </row>
    <row r="578" spans="2:35" x14ac:dyDescent="0.3">
      <c r="B578">
        <v>535</v>
      </c>
      <c r="C578">
        <v>78833.5622</v>
      </c>
      <c r="D578">
        <v>77585.156099999993</v>
      </c>
      <c r="E578">
        <v>77949.584900000002</v>
      </c>
      <c r="F578">
        <v>77773.077699999994</v>
      </c>
      <c r="G578">
        <v>77914.882800000007</v>
      </c>
      <c r="H578">
        <v>78308.876600000003</v>
      </c>
      <c r="I578">
        <v>11.119169116303455</v>
      </c>
      <c r="J578">
        <v>11.082832434790664</v>
      </c>
      <c r="K578">
        <v>11.062544175737006</v>
      </c>
      <c r="L578">
        <v>11.048755469290537</v>
      </c>
      <c r="M578">
        <v>11.015979959555368</v>
      </c>
      <c r="N578">
        <v>10.996077399499741</v>
      </c>
      <c r="P578">
        <f t="shared" si="199"/>
        <v>254741.51128910366</v>
      </c>
      <c r="Q578">
        <f t="shared" si="200"/>
        <v>254899.8169437199</v>
      </c>
      <c r="R578">
        <f t="shared" si="201"/>
        <v>253926.74037211016</v>
      </c>
      <c r="S578">
        <f t="shared" si="202"/>
        <v>253689.58637871614</v>
      </c>
      <c r="T578">
        <f t="shared" si="203"/>
        <v>252564.51598666102</v>
      </c>
      <c r="U578">
        <f t="shared" si="204"/>
        <v>251573.44538499223</v>
      </c>
      <c r="V578">
        <f t="shared" si="178"/>
        <v>0</v>
      </c>
      <c r="W578">
        <f t="shared" si="179"/>
        <v>1</v>
      </c>
      <c r="X578">
        <f t="shared" si="180"/>
        <v>0</v>
      </c>
      <c r="Y578">
        <f t="shared" si="181"/>
        <v>0</v>
      </c>
      <c r="Z578">
        <f t="shared" si="182"/>
        <v>0</v>
      </c>
      <c r="AC578">
        <f t="shared" si="171"/>
        <v>254741.51128910366</v>
      </c>
      <c r="AD578">
        <f t="shared" si="172"/>
        <v>254899.8169437199</v>
      </c>
      <c r="AE578">
        <f t="shared" si="173"/>
        <v>253926.74037211016</v>
      </c>
      <c r="AF578">
        <f t="shared" si="174"/>
        <v>253689.58637871614</v>
      </c>
      <c r="AG578">
        <f t="shared" si="175"/>
        <v>252564.51598666102</v>
      </c>
      <c r="AH578">
        <f t="shared" si="176"/>
        <v>251573.44538499223</v>
      </c>
      <c r="AI578">
        <f t="shared" si="189"/>
        <v>254899.8169437199</v>
      </c>
    </row>
    <row r="579" spans="2:35" x14ac:dyDescent="0.3">
      <c r="B579">
        <v>536</v>
      </c>
      <c r="C579">
        <v>72548.912299999996</v>
      </c>
      <c r="D579">
        <v>71619.208799999993</v>
      </c>
      <c r="E579">
        <v>71713.569600000003</v>
      </c>
      <c r="F579">
        <v>71725.831099999996</v>
      </c>
      <c r="G579">
        <v>71877.903099999996</v>
      </c>
      <c r="H579">
        <v>72104.393200000006</v>
      </c>
      <c r="I579">
        <v>10.653316181050329</v>
      </c>
      <c r="J579">
        <v>10.650006132708153</v>
      </c>
      <c r="K579">
        <v>10.648329416139893</v>
      </c>
      <c r="L579">
        <v>10.64706288496987</v>
      </c>
      <c r="M579">
        <v>10.645310216353467</v>
      </c>
      <c r="N579">
        <v>10.643071646620999</v>
      </c>
      <c r="P579">
        <f t="shared" si="199"/>
        <v>247050.57313150985</v>
      </c>
      <c r="Q579">
        <f t="shared" si="200"/>
        <v>247880.97518124458</v>
      </c>
      <c r="R579">
        <f t="shared" si="201"/>
        <v>247736.31288419681</v>
      </c>
      <c r="S579">
        <f t="shared" si="202"/>
        <v>247686.05544909608</v>
      </c>
      <c r="T579">
        <f t="shared" si="203"/>
        <v>247481.40339060401</v>
      </c>
      <c r="U579">
        <f t="shared" si="204"/>
        <v>247187.75619862997</v>
      </c>
      <c r="V579">
        <f t="shared" si="178"/>
        <v>0</v>
      </c>
      <c r="W579">
        <f t="shared" si="179"/>
        <v>1</v>
      </c>
      <c r="X579">
        <f t="shared" si="180"/>
        <v>0</v>
      </c>
      <c r="Y579">
        <f t="shared" si="181"/>
        <v>0</v>
      </c>
      <c r="Z579">
        <f t="shared" si="182"/>
        <v>0</v>
      </c>
      <c r="AA579">
        <f t="shared" ref="AA579" si="206">IF(MAX(P579:U579)=U579, 1, 0)</f>
        <v>0</v>
      </c>
      <c r="AC579">
        <f t="shared" si="171"/>
        <v>247050.57313150985</v>
      </c>
      <c r="AD579">
        <f t="shared" si="172"/>
        <v>247880.97518124458</v>
      </c>
      <c r="AE579">
        <f t="shared" si="173"/>
        <v>247736.31288419681</v>
      </c>
      <c r="AF579">
        <f t="shared" si="174"/>
        <v>247686.05544909608</v>
      </c>
      <c r="AG579">
        <f t="shared" si="175"/>
        <v>247481.40339060401</v>
      </c>
      <c r="AH579">
        <f t="shared" si="176"/>
        <v>247187.75619862997</v>
      </c>
      <c r="AI579">
        <f t="shared" si="189"/>
        <v>247880.97518124458</v>
      </c>
    </row>
    <row r="580" spans="2:35" x14ac:dyDescent="0.3">
      <c r="B580">
        <v>537</v>
      </c>
      <c r="C580">
        <v>74966.551900000006</v>
      </c>
      <c r="D580">
        <v>74151.904200000004</v>
      </c>
      <c r="E580">
        <v>74197.578299999994</v>
      </c>
      <c r="F580">
        <v>74232.539699999994</v>
      </c>
      <c r="G580">
        <v>74389.336599999995</v>
      </c>
      <c r="H580">
        <v>74481.157800000001</v>
      </c>
      <c r="I580">
        <v>11.019727186444257</v>
      </c>
      <c r="J580">
        <v>10.975955114780939</v>
      </c>
      <c r="K580">
        <v>10.95071944733162</v>
      </c>
      <c r="L580">
        <v>10.934057668262477</v>
      </c>
      <c r="M580">
        <v>10.905995778083199</v>
      </c>
      <c r="N580">
        <v>10.876431283223345</v>
      </c>
      <c r="P580">
        <f t="shared" si="199"/>
        <v>255625.26369332767</v>
      </c>
      <c r="Q580">
        <f t="shared" si="200"/>
        <v>255126.74924342817</v>
      </c>
      <c r="R580">
        <f t="shared" si="201"/>
        <v>254324.00511994859</v>
      </c>
      <c r="S580">
        <f t="shared" si="202"/>
        <v>253789.19034787433</v>
      </c>
      <c r="T580">
        <f t="shared" si="203"/>
        <v>252790.53674249595</v>
      </c>
      <c r="U580">
        <f t="shared" si="204"/>
        <v>251811.78069670039</v>
      </c>
      <c r="V580">
        <f t="shared" si="178"/>
        <v>1</v>
      </c>
      <c r="W580">
        <f t="shared" si="179"/>
        <v>0</v>
      </c>
      <c r="X580">
        <f t="shared" si="180"/>
        <v>0</v>
      </c>
      <c r="Y580">
        <f t="shared" si="181"/>
        <v>0</v>
      </c>
      <c r="Z580">
        <f t="shared" si="182"/>
        <v>0</v>
      </c>
      <c r="AC580">
        <f t="shared" si="171"/>
        <v>255625.26369332767</v>
      </c>
      <c r="AD580">
        <f t="shared" si="172"/>
        <v>255126.74924342817</v>
      </c>
      <c r="AE580">
        <f t="shared" si="173"/>
        <v>254324.00511994859</v>
      </c>
      <c r="AF580">
        <f t="shared" si="174"/>
        <v>253789.19034787433</v>
      </c>
      <c r="AG580">
        <f t="shared" si="175"/>
        <v>252790.53674249595</v>
      </c>
      <c r="AH580">
        <f t="shared" si="176"/>
        <v>251811.78069670039</v>
      </c>
      <c r="AI580">
        <f t="shared" si="189"/>
        <v>255625.26369332767</v>
      </c>
    </row>
    <row r="581" spans="2:35" x14ac:dyDescent="0.3">
      <c r="B581">
        <v>538</v>
      </c>
      <c r="C581">
        <v>73716.958199999994</v>
      </c>
      <c r="D581">
        <v>73349.657800000001</v>
      </c>
      <c r="E581">
        <v>74362.777499999997</v>
      </c>
      <c r="F581">
        <v>74629.8174</v>
      </c>
      <c r="G581">
        <v>75186.194099999993</v>
      </c>
      <c r="H581">
        <v>76312.640899999999</v>
      </c>
      <c r="I581">
        <v>10.708212582038565</v>
      </c>
      <c r="J581">
        <v>10.686968352420788</v>
      </c>
      <c r="K581">
        <v>10.667323371621606</v>
      </c>
      <c r="L581">
        <v>10.657615412157558</v>
      </c>
      <c r="M581">
        <v>10.642213545915823</v>
      </c>
      <c r="N581">
        <v>10.624197350756518</v>
      </c>
      <c r="P581">
        <f t="shared" si="199"/>
        <v>247529.41926115693</v>
      </c>
      <c r="Q581">
        <f t="shared" si="200"/>
        <v>247259.39277262363</v>
      </c>
      <c r="R581">
        <f t="shared" si="201"/>
        <v>245656.92364864817</v>
      </c>
      <c r="S581">
        <f t="shared" si="202"/>
        <v>245098.64496472676</v>
      </c>
      <c r="T581">
        <f t="shared" si="203"/>
        <v>244080.21227747467</v>
      </c>
      <c r="U581">
        <f t="shared" si="204"/>
        <v>242413.27962269553</v>
      </c>
      <c r="V581">
        <f t="shared" si="178"/>
        <v>1</v>
      </c>
      <c r="W581">
        <f t="shared" si="179"/>
        <v>0</v>
      </c>
      <c r="X581">
        <f t="shared" si="180"/>
        <v>0</v>
      </c>
      <c r="Y581">
        <f t="shared" si="181"/>
        <v>0</v>
      </c>
      <c r="Z581">
        <f t="shared" si="182"/>
        <v>0</v>
      </c>
      <c r="AA581">
        <f t="shared" ref="AA581" si="207">IF(MAX(P581:U581)=U581, 1, 0)</f>
        <v>0</v>
      </c>
      <c r="AC581">
        <f t="shared" si="171"/>
        <v>247529.41926115693</v>
      </c>
      <c r="AD581">
        <f t="shared" si="172"/>
        <v>247259.39277262363</v>
      </c>
      <c r="AE581">
        <f t="shared" si="173"/>
        <v>245656.92364864817</v>
      </c>
      <c r="AF581">
        <f t="shared" si="174"/>
        <v>245098.64496472676</v>
      </c>
      <c r="AG581">
        <f t="shared" si="175"/>
        <v>244080.21227747467</v>
      </c>
      <c r="AH581">
        <f t="shared" si="176"/>
        <v>242413.27962269553</v>
      </c>
      <c r="AI581">
        <f t="shared" si="189"/>
        <v>247529.41926115693</v>
      </c>
    </row>
    <row r="582" spans="2:35" x14ac:dyDescent="0.3">
      <c r="B582">
        <v>539</v>
      </c>
      <c r="C582">
        <v>69732.038199999995</v>
      </c>
      <c r="D582">
        <v>68759.5236</v>
      </c>
      <c r="E582">
        <v>69009.263699999996</v>
      </c>
      <c r="F582">
        <v>69002.0717</v>
      </c>
      <c r="G582">
        <v>69185.685100000002</v>
      </c>
      <c r="H582">
        <v>69439.9859</v>
      </c>
      <c r="I582">
        <v>9.7762150757584685</v>
      </c>
      <c r="J582">
        <v>9.7535727426869254</v>
      </c>
      <c r="K582">
        <v>9.7361181306238134</v>
      </c>
      <c r="L582">
        <v>9.7225571540456084</v>
      </c>
      <c r="M582">
        <v>9.7115682055691508</v>
      </c>
      <c r="N582">
        <v>9.6937222757732968</v>
      </c>
      <c r="P582">
        <f t="shared" si="199"/>
        <v>223554.41407275404</v>
      </c>
      <c r="Q582">
        <f t="shared" si="200"/>
        <v>223847.65868060774</v>
      </c>
      <c r="R582">
        <f t="shared" si="201"/>
        <v>223074.28021871438</v>
      </c>
      <c r="S582">
        <f t="shared" si="202"/>
        <v>222674.64292136827</v>
      </c>
      <c r="T582">
        <f t="shared" si="203"/>
        <v>222161.36106707453</v>
      </c>
      <c r="U582">
        <f t="shared" si="204"/>
        <v>221371.68237319888</v>
      </c>
      <c r="V582">
        <f t="shared" si="178"/>
        <v>0</v>
      </c>
      <c r="W582">
        <f t="shared" si="179"/>
        <v>1</v>
      </c>
      <c r="X582">
        <f t="shared" si="180"/>
        <v>0</v>
      </c>
      <c r="Y582">
        <f t="shared" si="181"/>
        <v>0</v>
      </c>
      <c r="Z582">
        <f t="shared" si="182"/>
        <v>0</v>
      </c>
      <c r="AC582">
        <f t="shared" si="171"/>
        <v>223554.41407275404</v>
      </c>
      <c r="AD582">
        <f t="shared" si="172"/>
        <v>223847.65868060774</v>
      </c>
      <c r="AE582">
        <f t="shared" si="173"/>
        <v>223074.28021871438</v>
      </c>
      <c r="AF582">
        <f t="shared" si="174"/>
        <v>222674.64292136827</v>
      </c>
      <c r="AG582">
        <f t="shared" si="175"/>
        <v>222161.36106707453</v>
      </c>
      <c r="AH582">
        <f t="shared" si="176"/>
        <v>221371.68237319888</v>
      </c>
      <c r="AI582">
        <f t="shared" si="189"/>
        <v>223847.65868060774</v>
      </c>
    </row>
    <row r="583" spans="2:35" x14ac:dyDescent="0.3">
      <c r="B583">
        <v>540</v>
      </c>
      <c r="C583">
        <v>80649.155899999998</v>
      </c>
      <c r="D583">
        <v>80114.571599999996</v>
      </c>
      <c r="E583">
        <v>80528.603400000007</v>
      </c>
      <c r="F583">
        <v>80567.360400000005</v>
      </c>
      <c r="G583">
        <v>81055.225099999996</v>
      </c>
      <c r="H583">
        <v>81600.100699999995</v>
      </c>
      <c r="I583">
        <v>10.796297657520277</v>
      </c>
      <c r="J583">
        <v>10.778869311010979</v>
      </c>
      <c r="K583">
        <v>10.769032817407767</v>
      </c>
      <c r="L583">
        <v>10.764022190521001</v>
      </c>
      <c r="M583">
        <v>10.75092849743881</v>
      </c>
      <c r="N583">
        <v>10.738964879199509</v>
      </c>
      <c r="P583">
        <f t="shared" si="199"/>
        <v>243239.77382560831</v>
      </c>
      <c r="Q583">
        <f t="shared" si="200"/>
        <v>243251.50773032938</v>
      </c>
      <c r="R583">
        <f t="shared" si="201"/>
        <v>242542.381122233</v>
      </c>
      <c r="S583">
        <f t="shared" si="202"/>
        <v>242353.30531562999</v>
      </c>
      <c r="T583">
        <f t="shared" si="203"/>
        <v>241472.62982316432</v>
      </c>
      <c r="U583">
        <f t="shared" si="204"/>
        <v>240568.84567598527</v>
      </c>
      <c r="V583">
        <f t="shared" si="178"/>
        <v>0</v>
      </c>
      <c r="W583">
        <f t="shared" si="179"/>
        <v>1</v>
      </c>
      <c r="X583">
        <f t="shared" si="180"/>
        <v>0</v>
      </c>
      <c r="Y583">
        <f t="shared" si="181"/>
        <v>0</v>
      </c>
      <c r="Z583">
        <f t="shared" si="182"/>
        <v>0</v>
      </c>
      <c r="AA583">
        <f t="shared" ref="AA583" si="208">IF(MAX(P583:U583)=U583, 1, 0)</f>
        <v>0</v>
      </c>
      <c r="AC583">
        <f t="shared" si="171"/>
        <v>243239.77382560831</v>
      </c>
      <c r="AD583">
        <f t="shared" si="172"/>
        <v>243251.50773032938</v>
      </c>
      <c r="AE583">
        <f t="shared" si="173"/>
        <v>242542.381122233</v>
      </c>
      <c r="AF583">
        <f t="shared" si="174"/>
        <v>242353.30531562999</v>
      </c>
      <c r="AG583">
        <f t="shared" si="175"/>
        <v>241472.62982316432</v>
      </c>
      <c r="AH583">
        <f t="shared" si="176"/>
        <v>240568.84567598527</v>
      </c>
      <c r="AI583">
        <f t="shared" si="189"/>
        <v>243251.50773032938</v>
      </c>
    </row>
    <row r="584" spans="2:35" x14ac:dyDescent="0.3">
      <c r="B584">
        <v>541</v>
      </c>
      <c r="C584">
        <v>87333.836500000005</v>
      </c>
      <c r="D584">
        <v>87467.828899999993</v>
      </c>
      <c r="E584">
        <v>88398.389200000005</v>
      </c>
      <c r="F584">
        <v>88622.314499999993</v>
      </c>
      <c r="G584">
        <v>89348.271599999993</v>
      </c>
      <c r="H584">
        <v>90637.266000000003</v>
      </c>
      <c r="I584">
        <v>9.6369621758654258</v>
      </c>
      <c r="J584">
        <v>9.6129871976929859</v>
      </c>
      <c r="K584">
        <v>9.6030345736948082</v>
      </c>
      <c r="L584">
        <v>9.5964565914333235</v>
      </c>
      <c r="M584">
        <v>9.5800033894941166</v>
      </c>
      <c r="N584">
        <v>9.5624709795310778</v>
      </c>
      <c r="P584">
        <f t="shared" si="199"/>
        <v>201775.0287759628</v>
      </c>
      <c r="Q584">
        <f t="shared" si="200"/>
        <v>200921.78703078956</v>
      </c>
      <c r="R584">
        <f t="shared" si="201"/>
        <v>199692.64801084422</v>
      </c>
      <c r="S584">
        <f t="shared" si="202"/>
        <v>199271.38324299973</v>
      </c>
      <c r="T584">
        <f t="shared" si="203"/>
        <v>198051.83008482354</v>
      </c>
      <c r="U584">
        <f t="shared" si="204"/>
        <v>196236.86338593235</v>
      </c>
      <c r="V584">
        <f t="shared" si="178"/>
        <v>1</v>
      </c>
      <c r="W584">
        <f t="shared" si="179"/>
        <v>0</v>
      </c>
      <c r="X584">
        <f t="shared" si="180"/>
        <v>0</v>
      </c>
      <c r="Y584">
        <f t="shared" si="181"/>
        <v>0</v>
      </c>
      <c r="Z584">
        <f t="shared" si="182"/>
        <v>0</v>
      </c>
      <c r="AC584">
        <f t="shared" si="171"/>
        <v>201775.0287759628</v>
      </c>
      <c r="AD584">
        <f t="shared" si="172"/>
        <v>200921.78703078956</v>
      </c>
      <c r="AE584">
        <f t="shared" si="173"/>
        <v>199692.64801084422</v>
      </c>
      <c r="AF584">
        <f t="shared" si="174"/>
        <v>199271.38324299973</v>
      </c>
      <c r="AG584">
        <f t="shared" si="175"/>
        <v>198051.83008482354</v>
      </c>
      <c r="AH584">
        <f t="shared" si="176"/>
        <v>196236.86338593235</v>
      </c>
      <c r="AI584">
        <f t="shared" si="189"/>
        <v>201775.0287759628</v>
      </c>
    </row>
    <row r="585" spans="2:35" x14ac:dyDescent="0.3">
      <c r="B585">
        <v>542</v>
      </c>
      <c r="C585">
        <v>75520.2258</v>
      </c>
      <c r="D585">
        <v>74966.822499999995</v>
      </c>
      <c r="E585">
        <v>75413.677200000006</v>
      </c>
      <c r="F585">
        <v>75450.009699999995</v>
      </c>
      <c r="G585">
        <v>75885.956099999996</v>
      </c>
      <c r="H585">
        <v>76368.797000000006</v>
      </c>
      <c r="I585">
        <v>11.294565941809124</v>
      </c>
      <c r="J585">
        <v>11.270641472540799</v>
      </c>
      <c r="K585">
        <v>11.24947848729216</v>
      </c>
      <c r="L585">
        <v>11.240046748378589</v>
      </c>
      <c r="M585">
        <v>11.222234334780692</v>
      </c>
      <c r="N585">
        <v>11.200726188160925</v>
      </c>
      <c r="P585">
        <f t="shared" si="199"/>
        <v>263316.75245427369</v>
      </c>
      <c r="Q585">
        <f t="shared" si="200"/>
        <v>263152.42167622398</v>
      </c>
      <c r="R585">
        <f t="shared" si="201"/>
        <v>262070.67741876483</v>
      </c>
      <c r="S585">
        <f t="shared" si="202"/>
        <v>261751.39275135769</v>
      </c>
      <c r="T585">
        <f t="shared" si="203"/>
        <v>260781.07394342078</v>
      </c>
      <c r="U585">
        <f t="shared" si="204"/>
        <v>259652.98864482774</v>
      </c>
      <c r="V585">
        <f t="shared" si="178"/>
        <v>1</v>
      </c>
      <c r="W585">
        <f t="shared" si="179"/>
        <v>0</v>
      </c>
      <c r="X585">
        <f t="shared" si="180"/>
        <v>0</v>
      </c>
      <c r="Y585">
        <f t="shared" si="181"/>
        <v>0</v>
      </c>
      <c r="Z585">
        <f t="shared" si="182"/>
        <v>0</v>
      </c>
      <c r="AA585">
        <f t="shared" ref="AA585" si="209">IF(MAX(P585:U585)=U585, 1, 0)</f>
        <v>0</v>
      </c>
      <c r="AC585">
        <f t="shared" si="171"/>
        <v>263316.75245427369</v>
      </c>
      <c r="AD585">
        <f t="shared" si="172"/>
        <v>263152.42167622398</v>
      </c>
      <c r="AE585">
        <f t="shared" si="173"/>
        <v>262070.67741876483</v>
      </c>
      <c r="AF585">
        <f t="shared" si="174"/>
        <v>261751.39275135769</v>
      </c>
      <c r="AG585">
        <f t="shared" si="175"/>
        <v>260781.07394342078</v>
      </c>
      <c r="AH585">
        <f t="shared" si="176"/>
        <v>259652.98864482774</v>
      </c>
      <c r="AI585">
        <f t="shared" si="189"/>
        <v>263316.75245427369</v>
      </c>
    </row>
    <row r="586" spans="2:35" x14ac:dyDescent="0.3">
      <c r="B586">
        <v>543</v>
      </c>
      <c r="C586">
        <v>77574.103499999997</v>
      </c>
      <c r="D586">
        <v>76759.728600000002</v>
      </c>
      <c r="E586">
        <v>77180.057100000005</v>
      </c>
      <c r="F586">
        <v>77106.869000000006</v>
      </c>
      <c r="G586">
        <v>77620.558499999999</v>
      </c>
      <c r="H586">
        <v>77911.301399999997</v>
      </c>
      <c r="I586">
        <v>8.634116769385459</v>
      </c>
      <c r="J586">
        <v>8.6035521089128792</v>
      </c>
      <c r="K586">
        <v>8.5827286822697832</v>
      </c>
      <c r="L586">
        <v>8.5689626519281514</v>
      </c>
      <c r="M586">
        <v>8.5419493258760681</v>
      </c>
      <c r="N586">
        <v>8.5139507698448291</v>
      </c>
      <c r="P586">
        <f t="shared" si="199"/>
        <v>181449.39958156378</v>
      </c>
      <c r="Q586">
        <f t="shared" si="200"/>
        <v>181346.83466738637</v>
      </c>
      <c r="R586">
        <f t="shared" si="201"/>
        <v>180301.8033680935</v>
      </c>
      <c r="S586">
        <f t="shared" si="202"/>
        <v>179962.01055784454</v>
      </c>
      <c r="T586">
        <f t="shared" si="203"/>
        <v>178637.92127628205</v>
      </c>
      <c r="U586">
        <f t="shared" si="204"/>
        <v>177507.22169534487</v>
      </c>
      <c r="V586">
        <f t="shared" si="178"/>
        <v>1</v>
      </c>
      <c r="W586">
        <f t="shared" si="179"/>
        <v>0</v>
      </c>
      <c r="X586">
        <f t="shared" si="180"/>
        <v>0</v>
      </c>
      <c r="Y586">
        <f t="shared" si="181"/>
        <v>0</v>
      </c>
      <c r="Z586">
        <f t="shared" si="182"/>
        <v>0</v>
      </c>
      <c r="AC586">
        <f t="shared" si="171"/>
        <v>181449.39958156378</v>
      </c>
      <c r="AD586">
        <f t="shared" si="172"/>
        <v>181346.83466738637</v>
      </c>
      <c r="AE586">
        <f t="shared" si="173"/>
        <v>180301.8033680935</v>
      </c>
      <c r="AF586">
        <f t="shared" si="174"/>
        <v>179962.01055784454</v>
      </c>
      <c r="AG586">
        <f t="shared" si="175"/>
        <v>178637.92127628205</v>
      </c>
      <c r="AH586">
        <f t="shared" si="176"/>
        <v>177507.22169534487</v>
      </c>
      <c r="AI586">
        <f t="shared" si="189"/>
        <v>181449.39958156378</v>
      </c>
    </row>
    <row r="587" spans="2:35" x14ac:dyDescent="0.3">
      <c r="B587">
        <v>544</v>
      </c>
      <c r="C587">
        <v>78442.365399999995</v>
      </c>
      <c r="D587">
        <v>77610.3413</v>
      </c>
      <c r="E587">
        <v>77961.816200000001</v>
      </c>
      <c r="F587">
        <v>78154.073600000003</v>
      </c>
      <c r="G587">
        <v>78208.2791</v>
      </c>
      <c r="H587">
        <v>78603.845600000001</v>
      </c>
      <c r="I587">
        <v>10.317599505090573</v>
      </c>
      <c r="J587">
        <v>10.297011511661179</v>
      </c>
      <c r="K587">
        <v>10.283058385340961</v>
      </c>
      <c r="L587">
        <v>10.27307623339029</v>
      </c>
      <c r="M587">
        <v>10.264875657487732</v>
      </c>
      <c r="N587">
        <v>10.243966588544668</v>
      </c>
      <c r="P587">
        <f t="shared" si="199"/>
        <v>231085.6197527172</v>
      </c>
      <c r="Q587">
        <f t="shared" si="200"/>
        <v>231300.00404983535</v>
      </c>
      <c r="R587">
        <f t="shared" si="201"/>
        <v>230529.93536022882</v>
      </c>
      <c r="S587">
        <f t="shared" si="202"/>
        <v>230038.21340170869</v>
      </c>
      <c r="T587">
        <f t="shared" si="203"/>
        <v>229737.99062463199</v>
      </c>
      <c r="U587">
        <f t="shared" si="204"/>
        <v>228715.15205634001</v>
      </c>
      <c r="V587">
        <f t="shared" si="178"/>
        <v>0</v>
      </c>
      <c r="W587">
        <f t="shared" si="179"/>
        <v>1</v>
      </c>
      <c r="X587">
        <f t="shared" si="180"/>
        <v>0</v>
      </c>
      <c r="Y587">
        <f t="shared" si="181"/>
        <v>0</v>
      </c>
      <c r="Z587">
        <f t="shared" si="182"/>
        <v>0</v>
      </c>
      <c r="AA587">
        <f t="shared" ref="AA587" si="210">IF(MAX(P587:U587)=U587, 1, 0)</f>
        <v>0</v>
      </c>
      <c r="AC587">
        <f t="shared" si="171"/>
        <v>231085.6197527172</v>
      </c>
      <c r="AD587">
        <f t="shared" si="172"/>
        <v>231300.00404983535</v>
      </c>
      <c r="AE587">
        <f t="shared" si="173"/>
        <v>230529.93536022882</v>
      </c>
      <c r="AF587">
        <f t="shared" si="174"/>
        <v>230038.21340170869</v>
      </c>
      <c r="AG587">
        <f t="shared" si="175"/>
        <v>229737.99062463199</v>
      </c>
      <c r="AH587">
        <f t="shared" si="176"/>
        <v>228715.15205634001</v>
      </c>
      <c r="AI587">
        <f t="shared" si="189"/>
        <v>231300.00404983535</v>
      </c>
    </row>
    <row r="588" spans="2:35" x14ac:dyDescent="0.3">
      <c r="B588">
        <v>545</v>
      </c>
      <c r="C588">
        <v>78575.665299999993</v>
      </c>
      <c r="D588">
        <v>77695.354900000006</v>
      </c>
      <c r="E588">
        <v>78031.305999999997</v>
      </c>
      <c r="F588">
        <v>78033.977700000003</v>
      </c>
      <c r="G588">
        <v>78471.780100000004</v>
      </c>
      <c r="H588">
        <v>78690.998900000006</v>
      </c>
      <c r="I588">
        <v>11.240258212908728</v>
      </c>
      <c r="J588">
        <v>11.205535778328878</v>
      </c>
      <c r="K588">
        <v>11.189394692737896</v>
      </c>
      <c r="L588">
        <v>11.174598218450342</v>
      </c>
      <c r="M588">
        <v>11.150552556099965</v>
      </c>
      <c r="N588">
        <v>11.123654443086336</v>
      </c>
      <c r="P588">
        <f t="shared" si="199"/>
        <v>258632.08108726185</v>
      </c>
      <c r="Q588">
        <f t="shared" si="200"/>
        <v>258470.71844986631</v>
      </c>
      <c r="R588">
        <f t="shared" si="201"/>
        <v>257650.53478213691</v>
      </c>
      <c r="S588">
        <f t="shared" si="202"/>
        <v>257203.96885351028</v>
      </c>
      <c r="T588">
        <f t="shared" si="203"/>
        <v>256044.79658299897</v>
      </c>
      <c r="U588">
        <f t="shared" si="204"/>
        <v>255018.63439259009</v>
      </c>
      <c r="V588">
        <f t="shared" si="178"/>
        <v>1</v>
      </c>
      <c r="W588">
        <f t="shared" si="179"/>
        <v>0</v>
      </c>
      <c r="X588">
        <f t="shared" si="180"/>
        <v>0</v>
      </c>
      <c r="Y588">
        <f t="shared" si="181"/>
        <v>0</v>
      </c>
      <c r="Z588">
        <f t="shared" si="182"/>
        <v>0</v>
      </c>
      <c r="AC588">
        <f t="shared" si="171"/>
        <v>258632.08108726185</v>
      </c>
      <c r="AD588">
        <f t="shared" si="172"/>
        <v>258470.71844986631</v>
      </c>
      <c r="AE588">
        <f t="shared" si="173"/>
        <v>257650.53478213691</v>
      </c>
      <c r="AF588">
        <f t="shared" si="174"/>
        <v>257203.96885351028</v>
      </c>
      <c r="AG588">
        <f t="shared" si="175"/>
        <v>256044.79658299897</v>
      </c>
      <c r="AH588">
        <f t="shared" si="176"/>
        <v>255018.63439259009</v>
      </c>
      <c r="AI588">
        <f t="shared" si="189"/>
        <v>258632.08108726185</v>
      </c>
    </row>
    <row r="589" spans="2:35" x14ac:dyDescent="0.3">
      <c r="B589">
        <v>546</v>
      </c>
      <c r="C589">
        <v>79828.409</v>
      </c>
      <c r="D589">
        <v>78922.8079</v>
      </c>
      <c r="E589">
        <v>79121.120699999999</v>
      </c>
      <c r="F589">
        <v>78978.223299999998</v>
      </c>
      <c r="G589">
        <v>79174.099199999997</v>
      </c>
      <c r="H589">
        <v>79493.010299999994</v>
      </c>
      <c r="I589">
        <v>9.7813149077183326</v>
      </c>
      <c r="J589">
        <v>9.7579492248155475</v>
      </c>
      <c r="K589">
        <v>9.7372528646469174</v>
      </c>
      <c r="L589">
        <v>9.7339529107812925</v>
      </c>
      <c r="M589">
        <v>9.7087456934661489</v>
      </c>
      <c r="N589">
        <v>9.6918835163648467</v>
      </c>
      <c r="P589">
        <f t="shared" si="199"/>
        <v>213611.03823155002</v>
      </c>
      <c r="Q589">
        <f t="shared" si="200"/>
        <v>213815.66884446639</v>
      </c>
      <c r="R589">
        <f t="shared" si="201"/>
        <v>212996.46523940752</v>
      </c>
      <c r="S589">
        <f t="shared" si="202"/>
        <v>213040.36402343877</v>
      </c>
      <c r="T589">
        <f t="shared" si="203"/>
        <v>212088.27160398447</v>
      </c>
      <c r="U589">
        <f t="shared" si="204"/>
        <v>211263.49519094542</v>
      </c>
      <c r="V589">
        <f t="shared" si="178"/>
        <v>0</v>
      </c>
      <c r="W589">
        <f t="shared" si="179"/>
        <v>1</v>
      </c>
      <c r="X589">
        <f t="shared" si="180"/>
        <v>0</v>
      </c>
      <c r="Y589">
        <f t="shared" si="181"/>
        <v>0</v>
      </c>
      <c r="Z589">
        <f t="shared" si="182"/>
        <v>0</v>
      </c>
      <c r="AA589">
        <f t="shared" ref="AA589" si="211">IF(MAX(P589:U589)=U589, 1, 0)</f>
        <v>0</v>
      </c>
      <c r="AC589">
        <f t="shared" si="171"/>
        <v>213611.03823155002</v>
      </c>
      <c r="AD589">
        <f t="shared" si="172"/>
        <v>213815.66884446639</v>
      </c>
      <c r="AE589">
        <f t="shared" si="173"/>
        <v>212996.46523940752</v>
      </c>
      <c r="AF589">
        <f t="shared" si="174"/>
        <v>213040.36402343877</v>
      </c>
      <c r="AG589">
        <f t="shared" si="175"/>
        <v>212088.27160398447</v>
      </c>
      <c r="AH589">
        <f t="shared" si="176"/>
        <v>211263.49519094542</v>
      </c>
      <c r="AI589">
        <f t="shared" si="189"/>
        <v>213815.66884446639</v>
      </c>
    </row>
    <row r="590" spans="2:35" x14ac:dyDescent="0.3">
      <c r="B590">
        <v>547</v>
      </c>
      <c r="C590">
        <v>84201.481100000005</v>
      </c>
      <c r="D590">
        <v>83937.987299999993</v>
      </c>
      <c r="E590">
        <v>84872.736900000004</v>
      </c>
      <c r="F590">
        <v>85072.264299999995</v>
      </c>
      <c r="G590">
        <v>85865.971699999995</v>
      </c>
      <c r="H590">
        <v>86712.508499999996</v>
      </c>
      <c r="I590">
        <v>10.712341002201093</v>
      </c>
      <c r="J590">
        <v>10.670838626841828</v>
      </c>
      <c r="K590">
        <v>10.637976114585898</v>
      </c>
      <c r="L590">
        <v>10.620839396656979</v>
      </c>
      <c r="M590">
        <v>10.581068357326046</v>
      </c>
      <c r="N590">
        <v>10.551412411369418</v>
      </c>
      <c r="P590">
        <f t="shared" si="199"/>
        <v>237168.74896603278</v>
      </c>
      <c r="Q590">
        <f t="shared" si="200"/>
        <v>236187.17150525487</v>
      </c>
      <c r="R590">
        <f t="shared" si="201"/>
        <v>234266.54653757694</v>
      </c>
      <c r="S590">
        <f t="shared" si="202"/>
        <v>233552.91759970941</v>
      </c>
      <c r="T590">
        <f t="shared" si="203"/>
        <v>231566.07901978138</v>
      </c>
      <c r="U590">
        <f t="shared" si="204"/>
        <v>229829.86384108255</v>
      </c>
      <c r="V590">
        <f t="shared" si="178"/>
        <v>1</v>
      </c>
      <c r="W590">
        <f t="shared" si="179"/>
        <v>0</v>
      </c>
      <c r="X590">
        <f t="shared" si="180"/>
        <v>0</v>
      </c>
      <c r="Y590">
        <f t="shared" si="181"/>
        <v>0</v>
      </c>
      <c r="Z590">
        <f t="shared" si="182"/>
        <v>0</v>
      </c>
      <c r="AC590">
        <f t="shared" si="171"/>
        <v>237168.74896603278</v>
      </c>
      <c r="AD590">
        <f t="shared" si="172"/>
        <v>236187.17150525487</v>
      </c>
      <c r="AE590">
        <f t="shared" si="173"/>
        <v>234266.54653757694</v>
      </c>
      <c r="AF590">
        <f t="shared" si="174"/>
        <v>233552.91759970941</v>
      </c>
      <c r="AG590">
        <f t="shared" si="175"/>
        <v>231566.07901978138</v>
      </c>
      <c r="AH590">
        <f t="shared" si="176"/>
        <v>229829.86384108255</v>
      </c>
      <c r="AI590">
        <f t="shared" si="189"/>
        <v>237168.74896603278</v>
      </c>
    </row>
    <row r="591" spans="2:35" x14ac:dyDescent="0.3">
      <c r="B591">
        <v>548</v>
      </c>
      <c r="C591">
        <v>85461.084099999993</v>
      </c>
      <c r="D591">
        <v>84303.434699999998</v>
      </c>
      <c r="E591">
        <v>84382.234700000001</v>
      </c>
      <c r="F591">
        <v>84360.4565</v>
      </c>
      <c r="G591">
        <v>84345.005900000004</v>
      </c>
      <c r="H591">
        <v>84544.895999999993</v>
      </c>
      <c r="I591">
        <v>10.280702618590523</v>
      </c>
      <c r="J591">
        <v>10.268868644078745</v>
      </c>
      <c r="K591">
        <v>10.259413713815709</v>
      </c>
      <c r="L591">
        <v>10.254975114426056</v>
      </c>
      <c r="M591">
        <v>10.248341527489844</v>
      </c>
      <c r="N591">
        <v>10.23828270185113</v>
      </c>
      <c r="P591">
        <f t="shared" si="199"/>
        <v>222959.99445771571</v>
      </c>
      <c r="Q591">
        <f t="shared" si="200"/>
        <v>223762.62462236237</v>
      </c>
      <c r="R591">
        <f t="shared" si="201"/>
        <v>223400.17671447128</v>
      </c>
      <c r="S591">
        <f t="shared" si="202"/>
        <v>223288.79693278167</v>
      </c>
      <c r="T591">
        <f t="shared" si="203"/>
        <v>223105.23992469534</v>
      </c>
      <c r="U591">
        <f t="shared" si="204"/>
        <v>222603.58505553391</v>
      </c>
      <c r="V591">
        <f t="shared" si="178"/>
        <v>0</v>
      </c>
      <c r="W591">
        <f t="shared" si="179"/>
        <v>1</v>
      </c>
      <c r="X591">
        <f t="shared" si="180"/>
        <v>0</v>
      </c>
      <c r="Y591">
        <f t="shared" si="181"/>
        <v>0</v>
      </c>
      <c r="Z591">
        <f t="shared" si="182"/>
        <v>0</v>
      </c>
      <c r="AA591">
        <f t="shared" ref="AA591" si="212">IF(MAX(P591:U591)=U591, 1, 0)</f>
        <v>0</v>
      </c>
      <c r="AC591">
        <f t="shared" si="171"/>
        <v>222959.99445771571</v>
      </c>
      <c r="AD591">
        <f t="shared" si="172"/>
        <v>223762.62462236237</v>
      </c>
      <c r="AE591">
        <f t="shared" si="173"/>
        <v>223400.17671447128</v>
      </c>
      <c r="AF591">
        <f t="shared" si="174"/>
        <v>223288.79693278167</v>
      </c>
      <c r="AG591">
        <f t="shared" si="175"/>
        <v>223105.23992469534</v>
      </c>
      <c r="AH591">
        <f t="shared" si="176"/>
        <v>222603.58505553391</v>
      </c>
      <c r="AI591">
        <f t="shared" si="189"/>
        <v>223762.62462236237</v>
      </c>
    </row>
    <row r="592" spans="2:35" x14ac:dyDescent="0.3">
      <c r="B592">
        <v>549</v>
      </c>
      <c r="C592">
        <v>75158.885200000004</v>
      </c>
      <c r="D592">
        <v>74188.066099999996</v>
      </c>
      <c r="E592">
        <v>74510.141600000003</v>
      </c>
      <c r="F592">
        <v>74206.414799999999</v>
      </c>
      <c r="G592">
        <v>74474.994699999996</v>
      </c>
      <c r="H592">
        <v>74559.592900000003</v>
      </c>
      <c r="I592">
        <v>10.084167280467479</v>
      </c>
      <c r="J592">
        <v>10.043102618825539</v>
      </c>
      <c r="K592">
        <v>9.9987935247457607</v>
      </c>
      <c r="L592">
        <v>9.9868394494183086</v>
      </c>
      <c r="M592">
        <v>9.9529341221131027</v>
      </c>
      <c r="N592">
        <v>9.9076151613150625</v>
      </c>
      <c r="P592">
        <f t="shared" si="199"/>
        <v>227366.13321402436</v>
      </c>
      <c r="Q592">
        <f t="shared" si="200"/>
        <v>227105.01246476622</v>
      </c>
      <c r="R592">
        <f t="shared" si="201"/>
        <v>225453.66414237281</v>
      </c>
      <c r="S592">
        <f t="shared" si="202"/>
        <v>225398.76868254927</v>
      </c>
      <c r="T592">
        <f t="shared" si="203"/>
        <v>224113.02896339312</v>
      </c>
      <c r="U592">
        <f t="shared" si="204"/>
        <v>222668.86193945189</v>
      </c>
      <c r="V592">
        <f t="shared" si="178"/>
        <v>1</v>
      </c>
      <c r="W592">
        <f t="shared" si="179"/>
        <v>0</v>
      </c>
      <c r="X592">
        <f t="shared" si="180"/>
        <v>0</v>
      </c>
      <c r="Y592">
        <f t="shared" si="181"/>
        <v>0</v>
      </c>
      <c r="Z592">
        <f t="shared" si="182"/>
        <v>0</v>
      </c>
      <c r="AC592">
        <f t="shared" si="171"/>
        <v>227366.13321402436</v>
      </c>
      <c r="AD592">
        <f t="shared" si="172"/>
        <v>227105.01246476622</v>
      </c>
      <c r="AE592">
        <f t="shared" si="173"/>
        <v>225453.66414237281</v>
      </c>
      <c r="AF592">
        <f t="shared" si="174"/>
        <v>225398.76868254927</v>
      </c>
      <c r="AG592">
        <f t="shared" si="175"/>
        <v>224113.02896339312</v>
      </c>
      <c r="AH592">
        <f t="shared" si="176"/>
        <v>222668.86193945189</v>
      </c>
      <c r="AI592">
        <f t="shared" si="189"/>
        <v>227366.13321402436</v>
      </c>
    </row>
    <row r="593" spans="2:35" x14ac:dyDescent="0.3">
      <c r="B593">
        <v>550</v>
      </c>
      <c r="C593">
        <v>87478.652300000002</v>
      </c>
      <c r="D593">
        <v>86408.7258</v>
      </c>
      <c r="E593">
        <v>86478.685299999997</v>
      </c>
      <c r="F593">
        <v>86443.625499999995</v>
      </c>
      <c r="G593">
        <v>86537.535999999993</v>
      </c>
      <c r="H593">
        <v>86729.073300000004</v>
      </c>
      <c r="I593">
        <v>9.7764759602979652</v>
      </c>
      <c r="J593">
        <v>9.7592616742890002</v>
      </c>
      <c r="K593">
        <v>9.7446841914344589</v>
      </c>
      <c r="L593">
        <v>9.7362482204718628</v>
      </c>
      <c r="M593">
        <v>9.720224815309761</v>
      </c>
      <c r="N593">
        <v>9.7081839845943083</v>
      </c>
      <c r="P593">
        <f t="shared" si="199"/>
        <v>205815.62650893896</v>
      </c>
      <c r="Q593">
        <f t="shared" si="200"/>
        <v>206369.12442866998</v>
      </c>
      <c r="R593">
        <f t="shared" si="201"/>
        <v>205861.84044303373</v>
      </c>
      <c r="S593">
        <f t="shared" si="202"/>
        <v>205643.8211141559</v>
      </c>
      <c r="T593">
        <f t="shared" si="203"/>
        <v>205069.20845929286</v>
      </c>
      <c r="U593">
        <f t="shared" si="204"/>
        <v>204516.44623782928</v>
      </c>
      <c r="V593">
        <f t="shared" si="178"/>
        <v>0</v>
      </c>
      <c r="W593">
        <f t="shared" si="179"/>
        <v>1</v>
      </c>
      <c r="X593">
        <f t="shared" si="180"/>
        <v>0</v>
      </c>
      <c r="Y593">
        <f t="shared" si="181"/>
        <v>0</v>
      </c>
      <c r="Z593">
        <f t="shared" si="182"/>
        <v>0</v>
      </c>
      <c r="AA593">
        <f t="shared" ref="AA593" si="213">IF(MAX(P593:U593)=U593, 1, 0)</f>
        <v>0</v>
      </c>
      <c r="AC593">
        <f t="shared" si="171"/>
        <v>205815.62650893896</v>
      </c>
      <c r="AD593">
        <f t="shared" si="172"/>
        <v>206369.12442866998</v>
      </c>
      <c r="AE593">
        <f t="shared" si="173"/>
        <v>205861.84044303373</v>
      </c>
      <c r="AF593">
        <f t="shared" si="174"/>
        <v>205643.8211141559</v>
      </c>
      <c r="AG593">
        <f t="shared" si="175"/>
        <v>205069.20845929286</v>
      </c>
      <c r="AH593">
        <f t="shared" si="176"/>
        <v>204516.44623782928</v>
      </c>
      <c r="AI593">
        <f t="shared" si="189"/>
        <v>206369.12442866998</v>
      </c>
    </row>
    <row r="594" spans="2:35" x14ac:dyDescent="0.3">
      <c r="B594">
        <v>551</v>
      </c>
      <c r="C594">
        <v>73521.640799999994</v>
      </c>
      <c r="D594">
        <v>72494.0484</v>
      </c>
      <c r="E594">
        <v>72904.468999999997</v>
      </c>
      <c r="F594">
        <v>72704.383199999997</v>
      </c>
      <c r="G594">
        <v>73042.064400000003</v>
      </c>
      <c r="H594">
        <v>73246.876999999993</v>
      </c>
      <c r="I594">
        <v>10.488616728660691</v>
      </c>
      <c r="J594">
        <v>10.468818053481355</v>
      </c>
      <c r="K594">
        <v>10.446834711626023</v>
      </c>
      <c r="L594">
        <v>10.440553311891042</v>
      </c>
      <c r="M594">
        <v>10.430469629927584</v>
      </c>
      <c r="N594">
        <v>10.408555815632843</v>
      </c>
      <c r="P594">
        <f t="shared" si="199"/>
        <v>241136.86105982075</v>
      </c>
      <c r="Q594">
        <f t="shared" si="200"/>
        <v>241570.49320444066</v>
      </c>
      <c r="R594">
        <f t="shared" si="201"/>
        <v>240500.5723487807</v>
      </c>
      <c r="S594">
        <f t="shared" si="202"/>
        <v>240512.2161567313</v>
      </c>
      <c r="T594">
        <f t="shared" si="203"/>
        <v>239872.02449782754</v>
      </c>
      <c r="U594">
        <f t="shared" si="204"/>
        <v>239009.79746898531</v>
      </c>
      <c r="V594">
        <f t="shared" si="178"/>
        <v>0</v>
      </c>
      <c r="W594">
        <f t="shared" si="179"/>
        <v>1</v>
      </c>
      <c r="X594">
        <f t="shared" si="180"/>
        <v>0</v>
      </c>
      <c r="Y594">
        <f t="shared" si="181"/>
        <v>0</v>
      </c>
      <c r="Z594">
        <f t="shared" si="182"/>
        <v>0</v>
      </c>
      <c r="AC594">
        <f t="shared" si="171"/>
        <v>241136.86105982075</v>
      </c>
      <c r="AD594">
        <f t="shared" si="172"/>
        <v>241570.49320444066</v>
      </c>
      <c r="AE594">
        <f t="shared" si="173"/>
        <v>240500.5723487807</v>
      </c>
      <c r="AF594">
        <f t="shared" si="174"/>
        <v>240512.2161567313</v>
      </c>
      <c r="AG594">
        <f t="shared" si="175"/>
        <v>239872.02449782754</v>
      </c>
      <c r="AH594">
        <f t="shared" si="176"/>
        <v>239009.79746898531</v>
      </c>
      <c r="AI594">
        <f t="shared" si="189"/>
        <v>241570.49320444066</v>
      </c>
    </row>
    <row r="595" spans="2:35" x14ac:dyDescent="0.3">
      <c r="B595">
        <v>552</v>
      </c>
      <c r="C595">
        <v>78068.803</v>
      </c>
      <c r="D595">
        <v>77109.929099999994</v>
      </c>
      <c r="E595">
        <v>77497.459000000003</v>
      </c>
      <c r="F595">
        <v>77168.160600000003</v>
      </c>
      <c r="G595">
        <v>77355.118499999997</v>
      </c>
      <c r="H595">
        <v>77772.950500000006</v>
      </c>
      <c r="I595">
        <v>10.082172850461577</v>
      </c>
      <c r="J595">
        <v>10.071875920348109</v>
      </c>
      <c r="K595">
        <v>10.061109809352155</v>
      </c>
      <c r="L595">
        <v>10.057918164139492</v>
      </c>
      <c r="M595">
        <v>10.044439226007002</v>
      </c>
      <c r="N595">
        <v>10.037420280613341</v>
      </c>
      <c r="P595">
        <f t="shared" si="199"/>
        <v>224396.38251384726</v>
      </c>
      <c r="Q595">
        <f t="shared" si="200"/>
        <v>225046.34851044329</v>
      </c>
      <c r="R595">
        <f t="shared" si="201"/>
        <v>224335.83528056464</v>
      </c>
      <c r="S595">
        <f t="shared" si="202"/>
        <v>224569.38432418474</v>
      </c>
      <c r="T595">
        <f t="shared" si="203"/>
        <v>223978.05828021007</v>
      </c>
      <c r="U595">
        <f t="shared" si="204"/>
        <v>223349.65791840022</v>
      </c>
      <c r="V595">
        <f t="shared" si="178"/>
        <v>0</v>
      </c>
      <c r="W595">
        <f t="shared" si="179"/>
        <v>1</v>
      </c>
      <c r="X595">
        <f t="shared" si="180"/>
        <v>0</v>
      </c>
      <c r="Y595">
        <f t="shared" si="181"/>
        <v>0</v>
      </c>
      <c r="Z595">
        <f t="shared" si="182"/>
        <v>0</v>
      </c>
      <c r="AA595">
        <f t="shared" ref="AA595" si="214">IF(MAX(P595:U595)=U595, 1, 0)</f>
        <v>0</v>
      </c>
      <c r="AC595">
        <f t="shared" si="171"/>
        <v>224396.38251384726</v>
      </c>
      <c r="AD595">
        <f t="shared" si="172"/>
        <v>225046.34851044329</v>
      </c>
      <c r="AE595">
        <f t="shared" si="173"/>
        <v>224335.83528056464</v>
      </c>
      <c r="AF595">
        <f t="shared" si="174"/>
        <v>224569.38432418474</v>
      </c>
      <c r="AG595">
        <f t="shared" si="175"/>
        <v>223978.05828021007</v>
      </c>
      <c r="AH595">
        <f t="shared" si="176"/>
        <v>223349.65791840022</v>
      </c>
      <c r="AI595">
        <f t="shared" si="189"/>
        <v>225046.34851044329</v>
      </c>
    </row>
    <row r="596" spans="2:35" x14ac:dyDescent="0.3">
      <c r="B596">
        <v>553</v>
      </c>
      <c r="C596">
        <v>82463.026299999998</v>
      </c>
      <c r="D596">
        <v>81040.097099999999</v>
      </c>
      <c r="E596">
        <v>81004.330300000001</v>
      </c>
      <c r="F596">
        <v>80943.789199999999</v>
      </c>
      <c r="G596">
        <v>80897.075800000006</v>
      </c>
      <c r="H596">
        <v>80744.226699999999</v>
      </c>
      <c r="I596">
        <v>11.119335482399887</v>
      </c>
      <c r="J596">
        <v>11.056708495507332</v>
      </c>
      <c r="K596">
        <v>11.025907101597575</v>
      </c>
      <c r="L596">
        <v>11.006483762007063</v>
      </c>
      <c r="M596">
        <v>10.983579820518809</v>
      </c>
      <c r="N596">
        <v>10.930721600424812</v>
      </c>
      <c r="P596">
        <f t="shared" si="199"/>
        <v>251117.03817199662</v>
      </c>
      <c r="Q596">
        <f t="shared" si="200"/>
        <v>250661.15776521992</v>
      </c>
      <c r="R596">
        <f t="shared" si="201"/>
        <v>249772.88274792724</v>
      </c>
      <c r="S596">
        <f t="shared" si="202"/>
        <v>249250.72366021189</v>
      </c>
      <c r="T596">
        <f t="shared" si="203"/>
        <v>248610.31881556427</v>
      </c>
      <c r="U596">
        <f t="shared" si="204"/>
        <v>247177.42131274438</v>
      </c>
      <c r="V596">
        <f t="shared" si="178"/>
        <v>1</v>
      </c>
      <c r="W596">
        <f t="shared" si="179"/>
        <v>0</v>
      </c>
      <c r="X596">
        <f t="shared" si="180"/>
        <v>0</v>
      </c>
      <c r="Y596">
        <f t="shared" si="181"/>
        <v>0</v>
      </c>
      <c r="Z596">
        <f t="shared" si="182"/>
        <v>0</v>
      </c>
      <c r="AC596">
        <f t="shared" si="171"/>
        <v>251117.03817199662</v>
      </c>
      <c r="AD596">
        <f t="shared" si="172"/>
        <v>250661.15776521992</v>
      </c>
      <c r="AE596">
        <f t="shared" si="173"/>
        <v>249772.88274792724</v>
      </c>
      <c r="AF596">
        <f t="shared" si="174"/>
        <v>249250.72366021189</v>
      </c>
      <c r="AG596">
        <f t="shared" si="175"/>
        <v>248610.31881556427</v>
      </c>
      <c r="AH596">
        <f t="shared" si="176"/>
        <v>247177.42131274438</v>
      </c>
      <c r="AI596">
        <f t="shared" si="189"/>
        <v>251117.03817199662</v>
      </c>
    </row>
    <row r="597" spans="2:35" x14ac:dyDescent="0.3">
      <c r="B597">
        <v>554</v>
      </c>
      <c r="C597">
        <v>76210.939299999998</v>
      </c>
      <c r="D597">
        <v>75564.435800000007</v>
      </c>
      <c r="E597">
        <v>76176.426300000006</v>
      </c>
      <c r="F597">
        <v>76429.727100000004</v>
      </c>
      <c r="G597">
        <v>77021.202499999999</v>
      </c>
      <c r="H597">
        <v>77722.561000000002</v>
      </c>
      <c r="I597">
        <v>8.9510109431381348</v>
      </c>
      <c r="J597">
        <v>8.9270121905705526</v>
      </c>
      <c r="K597">
        <v>8.9102779102751821</v>
      </c>
      <c r="L597">
        <v>8.8978658443928484</v>
      </c>
      <c r="M597">
        <v>8.879202836208524</v>
      </c>
      <c r="N597">
        <v>8.8608650307942387</v>
      </c>
      <c r="P597">
        <f t="shared" si="199"/>
        <v>192319.38899414407</v>
      </c>
      <c r="Q597">
        <f t="shared" si="200"/>
        <v>192245.92991711656</v>
      </c>
      <c r="R597">
        <f t="shared" si="201"/>
        <v>191131.9110082555</v>
      </c>
      <c r="S597">
        <f t="shared" si="202"/>
        <v>190506.24823178543</v>
      </c>
      <c r="T597">
        <f t="shared" si="203"/>
        <v>189354.88258625573</v>
      </c>
      <c r="U597">
        <f t="shared" si="204"/>
        <v>188103.3899238272</v>
      </c>
      <c r="V597">
        <f t="shared" si="178"/>
        <v>1</v>
      </c>
      <c r="W597">
        <f t="shared" si="179"/>
        <v>0</v>
      </c>
      <c r="X597">
        <f t="shared" si="180"/>
        <v>0</v>
      </c>
      <c r="Y597">
        <f t="shared" si="181"/>
        <v>0</v>
      </c>
      <c r="Z597">
        <f t="shared" si="182"/>
        <v>0</v>
      </c>
      <c r="AA597">
        <f t="shared" ref="AA597" si="215">IF(MAX(P597:U597)=U597, 1, 0)</f>
        <v>0</v>
      </c>
      <c r="AC597">
        <f t="shared" si="171"/>
        <v>192319.38899414407</v>
      </c>
      <c r="AD597">
        <f t="shared" si="172"/>
        <v>192245.92991711656</v>
      </c>
      <c r="AE597">
        <f t="shared" si="173"/>
        <v>191131.9110082555</v>
      </c>
      <c r="AF597">
        <f t="shared" si="174"/>
        <v>190506.24823178543</v>
      </c>
      <c r="AG597">
        <f t="shared" si="175"/>
        <v>189354.88258625573</v>
      </c>
      <c r="AH597">
        <f t="shared" si="176"/>
        <v>188103.3899238272</v>
      </c>
      <c r="AI597">
        <f t="shared" si="189"/>
        <v>192319.38899414407</v>
      </c>
    </row>
    <row r="598" spans="2:35" x14ac:dyDescent="0.3">
      <c r="B598">
        <v>555</v>
      </c>
      <c r="C598">
        <v>78031.752999999997</v>
      </c>
      <c r="D598">
        <v>76343.514599999995</v>
      </c>
      <c r="E598">
        <v>76032.284499999994</v>
      </c>
      <c r="F598">
        <v>75682.521500000003</v>
      </c>
      <c r="G598">
        <v>75330.323799999998</v>
      </c>
      <c r="H598">
        <v>74885.150299999994</v>
      </c>
      <c r="I598">
        <v>9.9125166113069429</v>
      </c>
      <c r="J598">
        <v>9.8876621615489082</v>
      </c>
      <c r="K598">
        <v>9.8709558570820395</v>
      </c>
      <c r="L598">
        <v>9.8619666431677508</v>
      </c>
      <c r="M598">
        <v>9.8449111615263156</v>
      </c>
      <c r="N598">
        <v>9.8191270567980862</v>
      </c>
      <c r="P598">
        <f t="shared" si="199"/>
        <v>219343.74533920831</v>
      </c>
      <c r="Q598">
        <f t="shared" si="200"/>
        <v>220286.35024646728</v>
      </c>
      <c r="R598">
        <f t="shared" si="201"/>
        <v>220096.39121246117</v>
      </c>
      <c r="S598">
        <f t="shared" si="202"/>
        <v>220176.47779503252</v>
      </c>
      <c r="T598">
        <f t="shared" si="203"/>
        <v>220017.01104578946</v>
      </c>
      <c r="U598">
        <f t="shared" si="204"/>
        <v>219688.66140394262</v>
      </c>
      <c r="V598">
        <f t="shared" si="178"/>
        <v>0</v>
      </c>
      <c r="W598">
        <f t="shared" si="179"/>
        <v>1</v>
      </c>
      <c r="X598">
        <f t="shared" si="180"/>
        <v>0</v>
      </c>
      <c r="Y598">
        <f t="shared" si="181"/>
        <v>0</v>
      </c>
      <c r="Z598">
        <f t="shared" si="182"/>
        <v>0</v>
      </c>
      <c r="AC598">
        <f t="shared" si="171"/>
        <v>219343.74533920831</v>
      </c>
      <c r="AD598">
        <f t="shared" si="172"/>
        <v>220286.35024646728</v>
      </c>
      <c r="AE598">
        <f t="shared" si="173"/>
        <v>220096.39121246117</v>
      </c>
      <c r="AF598">
        <f t="shared" si="174"/>
        <v>220176.47779503252</v>
      </c>
      <c r="AG598">
        <f t="shared" si="175"/>
        <v>220017.01104578946</v>
      </c>
      <c r="AH598">
        <f t="shared" si="176"/>
        <v>219688.66140394262</v>
      </c>
      <c r="AI598">
        <f t="shared" si="189"/>
        <v>220286.35024646728</v>
      </c>
    </row>
    <row r="599" spans="2:35" x14ac:dyDescent="0.3">
      <c r="B599">
        <v>556</v>
      </c>
      <c r="C599">
        <v>70069.0772</v>
      </c>
      <c r="D599">
        <v>69110.585300000006</v>
      </c>
      <c r="E599">
        <v>69491.793799999999</v>
      </c>
      <c r="F599">
        <v>69364.888300000006</v>
      </c>
      <c r="G599">
        <v>69714.392600000006</v>
      </c>
      <c r="H599">
        <v>69916.493000000002</v>
      </c>
      <c r="I599">
        <v>8.6094002969568617</v>
      </c>
      <c r="J599">
        <v>8.5920740454371298</v>
      </c>
      <c r="K599">
        <v>8.5802188066715974</v>
      </c>
      <c r="L599">
        <v>8.5744750265213661</v>
      </c>
      <c r="M599">
        <v>8.5628219326449351</v>
      </c>
      <c r="N599">
        <v>8.5451286603664816</v>
      </c>
      <c r="P599">
        <f t="shared" si="199"/>
        <v>188212.93170870584</v>
      </c>
      <c r="Q599">
        <f t="shared" si="200"/>
        <v>188651.6360631139</v>
      </c>
      <c r="R599">
        <f t="shared" si="201"/>
        <v>187914.77040014794</v>
      </c>
      <c r="S599">
        <f t="shared" si="202"/>
        <v>187869.36249564099</v>
      </c>
      <c r="T599">
        <f t="shared" si="203"/>
        <v>187170.26537934807</v>
      </c>
      <c r="U599">
        <f t="shared" si="204"/>
        <v>186437.36681099446</v>
      </c>
      <c r="V599">
        <f t="shared" si="178"/>
        <v>0</v>
      </c>
      <c r="W599">
        <f t="shared" si="179"/>
        <v>1</v>
      </c>
      <c r="X599">
        <f t="shared" si="180"/>
        <v>0</v>
      </c>
      <c r="Y599">
        <f t="shared" si="181"/>
        <v>0</v>
      </c>
      <c r="Z599">
        <f t="shared" si="182"/>
        <v>0</v>
      </c>
      <c r="AA599">
        <f t="shared" ref="AA599" si="216">IF(MAX(P599:U599)=U599, 1, 0)</f>
        <v>0</v>
      </c>
      <c r="AC599">
        <f t="shared" si="171"/>
        <v>188212.93170870584</v>
      </c>
      <c r="AD599">
        <f t="shared" si="172"/>
        <v>188651.6360631139</v>
      </c>
      <c r="AE599">
        <f t="shared" si="173"/>
        <v>187914.77040014794</v>
      </c>
      <c r="AF599">
        <f t="shared" si="174"/>
        <v>187869.36249564099</v>
      </c>
      <c r="AG599">
        <f t="shared" si="175"/>
        <v>187170.26537934807</v>
      </c>
      <c r="AH599">
        <f t="shared" si="176"/>
        <v>186437.36681099446</v>
      </c>
      <c r="AI599">
        <f t="shared" si="189"/>
        <v>188651.6360631139</v>
      </c>
    </row>
    <row r="600" spans="2:35" x14ac:dyDescent="0.3">
      <c r="B600">
        <v>557</v>
      </c>
      <c r="C600">
        <v>73074.569900000002</v>
      </c>
      <c r="D600">
        <v>72503.465299999996</v>
      </c>
      <c r="E600">
        <v>73212.453500000003</v>
      </c>
      <c r="F600">
        <v>73126.739600000001</v>
      </c>
      <c r="G600">
        <v>73474.867599999998</v>
      </c>
      <c r="H600">
        <v>74345.696100000001</v>
      </c>
      <c r="I600">
        <v>10.753543567988778</v>
      </c>
      <c r="J600">
        <v>10.71919200523207</v>
      </c>
      <c r="K600">
        <v>10.700576313920486</v>
      </c>
      <c r="L600">
        <v>10.685187210194865</v>
      </c>
      <c r="M600">
        <v>10.664343852644857</v>
      </c>
      <c r="N600">
        <v>10.648812391163309</v>
      </c>
      <c r="P600">
        <f t="shared" si="199"/>
        <v>249531.73713966337</v>
      </c>
      <c r="Q600">
        <f t="shared" si="200"/>
        <v>249072.29485696211</v>
      </c>
      <c r="R600">
        <f t="shared" si="201"/>
        <v>247804.83591761458</v>
      </c>
      <c r="S600">
        <f t="shared" si="202"/>
        <v>247428.87670584596</v>
      </c>
      <c r="T600">
        <f t="shared" si="203"/>
        <v>246455.44797934568</v>
      </c>
      <c r="U600">
        <f t="shared" si="204"/>
        <v>245118.67563489929</v>
      </c>
      <c r="V600">
        <f t="shared" si="178"/>
        <v>1</v>
      </c>
      <c r="W600">
        <f t="shared" si="179"/>
        <v>0</v>
      </c>
      <c r="X600">
        <f t="shared" si="180"/>
        <v>0</v>
      </c>
      <c r="Y600">
        <f t="shared" si="181"/>
        <v>0</v>
      </c>
      <c r="Z600">
        <f t="shared" si="182"/>
        <v>0</v>
      </c>
      <c r="AC600">
        <f t="shared" si="171"/>
        <v>249531.73713966337</v>
      </c>
      <c r="AD600">
        <f t="shared" si="172"/>
        <v>249072.29485696211</v>
      </c>
      <c r="AE600">
        <f t="shared" si="173"/>
        <v>247804.83591761458</v>
      </c>
      <c r="AF600">
        <f t="shared" si="174"/>
        <v>247428.87670584596</v>
      </c>
      <c r="AG600">
        <f t="shared" si="175"/>
        <v>246455.44797934568</v>
      </c>
      <c r="AH600">
        <f t="shared" si="176"/>
        <v>245118.67563489929</v>
      </c>
      <c r="AI600">
        <f t="shared" si="189"/>
        <v>249531.73713966337</v>
      </c>
    </row>
    <row r="601" spans="2:35" x14ac:dyDescent="0.3">
      <c r="B601">
        <v>558</v>
      </c>
      <c r="C601">
        <v>86913.043099999995</v>
      </c>
      <c r="D601">
        <v>86593.825200000007</v>
      </c>
      <c r="E601">
        <v>87148.095700000005</v>
      </c>
      <c r="F601">
        <v>87250.710600000006</v>
      </c>
      <c r="G601">
        <v>87955.3125</v>
      </c>
      <c r="H601">
        <v>88637.727700000003</v>
      </c>
      <c r="I601">
        <v>11.87840084670408</v>
      </c>
      <c r="J601">
        <v>11.853713664726746</v>
      </c>
      <c r="K601">
        <v>11.840718267993317</v>
      </c>
      <c r="L601">
        <v>11.831230465841729</v>
      </c>
      <c r="M601">
        <v>11.814869504371904</v>
      </c>
      <c r="N601">
        <v>11.796088067910725</v>
      </c>
      <c r="P601">
        <f t="shared" si="199"/>
        <v>269438.98230112239</v>
      </c>
      <c r="Q601">
        <f t="shared" si="200"/>
        <v>269017.58474180236</v>
      </c>
      <c r="R601">
        <f t="shared" si="201"/>
        <v>268073.45233979949</v>
      </c>
      <c r="S601">
        <f t="shared" si="202"/>
        <v>267686.20337525191</v>
      </c>
      <c r="T601">
        <f t="shared" si="203"/>
        <v>266490.77263115713</v>
      </c>
      <c r="U601">
        <f t="shared" si="204"/>
        <v>265244.91433732177</v>
      </c>
      <c r="V601">
        <f t="shared" si="178"/>
        <v>1</v>
      </c>
      <c r="W601">
        <f t="shared" si="179"/>
        <v>0</v>
      </c>
      <c r="X601">
        <f t="shared" si="180"/>
        <v>0</v>
      </c>
      <c r="Y601">
        <f t="shared" si="181"/>
        <v>0</v>
      </c>
      <c r="Z601">
        <f t="shared" si="182"/>
        <v>0</v>
      </c>
      <c r="AA601">
        <f t="shared" ref="AA601" si="217">IF(MAX(P601:U601)=U601, 1, 0)</f>
        <v>0</v>
      </c>
      <c r="AC601">
        <f t="shared" si="171"/>
        <v>269438.98230112239</v>
      </c>
      <c r="AD601">
        <f t="shared" si="172"/>
        <v>269017.58474180236</v>
      </c>
      <c r="AE601">
        <f t="shared" si="173"/>
        <v>268073.45233979949</v>
      </c>
      <c r="AF601">
        <f t="shared" si="174"/>
        <v>267686.20337525191</v>
      </c>
      <c r="AG601">
        <f t="shared" si="175"/>
        <v>266490.77263115713</v>
      </c>
      <c r="AH601">
        <f t="shared" si="176"/>
        <v>265244.91433732177</v>
      </c>
      <c r="AI601">
        <f t="shared" si="189"/>
        <v>269438.98230112239</v>
      </c>
    </row>
    <row r="602" spans="2:35" x14ac:dyDescent="0.3">
      <c r="B602">
        <v>559</v>
      </c>
      <c r="C602">
        <v>70161.322899999999</v>
      </c>
      <c r="D602">
        <v>69226.547399999996</v>
      </c>
      <c r="E602">
        <v>69458.2549</v>
      </c>
      <c r="F602">
        <v>69095.900999999998</v>
      </c>
      <c r="G602">
        <v>69551.247199999998</v>
      </c>
      <c r="H602">
        <v>69714.497600000002</v>
      </c>
      <c r="I602">
        <v>12.166182331337307</v>
      </c>
      <c r="J602">
        <v>12.135606769526351</v>
      </c>
      <c r="K602">
        <v>12.117829596698058</v>
      </c>
      <c r="L602">
        <v>12.112692235960095</v>
      </c>
      <c r="M602">
        <v>12.091392062365264</v>
      </c>
      <c r="N602">
        <v>12.061495603594087</v>
      </c>
      <c r="P602">
        <f t="shared" si="199"/>
        <v>294824.14704011916</v>
      </c>
      <c r="Q602">
        <f t="shared" si="200"/>
        <v>294841.65568579058</v>
      </c>
      <c r="R602">
        <f t="shared" si="201"/>
        <v>294076.63300094177</v>
      </c>
      <c r="S602">
        <f t="shared" si="202"/>
        <v>294284.86607880285</v>
      </c>
      <c r="T602">
        <f t="shared" si="203"/>
        <v>293190.51467095793</v>
      </c>
      <c r="U602">
        <f t="shared" si="204"/>
        <v>292130.3705078226</v>
      </c>
      <c r="V602">
        <f t="shared" si="178"/>
        <v>0</v>
      </c>
      <c r="W602">
        <f t="shared" si="179"/>
        <v>1</v>
      </c>
      <c r="X602">
        <f t="shared" si="180"/>
        <v>0</v>
      </c>
      <c r="Y602">
        <f t="shared" si="181"/>
        <v>0</v>
      </c>
      <c r="Z602">
        <f t="shared" si="182"/>
        <v>0</v>
      </c>
      <c r="AC602">
        <f t="shared" si="171"/>
        <v>294824.14704011916</v>
      </c>
      <c r="AD602">
        <f t="shared" si="172"/>
        <v>294841.65568579058</v>
      </c>
      <c r="AE602">
        <f t="shared" si="173"/>
        <v>294076.63300094177</v>
      </c>
      <c r="AF602">
        <f t="shared" si="174"/>
        <v>294284.86607880285</v>
      </c>
      <c r="AG602">
        <f t="shared" si="175"/>
        <v>293190.51467095793</v>
      </c>
      <c r="AH602">
        <f t="shared" si="176"/>
        <v>292130.3705078226</v>
      </c>
      <c r="AI602">
        <f t="shared" si="189"/>
        <v>294841.65568579058</v>
      </c>
    </row>
    <row r="603" spans="2:35" x14ac:dyDescent="0.3">
      <c r="B603">
        <v>560</v>
      </c>
      <c r="C603">
        <v>86323.034299999999</v>
      </c>
      <c r="D603">
        <v>85037.918000000005</v>
      </c>
      <c r="E603">
        <v>85104.936000000002</v>
      </c>
      <c r="F603">
        <v>84869.1299</v>
      </c>
      <c r="G603">
        <v>84592.367100000003</v>
      </c>
      <c r="H603">
        <v>84799.116500000004</v>
      </c>
      <c r="I603">
        <v>9.2468895451360282</v>
      </c>
      <c r="J603">
        <v>9.2109528482090379</v>
      </c>
      <c r="K603">
        <v>9.1782574626846678</v>
      </c>
      <c r="L603">
        <v>9.1717014322645607</v>
      </c>
      <c r="M603">
        <v>9.1294215183299112</v>
      </c>
      <c r="N603">
        <v>9.1043836647318237</v>
      </c>
      <c r="P603">
        <f t="shared" si="199"/>
        <v>191083.65205408086</v>
      </c>
      <c r="Q603">
        <f t="shared" si="200"/>
        <v>191290.66744627111</v>
      </c>
      <c r="R603">
        <f t="shared" si="201"/>
        <v>190242.78788054007</v>
      </c>
      <c r="S603">
        <f t="shared" si="202"/>
        <v>190281.91306793684</v>
      </c>
      <c r="T603">
        <f t="shared" si="203"/>
        <v>189290.27844989733</v>
      </c>
      <c r="U603">
        <f t="shared" si="204"/>
        <v>188332.39344195469</v>
      </c>
      <c r="V603">
        <f t="shared" si="178"/>
        <v>0</v>
      </c>
      <c r="W603">
        <f t="shared" si="179"/>
        <v>1</v>
      </c>
      <c r="X603">
        <f t="shared" si="180"/>
        <v>0</v>
      </c>
      <c r="Y603">
        <f t="shared" si="181"/>
        <v>0</v>
      </c>
      <c r="Z603">
        <f t="shared" si="182"/>
        <v>0</v>
      </c>
      <c r="AA603">
        <f t="shared" ref="AA603" si="218">IF(MAX(P603:U603)=U603, 1, 0)</f>
        <v>0</v>
      </c>
      <c r="AC603">
        <f t="shared" si="171"/>
        <v>191083.65205408086</v>
      </c>
      <c r="AD603">
        <f t="shared" si="172"/>
        <v>191290.66744627111</v>
      </c>
      <c r="AE603">
        <f t="shared" si="173"/>
        <v>190242.78788054007</v>
      </c>
      <c r="AF603">
        <f t="shared" si="174"/>
        <v>190281.91306793684</v>
      </c>
      <c r="AG603">
        <f t="shared" si="175"/>
        <v>189290.27844989733</v>
      </c>
      <c r="AH603">
        <f t="shared" si="176"/>
        <v>188332.39344195469</v>
      </c>
      <c r="AI603">
        <f t="shared" si="189"/>
        <v>191290.66744627111</v>
      </c>
    </row>
    <row r="604" spans="2:35" x14ac:dyDescent="0.3">
      <c r="B604">
        <v>561</v>
      </c>
      <c r="C604">
        <v>82707.973599999998</v>
      </c>
      <c r="D604">
        <v>80533.91</v>
      </c>
      <c r="E604">
        <v>79687.903900000005</v>
      </c>
      <c r="F604">
        <v>79493.151199999993</v>
      </c>
      <c r="G604">
        <v>78472.299899999998</v>
      </c>
      <c r="H604">
        <v>77759.863100000002</v>
      </c>
      <c r="I604">
        <v>9.6873669512194187</v>
      </c>
      <c r="J604">
        <v>9.658621637117502</v>
      </c>
      <c r="K604">
        <v>9.635057192961618</v>
      </c>
      <c r="L604">
        <v>9.6334352315825527</v>
      </c>
      <c r="M604">
        <v>9.6034891219074812</v>
      </c>
      <c r="N604">
        <v>9.5802324612290839</v>
      </c>
      <c r="P604">
        <f t="shared" si="199"/>
        <v>207913.03493658258</v>
      </c>
      <c r="Q604">
        <f t="shared" si="200"/>
        <v>209224.73911352505</v>
      </c>
      <c r="R604">
        <f t="shared" si="201"/>
        <v>209363.81188884852</v>
      </c>
      <c r="S604">
        <f t="shared" si="202"/>
        <v>209509.90574747659</v>
      </c>
      <c r="T604">
        <f t="shared" si="203"/>
        <v>209632.37375722447</v>
      </c>
      <c r="U604">
        <f t="shared" si="204"/>
        <v>209647.11073687248</v>
      </c>
      <c r="V604">
        <f t="shared" si="178"/>
        <v>0</v>
      </c>
      <c r="W604">
        <f t="shared" si="179"/>
        <v>0</v>
      </c>
      <c r="X604">
        <f t="shared" si="180"/>
        <v>0</v>
      </c>
      <c r="Y604">
        <f t="shared" si="181"/>
        <v>0</v>
      </c>
      <c r="Z604">
        <f t="shared" si="182"/>
        <v>0</v>
      </c>
      <c r="AC604">
        <f t="shared" si="171"/>
        <v>207913.03493658258</v>
      </c>
      <c r="AD604">
        <f t="shared" si="172"/>
        <v>209224.73911352505</v>
      </c>
      <c r="AE604">
        <f t="shared" si="173"/>
        <v>209363.81188884852</v>
      </c>
      <c r="AF604">
        <f t="shared" si="174"/>
        <v>209509.90574747659</v>
      </c>
      <c r="AG604">
        <f t="shared" si="175"/>
        <v>209632.37375722447</v>
      </c>
      <c r="AH604">
        <f t="shared" si="176"/>
        <v>209647.11073687248</v>
      </c>
      <c r="AI604">
        <f t="shared" si="189"/>
        <v>209647.11073687248</v>
      </c>
    </row>
    <row r="605" spans="2:35" x14ac:dyDescent="0.3">
      <c r="B605">
        <v>562</v>
      </c>
      <c r="C605">
        <v>70045.165599999993</v>
      </c>
      <c r="D605">
        <v>69391.813899999994</v>
      </c>
      <c r="E605">
        <v>69759.518100000001</v>
      </c>
      <c r="F605">
        <v>69695.445699999997</v>
      </c>
      <c r="G605">
        <v>70166.580600000001</v>
      </c>
      <c r="H605">
        <v>70619.571599999996</v>
      </c>
      <c r="I605">
        <v>10.503755238022158</v>
      </c>
      <c r="J605">
        <v>10.466853678088819</v>
      </c>
      <c r="K605">
        <v>10.45007324994034</v>
      </c>
      <c r="L605">
        <v>10.437676502347799</v>
      </c>
      <c r="M605">
        <v>10.408355834160931</v>
      </c>
      <c r="N605">
        <v>10.382495761482984</v>
      </c>
      <c r="P605">
        <f t="shared" si="199"/>
        <v>245067.49154066475</v>
      </c>
      <c r="Q605">
        <f t="shared" si="200"/>
        <v>244613.79644266458</v>
      </c>
      <c r="R605">
        <f t="shared" si="201"/>
        <v>243742.6793982102</v>
      </c>
      <c r="S605">
        <f t="shared" si="202"/>
        <v>243434.84937043395</v>
      </c>
      <c r="T605">
        <f t="shared" si="203"/>
        <v>242084.09442482796</v>
      </c>
      <c r="U605">
        <f t="shared" si="204"/>
        <v>240855.30124448953</v>
      </c>
      <c r="V605">
        <f t="shared" si="178"/>
        <v>1</v>
      </c>
      <c r="W605">
        <f t="shared" si="179"/>
        <v>0</v>
      </c>
      <c r="X605">
        <f t="shared" si="180"/>
        <v>0</v>
      </c>
      <c r="Y605">
        <f t="shared" si="181"/>
        <v>0</v>
      </c>
      <c r="Z605">
        <f t="shared" si="182"/>
        <v>0</v>
      </c>
      <c r="AA605">
        <f t="shared" ref="AA605" si="219">IF(MAX(P605:U605)=U605, 1, 0)</f>
        <v>0</v>
      </c>
      <c r="AC605">
        <f t="shared" si="171"/>
        <v>245067.49154066475</v>
      </c>
      <c r="AD605">
        <f t="shared" si="172"/>
        <v>244613.79644266458</v>
      </c>
      <c r="AE605">
        <f t="shared" si="173"/>
        <v>243742.6793982102</v>
      </c>
      <c r="AF605">
        <f t="shared" si="174"/>
        <v>243434.84937043395</v>
      </c>
      <c r="AG605">
        <f t="shared" si="175"/>
        <v>242084.09442482796</v>
      </c>
      <c r="AH605">
        <f t="shared" si="176"/>
        <v>240855.30124448953</v>
      </c>
      <c r="AI605">
        <f t="shared" si="189"/>
        <v>245067.49154066475</v>
      </c>
    </row>
    <row r="606" spans="2:35" x14ac:dyDescent="0.3">
      <c r="B606">
        <v>563</v>
      </c>
      <c r="C606">
        <v>88474.223599999998</v>
      </c>
      <c r="D606">
        <v>87878.364000000001</v>
      </c>
      <c r="E606">
        <v>88579.9035</v>
      </c>
      <c r="F606">
        <v>88472.091799999995</v>
      </c>
      <c r="G606">
        <v>89136.972299999994</v>
      </c>
      <c r="H606">
        <v>89680.924199999994</v>
      </c>
      <c r="I606">
        <v>10.706433991425406</v>
      </c>
      <c r="J606">
        <v>10.68117163181202</v>
      </c>
      <c r="K606">
        <v>10.657846697071987</v>
      </c>
      <c r="L606">
        <v>10.648131640679271</v>
      </c>
      <c r="M606">
        <v>10.629854713360173</v>
      </c>
      <c r="N606">
        <v>10.607856383512898</v>
      </c>
      <c r="P606">
        <f t="shared" si="199"/>
        <v>232718.79614276221</v>
      </c>
      <c r="Q606">
        <f t="shared" si="200"/>
        <v>232556.78495436063</v>
      </c>
      <c r="R606">
        <f t="shared" si="201"/>
        <v>231155.49741215957</v>
      </c>
      <c r="S606">
        <f t="shared" si="202"/>
        <v>230971.85742037813</v>
      </c>
      <c r="T606">
        <f t="shared" si="203"/>
        <v>229758.66910080516</v>
      </c>
      <c r="U606">
        <f t="shared" si="204"/>
        <v>228554.76730538695</v>
      </c>
      <c r="V606">
        <f t="shared" si="178"/>
        <v>1</v>
      </c>
      <c r="W606">
        <f t="shared" si="179"/>
        <v>0</v>
      </c>
      <c r="X606">
        <f t="shared" si="180"/>
        <v>0</v>
      </c>
      <c r="Y606">
        <f t="shared" si="181"/>
        <v>0</v>
      </c>
      <c r="Z606">
        <f t="shared" si="182"/>
        <v>0</v>
      </c>
      <c r="AC606">
        <f t="shared" si="171"/>
        <v>232718.79614276221</v>
      </c>
      <c r="AD606">
        <f t="shared" si="172"/>
        <v>232556.78495436063</v>
      </c>
      <c r="AE606">
        <f t="shared" si="173"/>
        <v>231155.49741215957</v>
      </c>
      <c r="AF606">
        <f t="shared" si="174"/>
        <v>230971.85742037813</v>
      </c>
      <c r="AG606">
        <f t="shared" si="175"/>
        <v>229758.66910080516</v>
      </c>
      <c r="AH606">
        <f t="shared" si="176"/>
        <v>228554.76730538695</v>
      </c>
      <c r="AI606">
        <f t="shared" si="189"/>
        <v>232718.79614276221</v>
      </c>
    </row>
    <row r="607" spans="2:35" x14ac:dyDescent="0.3">
      <c r="B607">
        <v>564</v>
      </c>
      <c r="C607">
        <v>84612.911999999997</v>
      </c>
      <c r="D607">
        <v>83410.674100000004</v>
      </c>
      <c r="E607">
        <v>83481.101299999995</v>
      </c>
      <c r="F607">
        <v>83288.767900000006</v>
      </c>
      <c r="G607">
        <v>83321.400999999998</v>
      </c>
      <c r="H607">
        <v>83502.753599999996</v>
      </c>
      <c r="I607">
        <v>11.331582046087053</v>
      </c>
      <c r="J607">
        <v>11.293414249186878</v>
      </c>
      <c r="K607">
        <v>11.245539396341972</v>
      </c>
      <c r="L607">
        <v>11.23322940277799</v>
      </c>
      <c r="M607">
        <v>11.204854539652223</v>
      </c>
      <c r="N607">
        <v>11.165970948488624</v>
      </c>
      <c r="P607">
        <f t="shared" si="199"/>
        <v>255334.54938261159</v>
      </c>
      <c r="Q607">
        <f t="shared" si="200"/>
        <v>255391.75337560632</v>
      </c>
      <c r="R607">
        <f t="shared" si="201"/>
        <v>253885.08059025917</v>
      </c>
      <c r="S607">
        <f t="shared" si="202"/>
        <v>253708.11418333973</v>
      </c>
      <c r="T607">
        <f t="shared" si="203"/>
        <v>252824.23518956668</v>
      </c>
      <c r="U607">
        <f t="shared" si="204"/>
        <v>251476.37485465873</v>
      </c>
      <c r="V607">
        <f t="shared" si="178"/>
        <v>0</v>
      </c>
      <c r="W607">
        <f t="shared" si="179"/>
        <v>1</v>
      </c>
      <c r="X607">
        <f t="shared" si="180"/>
        <v>0</v>
      </c>
      <c r="Y607">
        <f t="shared" si="181"/>
        <v>0</v>
      </c>
      <c r="Z607">
        <f t="shared" si="182"/>
        <v>0</v>
      </c>
      <c r="AA607">
        <f t="shared" ref="AA607" si="220">IF(MAX(P607:U607)=U607, 1, 0)</f>
        <v>0</v>
      </c>
      <c r="AC607">
        <f t="shared" si="171"/>
        <v>255334.54938261159</v>
      </c>
      <c r="AD607">
        <f t="shared" si="172"/>
        <v>255391.75337560632</v>
      </c>
      <c r="AE607">
        <f t="shared" si="173"/>
        <v>253885.08059025917</v>
      </c>
      <c r="AF607">
        <f t="shared" si="174"/>
        <v>253708.11418333973</v>
      </c>
      <c r="AG607">
        <f t="shared" si="175"/>
        <v>252824.23518956668</v>
      </c>
      <c r="AH607">
        <f t="shared" si="176"/>
        <v>251476.37485465873</v>
      </c>
      <c r="AI607">
        <f t="shared" si="189"/>
        <v>255391.75337560632</v>
      </c>
    </row>
    <row r="608" spans="2:35" x14ac:dyDescent="0.3">
      <c r="B608">
        <v>565</v>
      </c>
      <c r="C608">
        <v>91190.902900000001</v>
      </c>
      <c r="D608">
        <v>90877.286099999998</v>
      </c>
      <c r="E608">
        <v>91690.012499999997</v>
      </c>
      <c r="F608">
        <v>91773.028999999995</v>
      </c>
      <c r="G608">
        <v>92460.115099999995</v>
      </c>
      <c r="H608">
        <v>93388.870500000005</v>
      </c>
      <c r="I608">
        <v>9.5869419123294488</v>
      </c>
      <c r="J608">
        <v>9.5613852915556308</v>
      </c>
      <c r="K608">
        <v>9.53955862716764</v>
      </c>
      <c r="L608">
        <v>9.5278664458914779</v>
      </c>
      <c r="M608">
        <v>9.5045050343156809</v>
      </c>
      <c r="N608">
        <v>9.483955586438487</v>
      </c>
      <c r="P608">
        <f t="shared" si="199"/>
        <v>196417.35446988349</v>
      </c>
      <c r="Q608">
        <f t="shared" si="200"/>
        <v>195964.27264666892</v>
      </c>
      <c r="R608">
        <f t="shared" si="201"/>
        <v>194496.74631502922</v>
      </c>
      <c r="S608">
        <f t="shared" si="202"/>
        <v>194062.96437674435</v>
      </c>
      <c r="T608">
        <f t="shared" si="203"/>
        <v>192675.03592947044</v>
      </c>
      <c r="U608">
        <f t="shared" si="204"/>
        <v>191129.79709315457</v>
      </c>
      <c r="V608">
        <f t="shared" si="178"/>
        <v>1</v>
      </c>
      <c r="W608">
        <f t="shared" si="179"/>
        <v>0</v>
      </c>
      <c r="X608">
        <f t="shared" si="180"/>
        <v>0</v>
      </c>
      <c r="Y608">
        <f t="shared" si="181"/>
        <v>0</v>
      </c>
      <c r="Z608">
        <f t="shared" si="182"/>
        <v>0</v>
      </c>
      <c r="AC608">
        <f t="shared" ref="AC608:AC671" si="221">Threshold*I608-C608</f>
        <v>196417.35446988349</v>
      </c>
      <c r="AD608">
        <f t="shared" ref="AD608:AD671" si="222">Threshold*J608-D608</f>
        <v>195964.27264666892</v>
      </c>
      <c r="AE608">
        <f t="shared" ref="AE608:AE671" si="223">Threshold*K608-E608</f>
        <v>194496.74631502922</v>
      </c>
      <c r="AF608">
        <f t="shared" ref="AF608:AF671" si="224">Threshold*L608-F608</f>
        <v>194062.96437674435</v>
      </c>
      <c r="AG608">
        <f t="shared" ref="AG608:AG671" si="225">Threshold*M608-G608</f>
        <v>192675.03592947044</v>
      </c>
      <c r="AH608">
        <f t="shared" ref="AH608:AH671" si="226">Threshold*N608-H608</f>
        <v>191129.79709315457</v>
      </c>
      <c r="AI608">
        <f t="shared" si="189"/>
        <v>196417.35446988349</v>
      </c>
    </row>
    <row r="609" spans="2:35" x14ac:dyDescent="0.3">
      <c r="B609">
        <v>566</v>
      </c>
      <c r="C609">
        <v>75705.010999999999</v>
      </c>
      <c r="D609">
        <v>74622.922500000001</v>
      </c>
      <c r="E609">
        <v>74595.537599999996</v>
      </c>
      <c r="F609">
        <v>74272.497900000002</v>
      </c>
      <c r="G609">
        <v>74490.534499999994</v>
      </c>
      <c r="H609">
        <v>74325.478199999998</v>
      </c>
      <c r="I609">
        <v>11.899630888681427</v>
      </c>
      <c r="J609">
        <v>11.843867718027742</v>
      </c>
      <c r="K609">
        <v>11.803453266835907</v>
      </c>
      <c r="L609">
        <v>11.795435064028881</v>
      </c>
      <c r="M609">
        <v>11.741202141296014</v>
      </c>
      <c r="N609">
        <v>11.689700441239573</v>
      </c>
      <c r="P609">
        <f t="shared" si="199"/>
        <v>281283.91566044284</v>
      </c>
      <c r="Q609">
        <f t="shared" si="200"/>
        <v>280693.10904083226</v>
      </c>
      <c r="R609">
        <f t="shared" si="201"/>
        <v>279508.06040507724</v>
      </c>
      <c r="S609">
        <f t="shared" si="202"/>
        <v>279590.5540208664</v>
      </c>
      <c r="T609">
        <f t="shared" si="203"/>
        <v>277745.5297388804</v>
      </c>
      <c r="U609">
        <f t="shared" si="204"/>
        <v>276365.53503718716</v>
      </c>
      <c r="V609">
        <f t="shared" si="178"/>
        <v>1</v>
      </c>
      <c r="W609">
        <f t="shared" si="179"/>
        <v>0</v>
      </c>
      <c r="X609">
        <f t="shared" si="180"/>
        <v>0</v>
      </c>
      <c r="Y609">
        <f t="shared" si="181"/>
        <v>0</v>
      </c>
      <c r="Z609">
        <f t="shared" si="182"/>
        <v>0</v>
      </c>
      <c r="AA609">
        <f t="shared" ref="AA609" si="227">IF(MAX(P609:U609)=U609, 1, 0)</f>
        <v>0</v>
      </c>
      <c r="AC609">
        <f t="shared" si="221"/>
        <v>281283.91566044284</v>
      </c>
      <c r="AD609">
        <f t="shared" si="222"/>
        <v>280693.10904083226</v>
      </c>
      <c r="AE609">
        <f t="shared" si="223"/>
        <v>279508.06040507724</v>
      </c>
      <c r="AF609">
        <f t="shared" si="224"/>
        <v>279590.5540208664</v>
      </c>
      <c r="AG609">
        <f t="shared" si="225"/>
        <v>277745.5297388804</v>
      </c>
      <c r="AH609">
        <f t="shared" si="226"/>
        <v>276365.53503718716</v>
      </c>
      <c r="AI609">
        <f t="shared" si="189"/>
        <v>281283.91566044284</v>
      </c>
    </row>
    <row r="610" spans="2:35" x14ac:dyDescent="0.3">
      <c r="B610">
        <v>567</v>
      </c>
      <c r="C610">
        <v>83412.358600000007</v>
      </c>
      <c r="D610">
        <v>82549.299100000004</v>
      </c>
      <c r="E610">
        <v>82963.795499999993</v>
      </c>
      <c r="F610">
        <v>82843.477499999994</v>
      </c>
      <c r="G610">
        <v>83160.905299999999</v>
      </c>
      <c r="H610">
        <v>83645.205000000002</v>
      </c>
      <c r="I610">
        <v>9.8129031263324951</v>
      </c>
      <c r="J610">
        <v>9.7748861740396613</v>
      </c>
      <c r="K610">
        <v>9.745197267485322</v>
      </c>
      <c r="L610">
        <v>9.7362666411460701</v>
      </c>
      <c r="M610">
        <v>9.704304315637275</v>
      </c>
      <c r="N610">
        <v>9.6745275539326254</v>
      </c>
      <c r="P610">
        <f t="shared" si="199"/>
        <v>210974.73518997486</v>
      </c>
      <c r="Q610">
        <f t="shared" si="200"/>
        <v>210697.28612118983</v>
      </c>
      <c r="R610">
        <f t="shared" si="201"/>
        <v>209392.12252455967</v>
      </c>
      <c r="S610">
        <f t="shared" si="202"/>
        <v>209244.52173438214</v>
      </c>
      <c r="T610">
        <f t="shared" si="203"/>
        <v>207968.22416911827</v>
      </c>
      <c r="U610">
        <f t="shared" si="204"/>
        <v>206590.62161797873</v>
      </c>
      <c r="V610">
        <f t="shared" ref="V610:V673" si="228">IF(MAX(P610:U610)=P610, 1, 0)</f>
        <v>1</v>
      </c>
      <c r="W610">
        <f t="shared" ref="W610:W673" si="229">IF(MAX(P610:U610)=Q610, 1, 0)</f>
        <v>0</v>
      </c>
      <c r="X610">
        <f t="shared" ref="X610:X673" si="230">IF(MAX(P610:U610)=R610, 1, 0)</f>
        <v>0</v>
      </c>
      <c r="Y610">
        <f t="shared" ref="Y610:Y673" si="231">IF(MAX(P610:U610)=S610, 1, 0)</f>
        <v>0</v>
      </c>
      <c r="Z610">
        <f t="shared" ref="Z610:Z673" si="232">IF(MAX(P610:U610)=T610, 1, 0)</f>
        <v>0</v>
      </c>
      <c r="AC610">
        <f t="shared" si="221"/>
        <v>210974.73518997486</v>
      </c>
      <c r="AD610">
        <f t="shared" si="222"/>
        <v>210697.28612118983</v>
      </c>
      <c r="AE610">
        <f t="shared" si="223"/>
        <v>209392.12252455967</v>
      </c>
      <c r="AF610">
        <f t="shared" si="224"/>
        <v>209244.52173438214</v>
      </c>
      <c r="AG610">
        <f t="shared" si="225"/>
        <v>207968.22416911827</v>
      </c>
      <c r="AH610">
        <f t="shared" si="226"/>
        <v>206590.62161797873</v>
      </c>
      <c r="AI610">
        <f t="shared" si="189"/>
        <v>210974.73518997486</v>
      </c>
    </row>
    <row r="611" spans="2:35" x14ac:dyDescent="0.3">
      <c r="B611">
        <v>568</v>
      </c>
      <c r="C611">
        <v>73549.585800000001</v>
      </c>
      <c r="D611">
        <v>71903.787700000001</v>
      </c>
      <c r="E611">
        <v>71402.771399999998</v>
      </c>
      <c r="F611">
        <v>71090.340500000006</v>
      </c>
      <c r="G611">
        <v>70824.743600000002</v>
      </c>
      <c r="H611">
        <v>70513.150599999994</v>
      </c>
      <c r="I611">
        <v>10.261579762138554</v>
      </c>
      <c r="J611">
        <v>10.251938973668217</v>
      </c>
      <c r="K611">
        <v>10.241466614230671</v>
      </c>
      <c r="L611">
        <v>10.237966949727699</v>
      </c>
      <c r="M611">
        <v>10.23062253442985</v>
      </c>
      <c r="N611">
        <v>10.22137459554618</v>
      </c>
      <c r="P611">
        <f t="shared" si="199"/>
        <v>234297.80706415663</v>
      </c>
      <c r="Q611">
        <f t="shared" si="200"/>
        <v>235654.38151004654</v>
      </c>
      <c r="R611">
        <f t="shared" si="201"/>
        <v>235841.2270269201</v>
      </c>
      <c r="S611">
        <f t="shared" si="202"/>
        <v>236048.66799183097</v>
      </c>
      <c r="T611">
        <f t="shared" si="203"/>
        <v>236093.93243289553</v>
      </c>
      <c r="U611">
        <f t="shared" si="204"/>
        <v>236128.08726638544</v>
      </c>
      <c r="V611">
        <f t="shared" si="228"/>
        <v>0</v>
      </c>
      <c r="W611">
        <f t="shared" si="229"/>
        <v>0</v>
      </c>
      <c r="X611">
        <f t="shared" si="230"/>
        <v>0</v>
      </c>
      <c r="Y611">
        <f t="shared" si="231"/>
        <v>0</v>
      </c>
      <c r="Z611">
        <f t="shared" si="232"/>
        <v>0</v>
      </c>
      <c r="AA611">
        <f t="shared" ref="AA611" si="233">IF(MAX(P611:U611)=U611, 1, 0)</f>
        <v>1</v>
      </c>
      <c r="AC611">
        <f t="shared" si="221"/>
        <v>234297.80706415663</v>
      </c>
      <c r="AD611">
        <f t="shared" si="222"/>
        <v>235654.38151004654</v>
      </c>
      <c r="AE611">
        <f t="shared" si="223"/>
        <v>235841.2270269201</v>
      </c>
      <c r="AF611">
        <f t="shared" si="224"/>
        <v>236048.66799183097</v>
      </c>
      <c r="AG611">
        <f t="shared" si="225"/>
        <v>236093.93243289553</v>
      </c>
      <c r="AH611">
        <f t="shared" si="226"/>
        <v>236128.08726638544</v>
      </c>
      <c r="AI611">
        <f t="shared" si="189"/>
        <v>236128.08726638544</v>
      </c>
    </row>
    <row r="612" spans="2:35" x14ac:dyDescent="0.3">
      <c r="B612">
        <v>569</v>
      </c>
      <c r="C612">
        <v>78799.900899999993</v>
      </c>
      <c r="D612">
        <v>77294.406000000003</v>
      </c>
      <c r="E612">
        <v>76973.523700000005</v>
      </c>
      <c r="F612">
        <v>76720.605899999995</v>
      </c>
      <c r="G612">
        <v>76662.672200000001</v>
      </c>
      <c r="H612">
        <v>76274.630699999994</v>
      </c>
      <c r="I612">
        <v>9.3302696474379303</v>
      </c>
      <c r="J612">
        <v>9.2932827375679405</v>
      </c>
      <c r="K612">
        <v>9.2613875758327424</v>
      </c>
      <c r="L612">
        <v>9.2412922457773661</v>
      </c>
      <c r="M612">
        <v>9.2291278372406591</v>
      </c>
      <c r="N612">
        <v>9.1819814611606603</v>
      </c>
      <c r="P612">
        <f t="shared" si="199"/>
        <v>201108.18852313788</v>
      </c>
      <c r="Q612">
        <f t="shared" si="200"/>
        <v>201504.07612703822</v>
      </c>
      <c r="R612">
        <f t="shared" si="201"/>
        <v>200868.10357498226</v>
      </c>
      <c r="S612">
        <f t="shared" si="202"/>
        <v>200518.161473321</v>
      </c>
      <c r="T612">
        <f t="shared" si="203"/>
        <v>200211.16291721977</v>
      </c>
      <c r="U612">
        <f t="shared" si="204"/>
        <v>199184.81313481985</v>
      </c>
      <c r="V612">
        <f t="shared" si="228"/>
        <v>0</v>
      </c>
      <c r="W612">
        <f t="shared" si="229"/>
        <v>1</v>
      </c>
      <c r="X612">
        <f t="shared" si="230"/>
        <v>0</v>
      </c>
      <c r="Y612">
        <f t="shared" si="231"/>
        <v>0</v>
      </c>
      <c r="Z612">
        <f t="shared" si="232"/>
        <v>0</v>
      </c>
      <c r="AC612">
        <f t="shared" si="221"/>
        <v>201108.18852313788</v>
      </c>
      <c r="AD612">
        <f t="shared" si="222"/>
        <v>201504.07612703822</v>
      </c>
      <c r="AE612">
        <f t="shared" si="223"/>
        <v>200868.10357498226</v>
      </c>
      <c r="AF612">
        <f t="shared" si="224"/>
        <v>200518.161473321</v>
      </c>
      <c r="AG612">
        <f t="shared" si="225"/>
        <v>200211.16291721977</v>
      </c>
      <c r="AH612">
        <f t="shared" si="226"/>
        <v>199184.81313481985</v>
      </c>
      <c r="AI612">
        <f t="shared" si="189"/>
        <v>201504.07612703822</v>
      </c>
    </row>
    <row r="613" spans="2:35" x14ac:dyDescent="0.3">
      <c r="B613">
        <v>570</v>
      </c>
      <c r="C613">
        <v>77104.078599999993</v>
      </c>
      <c r="D613">
        <v>75461.455000000002</v>
      </c>
      <c r="E613">
        <v>75293.647599999997</v>
      </c>
      <c r="F613">
        <v>75054.102499999994</v>
      </c>
      <c r="G613">
        <v>74790.854699999996</v>
      </c>
      <c r="H613">
        <v>74715.275099999999</v>
      </c>
      <c r="I613">
        <v>10.107766842702343</v>
      </c>
      <c r="J613">
        <v>10.068774374799785</v>
      </c>
      <c r="K613">
        <v>10.052927744490713</v>
      </c>
      <c r="L613">
        <v>10.045983654549483</v>
      </c>
      <c r="M613">
        <v>10.017934871004167</v>
      </c>
      <c r="N613">
        <v>9.9995113569505953</v>
      </c>
      <c r="P613">
        <f t="shared" si="199"/>
        <v>226128.9266810703</v>
      </c>
      <c r="Q613">
        <f t="shared" si="200"/>
        <v>226601.77624399355</v>
      </c>
      <c r="R613">
        <f t="shared" si="201"/>
        <v>226294.18473472141</v>
      </c>
      <c r="S613">
        <f t="shared" si="202"/>
        <v>226325.40713648451</v>
      </c>
      <c r="T613">
        <f t="shared" si="203"/>
        <v>225747.19143012501</v>
      </c>
      <c r="U613">
        <f t="shared" si="204"/>
        <v>225270.06560851788</v>
      </c>
      <c r="V613">
        <f t="shared" si="228"/>
        <v>0</v>
      </c>
      <c r="W613">
        <f t="shared" si="229"/>
        <v>1</v>
      </c>
      <c r="X613">
        <f t="shared" si="230"/>
        <v>0</v>
      </c>
      <c r="Y613">
        <f t="shared" si="231"/>
        <v>0</v>
      </c>
      <c r="Z613">
        <f t="shared" si="232"/>
        <v>0</v>
      </c>
      <c r="AA613">
        <f t="shared" ref="AA613" si="234">IF(MAX(P613:U613)=U613, 1, 0)</f>
        <v>0</v>
      </c>
      <c r="AC613">
        <f t="shared" si="221"/>
        <v>226128.9266810703</v>
      </c>
      <c r="AD613">
        <f t="shared" si="222"/>
        <v>226601.77624399355</v>
      </c>
      <c r="AE613">
        <f t="shared" si="223"/>
        <v>226294.18473472141</v>
      </c>
      <c r="AF613">
        <f t="shared" si="224"/>
        <v>226325.40713648451</v>
      </c>
      <c r="AG613">
        <f t="shared" si="225"/>
        <v>225747.19143012501</v>
      </c>
      <c r="AH613">
        <f t="shared" si="226"/>
        <v>225270.06560851788</v>
      </c>
      <c r="AI613">
        <f t="shared" si="189"/>
        <v>226601.77624399355</v>
      </c>
    </row>
    <row r="614" spans="2:35" x14ac:dyDescent="0.3">
      <c r="B614">
        <v>571</v>
      </c>
      <c r="C614">
        <v>75482.417199999996</v>
      </c>
      <c r="D614">
        <v>74849.587799999994</v>
      </c>
      <c r="E614">
        <v>75422.367199999993</v>
      </c>
      <c r="F614">
        <v>75652.118199999997</v>
      </c>
      <c r="G614">
        <v>76330.364400000006</v>
      </c>
      <c r="H614">
        <v>76966.387100000007</v>
      </c>
      <c r="I614">
        <v>10.568934415896127</v>
      </c>
      <c r="J614">
        <v>10.535704850741265</v>
      </c>
      <c r="K614">
        <v>10.510084159061533</v>
      </c>
      <c r="L614">
        <v>10.48848191468932</v>
      </c>
      <c r="M614">
        <v>10.464544659505041</v>
      </c>
      <c r="N614">
        <v>10.436880262927392</v>
      </c>
      <c r="P614">
        <f t="shared" si="199"/>
        <v>241585.61527688379</v>
      </c>
      <c r="Q614">
        <f t="shared" si="200"/>
        <v>241221.55772223795</v>
      </c>
      <c r="R614">
        <f t="shared" si="201"/>
        <v>239880.15757184598</v>
      </c>
      <c r="S614">
        <f t="shared" si="202"/>
        <v>239002.3392406796</v>
      </c>
      <c r="T614">
        <f t="shared" si="203"/>
        <v>237605.97538515122</v>
      </c>
      <c r="U614">
        <f t="shared" si="204"/>
        <v>236140.02078782179</v>
      </c>
      <c r="V614">
        <f t="shared" si="228"/>
        <v>1</v>
      </c>
      <c r="W614">
        <f t="shared" si="229"/>
        <v>0</v>
      </c>
      <c r="X614">
        <f t="shared" si="230"/>
        <v>0</v>
      </c>
      <c r="Y614">
        <f t="shared" si="231"/>
        <v>0</v>
      </c>
      <c r="Z614">
        <f t="shared" si="232"/>
        <v>0</v>
      </c>
      <c r="AC614">
        <f t="shared" si="221"/>
        <v>241585.61527688379</v>
      </c>
      <c r="AD614">
        <f t="shared" si="222"/>
        <v>241221.55772223795</v>
      </c>
      <c r="AE614">
        <f t="shared" si="223"/>
        <v>239880.15757184598</v>
      </c>
      <c r="AF614">
        <f t="shared" si="224"/>
        <v>239002.3392406796</v>
      </c>
      <c r="AG614">
        <f t="shared" si="225"/>
        <v>237605.97538515122</v>
      </c>
      <c r="AH614">
        <f t="shared" si="226"/>
        <v>236140.02078782179</v>
      </c>
      <c r="AI614">
        <f t="shared" si="189"/>
        <v>241585.61527688379</v>
      </c>
    </row>
    <row r="615" spans="2:35" x14ac:dyDescent="0.3">
      <c r="B615">
        <v>572</v>
      </c>
      <c r="C615">
        <v>91309.332800000004</v>
      </c>
      <c r="D615">
        <v>90485.022299999997</v>
      </c>
      <c r="E615">
        <v>90750.203500000003</v>
      </c>
      <c r="F615">
        <v>90559.455000000002</v>
      </c>
      <c r="G615">
        <v>90770.702099999995</v>
      </c>
      <c r="H615">
        <v>91070.074500000002</v>
      </c>
      <c r="I615">
        <v>12.005195241436461</v>
      </c>
      <c r="J615">
        <v>11.972528866300156</v>
      </c>
      <c r="K615">
        <v>11.954895391609558</v>
      </c>
      <c r="L615">
        <v>11.945954268993118</v>
      </c>
      <c r="M615">
        <v>11.922005912919456</v>
      </c>
      <c r="N615">
        <v>11.898219892409839</v>
      </c>
      <c r="P615">
        <f t="shared" si="199"/>
        <v>268846.5244430938</v>
      </c>
      <c r="Q615">
        <f t="shared" si="200"/>
        <v>268690.84368900466</v>
      </c>
      <c r="R615">
        <f t="shared" si="201"/>
        <v>267896.65824828675</v>
      </c>
      <c r="S615">
        <f t="shared" si="202"/>
        <v>267819.1730697935</v>
      </c>
      <c r="T615">
        <f t="shared" si="203"/>
        <v>266889.47528758366</v>
      </c>
      <c r="U615">
        <f t="shared" si="204"/>
        <v>265876.5222722952</v>
      </c>
      <c r="V615">
        <f t="shared" si="228"/>
        <v>1</v>
      </c>
      <c r="W615">
        <f t="shared" si="229"/>
        <v>0</v>
      </c>
      <c r="X615">
        <f t="shared" si="230"/>
        <v>0</v>
      </c>
      <c r="Y615">
        <f t="shared" si="231"/>
        <v>0</v>
      </c>
      <c r="Z615">
        <f t="shared" si="232"/>
        <v>0</v>
      </c>
      <c r="AA615">
        <f t="shared" ref="AA615" si="235">IF(MAX(P615:U615)=U615, 1, 0)</f>
        <v>0</v>
      </c>
      <c r="AC615">
        <f t="shared" si="221"/>
        <v>268846.5244430938</v>
      </c>
      <c r="AD615">
        <f t="shared" si="222"/>
        <v>268690.84368900466</v>
      </c>
      <c r="AE615">
        <f t="shared" si="223"/>
        <v>267896.65824828675</v>
      </c>
      <c r="AF615">
        <f t="shared" si="224"/>
        <v>267819.1730697935</v>
      </c>
      <c r="AG615">
        <f t="shared" si="225"/>
        <v>266889.47528758366</v>
      </c>
      <c r="AH615">
        <f t="shared" si="226"/>
        <v>265876.5222722952</v>
      </c>
      <c r="AI615">
        <f t="shared" si="189"/>
        <v>268846.5244430938</v>
      </c>
    </row>
    <row r="616" spans="2:35" x14ac:dyDescent="0.3">
      <c r="B616">
        <v>573</v>
      </c>
      <c r="C616">
        <v>68231.072100000005</v>
      </c>
      <c r="D616">
        <v>67351.210300000006</v>
      </c>
      <c r="E616">
        <v>67685.451700000005</v>
      </c>
      <c r="F616">
        <v>67697.204800000007</v>
      </c>
      <c r="G616">
        <v>67883.159599999999</v>
      </c>
      <c r="H616">
        <v>68164.871100000004</v>
      </c>
      <c r="I616">
        <v>9.9775883894424666</v>
      </c>
      <c r="J616">
        <v>9.9529141372288201</v>
      </c>
      <c r="K616">
        <v>9.935503351438415</v>
      </c>
      <c r="L616">
        <v>9.9212241873302229</v>
      </c>
      <c r="M616">
        <v>9.9015858765023026</v>
      </c>
      <c r="N616">
        <v>9.8739965894540216</v>
      </c>
      <c r="P616">
        <f t="shared" si="199"/>
        <v>231096.57958327403</v>
      </c>
      <c r="Q616">
        <f t="shared" si="200"/>
        <v>231236.21381686462</v>
      </c>
      <c r="R616">
        <f t="shared" si="201"/>
        <v>230379.64884315242</v>
      </c>
      <c r="S616">
        <f t="shared" si="202"/>
        <v>229939.52081990667</v>
      </c>
      <c r="T616">
        <f t="shared" si="203"/>
        <v>229164.41669506906</v>
      </c>
      <c r="U616">
        <f t="shared" si="204"/>
        <v>228055.02658362064</v>
      </c>
      <c r="V616">
        <f t="shared" si="228"/>
        <v>0</v>
      </c>
      <c r="W616">
        <f t="shared" si="229"/>
        <v>1</v>
      </c>
      <c r="X616">
        <f t="shared" si="230"/>
        <v>0</v>
      </c>
      <c r="Y616">
        <f t="shared" si="231"/>
        <v>0</v>
      </c>
      <c r="Z616">
        <f t="shared" si="232"/>
        <v>0</v>
      </c>
      <c r="AC616">
        <f t="shared" si="221"/>
        <v>231096.57958327403</v>
      </c>
      <c r="AD616">
        <f t="shared" si="222"/>
        <v>231236.21381686462</v>
      </c>
      <c r="AE616">
        <f t="shared" si="223"/>
        <v>230379.64884315242</v>
      </c>
      <c r="AF616">
        <f t="shared" si="224"/>
        <v>229939.52081990667</v>
      </c>
      <c r="AG616">
        <f t="shared" si="225"/>
        <v>229164.41669506906</v>
      </c>
      <c r="AH616">
        <f t="shared" si="226"/>
        <v>228055.02658362064</v>
      </c>
      <c r="AI616">
        <f t="shared" si="189"/>
        <v>231236.21381686462</v>
      </c>
    </row>
    <row r="617" spans="2:35" x14ac:dyDescent="0.3">
      <c r="B617">
        <v>574</v>
      </c>
      <c r="C617">
        <v>77834.313699999999</v>
      </c>
      <c r="D617">
        <v>76853.188299999994</v>
      </c>
      <c r="E617">
        <v>76983.881099999999</v>
      </c>
      <c r="F617">
        <v>76972.766399999993</v>
      </c>
      <c r="G617">
        <v>77308.098400000003</v>
      </c>
      <c r="H617">
        <v>77380.728799999997</v>
      </c>
      <c r="I617">
        <v>10.618936048664983</v>
      </c>
      <c r="J617">
        <v>10.606274054670491</v>
      </c>
      <c r="K617">
        <v>10.597415660387702</v>
      </c>
      <c r="L617">
        <v>10.589188537229047</v>
      </c>
      <c r="M617">
        <v>10.586434574363219</v>
      </c>
      <c r="N617">
        <v>10.568184404675563</v>
      </c>
      <c r="P617">
        <f t="shared" si="199"/>
        <v>240733.76775994949</v>
      </c>
      <c r="Q617">
        <f t="shared" si="200"/>
        <v>241335.03334011475</v>
      </c>
      <c r="R617">
        <f t="shared" si="201"/>
        <v>240938.58871163108</v>
      </c>
      <c r="S617">
        <f t="shared" si="202"/>
        <v>240702.8897168714</v>
      </c>
      <c r="T617">
        <f t="shared" si="203"/>
        <v>240284.93883089657</v>
      </c>
      <c r="U617">
        <f t="shared" si="204"/>
        <v>239664.80334026692</v>
      </c>
      <c r="V617">
        <f t="shared" si="228"/>
        <v>0</v>
      </c>
      <c r="W617">
        <f t="shared" si="229"/>
        <v>1</v>
      </c>
      <c r="X617">
        <f t="shared" si="230"/>
        <v>0</v>
      </c>
      <c r="Y617">
        <f t="shared" si="231"/>
        <v>0</v>
      </c>
      <c r="Z617">
        <f t="shared" si="232"/>
        <v>0</v>
      </c>
      <c r="AA617">
        <f t="shared" ref="AA617" si="236">IF(MAX(P617:U617)=U617, 1, 0)</f>
        <v>0</v>
      </c>
      <c r="AC617">
        <f t="shared" si="221"/>
        <v>240733.76775994949</v>
      </c>
      <c r="AD617">
        <f t="shared" si="222"/>
        <v>241335.03334011475</v>
      </c>
      <c r="AE617">
        <f t="shared" si="223"/>
        <v>240938.58871163108</v>
      </c>
      <c r="AF617">
        <f t="shared" si="224"/>
        <v>240702.8897168714</v>
      </c>
      <c r="AG617">
        <f t="shared" si="225"/>
        <v>240284.93883089657</v>
      </c>
      <c r="AH617">
        <f t="shared" si="226"/>
        <v>239664.80334026692</v>
      </c>
      <c r="AI617">
        <f t="shared" si="189"/>
        <v>241335.03334011475</v>
      </c>
    </row>
    <row r="618" spans="2:35" x14ac:dyDescent="0.3">
      <c r="B618">
        <v>575</v>
      </c>
      <c r="C618">
        <v>69924.381999999998</v>
      </c>
      <c r="D618">
        <v>69120.852599999998</v>
      </c>
      <c r="E618">
        <v>69863.591499999995</v>
      </c>
      <c r="F618">
        <v>69877.699500000002</v>
      </c>
      <c r="G618">
        <v>70483.476500000004</v>
      </c>
      <c r="H618">
        <v>71068.146999999997</v>
      </c>
      <c r="I618">
        <v>8.8582682640254884</v>
      </c>
      <c r="J618">
        <v>8.8371802478022321</v>
      </c>
      <c r="K618">
        <v>8.8134736379138232</v>
      </c>
      <c r="L618">
        <v>8.8056687124647191</v>
      </c>
      <c r="M618">
        <v>8.7833366912672375</v>
      </c>
      <c r="N618">
        <v>8.7564182206244716</v>
      </c>
      <c r="P618">
        <f t="shared" si="199"/>
        <v>195823.66592076467</v>
      </c>
      <c r="Q618">
        <f t="shared" si="200"/>
        <v>195994.55483406701</v>
      </c>
      <c r="R618">
        <f t="shared" si="201"/>
        <v>194540.61763741472</v>
      </c>
      <c r="S618">
        <f t="shared" si="202"/>
        <v>194292.36187394161</v>
      </c>
      <c r="T618">
        <f t="shared" si="203"/>
        <v>193016.62423801713</v>
      </c>
      <c r="U618">
        <f t="shared" si="204"/>
        <v>191624.39961873414</v>
      </c>
      <c r="V618">
        <f t="shared" si="228"/>
        <v>0</v>
      </c>
      <c r="W618">
        <f t="shared" si="229"/>
        <v>1</v>
      </c>
      <c r="X618">
        <f t="shared" si="230"/>
        <v>0</v>
      </c>
      <c r="Y618">
        <f t="shared" si="231"/>
        <v>0</v>
      </c>
      <c r="Z618">
        <f t="shared" si="232"/>
        <v>0</v>
      </c>
      <c r="AC618">
        <f t="shared" si="221"/>
        <v>195823.66592076467</v>
      </c>
      <c r="AD618">
        <f t="shared" si="222"/>
        <v>195994.55483406701</v>
      </c>
      <c r="AE618">
        <f t="shared" si="223"/>
        <v>194540.61763741472</v>
      </c>
      <c r="AF618">
        <f t="shared" si="224"/>
        <v>194292.36187394161</v>
      </c>
      <c r="AG618">
        <f t="shared" si="225"/>
        <v>193016.62423801713</v>
      </c>
      <c r="AH618">
        <f t="shared" si="226"/>
        <v>191624.39961873414</v>
      </c>
      <c r="AI618">
        <f t="shared" si="189"/>
        <v>195994.55483406701</v>
      </c>
    </row>
    <row r="619" spans="2:35" x14ac:dyDescent="0.3">
      <c r="B619">
        <v>576</v>
      </c>
      <c r="C619">
        <v>89491.825899999996</v>
      </c>
      <c r="D619">
        <v>88288.124599999996</v>
      </c>
      <c r="E619">
        <v>88593.247000000003</v>
      </c>
      <c r="F619">
        <v>88520.441699999996</v>
      </c>
      <c r="G619">
        <v>88569.414399999994</v>
      </c>
      <c r="H619">
        <v>88788.9856</v>
      </c>
      <c r="I619">
        <v>9.9767021512697394</v>
      </c>
      <c r="J619">
        <v>9.9073700011073171</v>
      </c>
      <c r="K619">
        <v>9.8700625352208693</v>
      </c>
      <c r="L619">
        <v>9.8428862528326704</v>
      </c>
      <c r="M619">
        <v>9.8074556846674756</v>
      </c>
      <c r="N619">
        <v>9.750285141580008</v>
      </c>
      <c r="P619">
        <f t="shared" si="199"/>
        <v>209809.23863809218</v>
      </c>
      <c r="Q619">
        <f t="shared" si="200"/>
        <v>208932.97543321952</v>
      </c>
      <c r="R619">
        <f t="shared" si="201"/>
        <v>207508.62905662609</v>
      </c>
      <c r="S619">
        <f t="shared" si="202"/>
        <v>206766.14588498013</v>
      </c>
      <c r="T619">
        <f t="shared" si="203"/>
        <v>205654.25614002428</v>
      </c>
      <c r="U619">
        <f t="shared" si="204"/>
        <v>203719.56864740024</v>
      </c>
      <c r="V619">
        <f t="shared" si="228"/>
        <v>1</v>
      </c>
      <c r="W619">
        <f t="shared" si="229"/>
        <v>0</v>
      </c>
      <c r="X619">
        <f t="shared" si="230"/>
        <v>0</v>
      </c>
      <c r="Y619">
        <f t="shared" si="231"/>
        <v>0</v>
      </c>
      <c r="Z619">
        <f t="shared" si="232"/>
        <v>0</v>
      </c>
      <c r="AA619">
        <f t="shared" ref="AA619" si="237">IF(MAX(P619:U619)=U619, 1, 0)</f>
        <v>0</v>
      </c>
      <c r="AC619">
        <f t="shared" si="221"/>
        <v>209809.23863809218</v>
      </c>
      <c r="AD619">
        <f t="shared" si="222"/>
        <v>208932.97543321952</v>
      </c>
      <c r="AE619">
        <f t="shared" si="223"/>
        <v>207508.62905662609</v>
      </c>
      <c r="AF619">
        <f t="shared" si="224"/>
        <v>206766.14588498013</v>
      </c>
      <c r="AG619">
        <f t="shared" si="225"/>
        <v>205654.25614002428</v>
      </c>
      <c r="AH619">
        <f t="shared" si="226"/>
        <v>203719.56864740024</v>
      </c>
      <c r="AI619">
        <f t="shared" si="189"/>
        <v>209809.23863809218</v>
      </c>
    </row>
    <row r="620" spans="2:35" x14ac:dyDescent="0.3">
      <c r="B620">
        <v>577</v>
      </c>
      <c r="C620">
        <v>94063.514500000005</v>
      </c>
      <c r="D620">
        <v>92859.934899999993</v>
      </c>
      <c r="E620">
        <v>92915.090500000006</v>
      </c>
      <c r="F620">
        <v>92748.003800000006</v>
      </c>
      <c r="G620">
        <v>92813.899699999994</v>
      </c>
      <c r="H620">
        <v>93101.029800000004</v>
      </c>
      <c r="I620">
        <v>9.915892063518287</v>
      </c>
      <c r="J620">
        <v>9.8937227431306951</v>
      </c>
      <c r="K620">
        <v>9.8795242931483234</v>
      </c>
      <c r="L620">
        <v>9.8694233498970476</v>
      </c>
      <c r="M620">
        <v>9.8488478459447339</v>
      </c>
      <c r="N620">
        <v>9.8365065132223215</v>
      </c>
      <c r="P620">
        <f t="shared" si="199"/>
        <v>203413.24740554864</v>
      </c>
      <c r="Q620">
        <f t="shared" si="200"/>
        <v>203951.74739392084</v>
      </c>
      <c r="R620">
        <f t="shared" si="201"/>
        <v>203470.63829444972</v>
      </c>
      <c r="S620">
        <f t="shared" si="202"/>
        <v>203334.69669691141</v>
      </c>
      <c r="T620">
        <f t="shared" si="203"/>
        <v>202651.53567834198</v>
      </c>
      <c r="U620">
        <f t="shared" si="204"/>
        <v>201994.1655966696</v>
      </c>
      <c r="V620">
        <f t="shared" si="228"/>
        <v>0</v>
      </c>
      <c r="W620">
        <f t="shared" si="229"/>
        <v>1</v>
      </c>
      <c r="X620">
        <f t="shared" si="230"/>
        <v>0</v>
      </c>
      <c r="Y620">
        <f t="shared" si="231"/>
        <v>0</v>
      </c>
      <c r="Z620">
        <f t="shared" si="232"/>
        <v>0</v>
      </c>
      <c r="AC620">
        <f t="shared" si="221"/>
        <v>203413.24740554864</v>
      </c>
      <c r="AD620">
        <f t="shared" si="222"/>
        <v>203951.74739392084</v>
      </c>
      <c r="AE620">
        <f t="shared" si="223"/>
        <v>203470.63829444972</v>
      </c>
      <c r="AF620">
        <f t="shared" si="224"/>
        <v>203334.69669691141</v>
      </c>
      <c r="AG620">
        <f t="shared" si="225"/>
        <v>202651.53567834198</v>
      </c>
      <c r="AH620">
        <f t="shared" si="226"/>
        <v>201994.1655966696</v>
      </c>
      <c r="AI620">
        <f t="shared" si="189"/>
        <v>203951.74739392084</v>
      </c>
    </row>
    <row r="621" spans="2:35" x14ac:dyDescent="0.3">
      <c r="B621">
        <v>578</v>
      </c>
      <c r="C621">
        <v>75034.325100000002</v>
      </c>
      <c r="D621">
        <v>74487.564799999993</v>
      </c>
      <c r="E621">
        <v>74904.313999999998</v>
      </c>
      <c r="F621">
        <v>74662.751799999998</v>
      </c>
      <c r="G621">
        <v>74858.042799999996</v>
      </c>
      <c r="H621">
        <v>75420.331900000005</v>
      </c>
      <c r="I621">
        <v>9.32446529064398</v>
      </c>
      <c r="J621">
        <v>9.2991198359354126</v>
      </c>
      <c r="K621">
        <v>9.2846359234619751</v>
      </c>
      <c r="L621">
        <v>9.280318811682541</v>
      </c>
      <c r="M621">
        <v>9.2683462921134101</v>
      </c>
      <c r="N621">
        <v>9.249559262071374</v>
      </c>
      <c r="P621">
        <f t="shared" si="199"/>
        <v>204699.63361931936</v>
      </c>
      <c r="Q621">
        <f t="shared" si="200"/>
        <v>204486.03027806239</v>
      </c>
      <c r="R621">
        <f t="shared" si="201"/>
        <v>203634.76370385924</v>
      </c>
      <c r="S621">
        <f t="shared" si="202"/>
        <v>203746.81255047626</v>
      </c>
      <c r="T621">
        <f t="shared" si="203"/>
        <v>203192.3459634023</v>
      </c>
      <c r="U621">
        <f t="shared" si="204"/>
        <v>202066.44596214121</v>
      </c>
      <c r="V621">
        <f t="shared" si="228"/>
        <v>1</v>
      </c>
      <c r="W621">
        <f t="shared" si="229"/>
        <v>0</v>
      </c>
      <c r="X621">
        <f t="shared" si="230"/>
        <v>0</v>
      </c>
      <c r="Y621">
        <f t="shared" si="231"/>
        <v>0</v>
      </c>
      <c r="Z621">
        <f t="shared" si="232"/>
        <v>0</v>
      </c>
      <c r="AA621">
        <f t="shared" ref="AA621" si="238">IF(MAX(P621:U621)=U621, 1, 0)</f>
        <v>0</v>
      </c>
      <c r="AC621">
        <f t="shared" si="221"/>
        <v>204699.63361931936</v>
      </c>
      <c r="AD621">
        <f t="shared" si="222"/>
        <v>204486.03027806239</v>
      </c>
      <c r="AE621">
        <f t="shared" si="223"/>
        <v>203634.76370385924</v>
      </c>
      <c r="AF621">
        <f t="shared" si="224"/>
        <v>203746.81255047626</v>
      </c>
      <c r="AG621">
        <f t="shared" si="225"/>
        <v>203192.3459634023</v>
      </c>
      <c r="AH621">
        <f t="shared" si="226"/>
        <v>202066.44596214121</v>
      </c>
      <c r="AI621">
        <f t="shared" ref="AI621:AI684" si="239">MAX(AC621:AH621)</f>
        <v>204699.63361931936</v>
      </c>
    </row>
    <row r="622" spans="2:35" x14ac:dyDescent="0.3">
      <c r="B622">
        <v>579</v>
      </c>
      <c r="C622">
        <v>88138.473899999997</v>
      </c>
      <c r="D622">
        <v>87419.484700000001</v>
      </c>
      <c r="E622">
        <v>87892.303599999999</v>
      </c>
      <c r="F622">
        <v>87774.193299999999</v>
      </c>
      <c r="G622">
        <v>88440.376099999994</v>
      </c>
      <c r="H622">
        <v>88808.452999999994</v>
      </c>
      <c r="I622">
        <v>12.621455932076318</v>
      </c>
      <c r="J622">
        <v>12.599020610548262</v>
      </c>
      <c r="K622">
        <v>12.583774876218326</v>
      </c>
      <c r="L622">
        <v>12.578013308082882</v>
      </c>
      <c r="M622">
        <v>12.558940109791543</v>
      </c>
      <c r="N622">
        <v>12.541531264485039</v>
      </c>
      <c r="P622">
        <f t="shared" si="199"/>
        <v>290505.20406228956</v>
      </c>
      <c r="Q622">
        <f t="shared" si="200"/>
        <v>290551.13361644791</v>
      </c>
      <c r="R622">
        <f t="shared" si="201"/>
        <v>289620.9426865498</v>
      </c>
      <c r="S622">
        <f t="shared" si="202"/>
        <v>289566.20594248647</v>
      </c>
      <c r="T622">
        <f t="shared" si="203"/>
        <v>288327.82719374629</v>
      </c>
      <c r="U622">
        <f t="shared" si="204"/>
        <v>287437.48493455118</v>
      </c>
      <c r="V622">
        <f t="shared" si="228"/>
        <v>0</v>
      </c>
      <c r="W622">
        <f t="shared" si="229"/>
        <v>1</v>
      </c>
      <c r="X622">
        <f t="shared" si="230"/>
        <v>0</v>
      </c>
      <c r="Y622">
        <f t="shared" si="231"/>
        <v>0</v>
      </c>
      <c r="Z622">
        <f t="shared" si="232"/>
        <v>0</v>
      </c>
      <c r="AC622">
        <f t="shared" si="221"/>
        <v>290505.20406228956</v>
      </c>
      <c r="AD622">
        <f t="shared" si="222"/>
        <v>290551.13361644791</v>
      </c>
      <c r="AE622">
        <f t="shared" si="223"/>
        <v>289620.9426865498</v>
      </c>
      <c r="AF622">
        <f t="shared" si="224"/>
        <v>289566.20594248647</v>
      </c>
      <c r="AG622">
        <f t="shared" si="225"/>
        <v>288327.82719374629</v>
      </c>
      <c r="AH622">
        <f t="shared" si="226"/>
        <v>287437.48493455118</v>
      </c>
      <c r="AI622">
        <f t="shared" si="239"/>
        <v>290551.13361644791</v>
      </c>
    </row>
    <row r="623" spans="2:35" x14ac:dyDescent="0.3">
      <c r="B623">
        <v>580</v>
      </c>
      <c r="C623">
        <v>72592.499599999996</v>
      </c>
      <c r="D623">
        <v>71220.870899999994</v>
      </c>
      <c r="E623">
        <v>71093.6109</v>
      </c>
      <c r="F623">
        <v>70857.545599999998</v>
      </c>
      <c r="G623">
        <v>70700.206600000005</v>
      </c>
      <c r="H623">
        <v>70523.782600000006</v>
      </c>
      <c r="I623">
        <v>9.0045892462152555</v>
      </c>
      <c r="J623">
        <v>8.9696341344044033</v>
      </c>
      <c r="K623">
        <v>8.9463125908745873</v>
      </c>
      <c r="L623">
        <v>8.9286953571477792</v>
      </c>
      <c r="M623">
        <v>8.9004453456044885</v>
      </c>
      <c r="N623">
        <v>8.8672156057511931</v>
      </c>
      <c r="P623">
        <f t="shared" si="199"/>
        <v>197545.1777864577</v>
      </c>
      <c r="Q623">
        <f t="shared" si="200"/>
        <v>197868.15313213214</v>
      </c>
      <c r="R623">
        <f t="shared" si="201"/>
        <v>197295.76682623764</v>
      </c>
      <c r="S623">
        <f t="shared" si="202"/>
        <v>197003.31511443335</v>
      </c>
      <c r="T623">
        <f t="shared" si="203"/>
        <v>196313.15376813462</v>
      </c>
      <c r="U623">
        <f t="shared" si="204"/>
        <v>195492.68557253576</v>
      </c>
      <c r="V623">
        <f t="shared" si="228"/>
        <v>0</v>
      </c>
      <c r="W623">
        <f t="shared" si="229"/>
        <v>1</v>
      </c>
      <c r="X623">
        <f t="shared" si="230"/>
        <v>0</v>
      </c>
      <c r="Y623">
        <f t="shared" si="231"/>
        <v>0</v>
      </c>
      <c r="Z623">
        <f t="shared" si="232"/>
        <v>0</v>
      </c>
      <c r="AA623">
        <f t="shared" ref="AA623" si="240">IF(MAX(P623:U623)=U623, 1, 0)</f>
        <v>0</v>
      </c>
      <c r="AC623">
        <f t="shared" si="221"/>
        <v>197545.1777864577</v>
      </c>
      <c r="AD623">
        <f t="shared" si="222"/>
        <v>197868.15313213214</v>
      </c>
      <c r="AE623">
        <f t="shared" si="223"/>
        <v>197295.76682623764</v>
      </c>
      <c r="AF623">
        <f t="shared" si="224"/>
        <v>197003.31511443335</v>
      </c>
      <c r="AG623">
        <f t="shared" si="225"/>
        <v>196313.15376813462</v>
      </c>
      <c r="AH623">
        <f t="shared" si="226"/>
        <v>195492.68557253576</v>
      </c>
      <c r="AI623">
        <f t="shared" si="239"/>
        <v>197868.15313213214</v>
      </c>
    </row>
    <row r="624" spans="2:35" x14ac:dyDescent="0.3">
      <c r="B624">
        <v>581</v>
      </c>
      <c r="C624">
        <v>77512.099700000006</v>
      </c>
      <c r="D624">
        <v>76502.644799999995</v>
      </c>
      <c r="E624">
        <v>76702.373399999997</v>
      </c>
      <c r="F624">
        <v>76548.260500000004</v>
      </c>
      <c r="G624">
        <v>76783.086500000005</v>
      </c>
      <c r="H624">
        <v>76855.485400000005</v>
      </c>
      <c r="I624">
        <v>10.110229851119731</v>
      </c>
      <c r="J624">
        <v>10.061053139417162</v>
      </c>
      <c r="K624">
        <v>10.024870981236299</v>
      </c>
      <c r="L624">
        <v>10.007131466802271</v>
      </c>
      <c r="M624">
        <v>9.9783737171482354</v>
      </c>
      <c r="N624">
        <v>9.9373952758273152</v>
      </c>
      <c r="P624">
        <f t="shared" si="199"/>
        <v>225794.7958335919</v>
      </c>
      <c r="Q624">
        <f t="shared" si="200"/>
        <v>225328.94938251487</v>
      </c>
      <c r="R624">
        <f t="shared" si="201"/>
        <v>224043.75603708898</v>
      </c>
      <c r="S624">
        <f t="shared" si="202"/>
        <v>223665.68350406815</v>
      </c>
      <c r="T624">
        <f t="shared" si="203"/>
        <v>222568.12501444705</v>
      </c>
      <c r="U624">
        <f t="shared" si="204"/>
        <v>221266.37287481944</v>
      </c>
      <c r="V624">
        <f t="shared" si="228"/>
        <v>1</v>
      </c>
      <c r="W624">
        <f t="shared" si="229"/>
        <v>0</v>
      </c>
      <c r="X624">
        <f t="shared" si="230"/>
        <v>0</v>
      </c>
      <c r="Y624">
        <f t="shared" si="231"/>
        <v>0</v>
      </c>
      <c r="Z624">
        <f t="shared" si="232"/>
        <v>0</v>
      </c>
      <c r="AC624">
        <f t="shared" si="221"/>
        <v>225794.7958335919</v>
      </c>
      <c r="AD624">
        <f t="shared" si="222"/>
        <v>225328.94938251487</v>
      </c>
      <c r="AE624">
        <f t="shared" si="223"/>
        <v>224043.75603708898</v>
      </c>
      <c r="AF624">
        <f t="shared" si="224"/>
        <v>223665.68350406815</v>
      </c>
      <c r="AG624">
        <f t="shared" si="225"/>
        <v>222568.12501444705</v>
      </c>
      <c r="AH624">
        <f t="shared" si="226"/>
        <v>221266.37287481944</v>
      </c>
      <c r="AI624">
        <f t="shared" si="239"/>
        <v>225794.7958335919</v>
      </c>
    </row>
    <row r="625" spans="2:35" x14ac:dyDescent="0.3">
      <c r="B625">
        <v>582</v>
      </c>
      <c r="C625">
        <v>73538.506099999999</v>
      </c>
      <c r="D625">
        <v>73365.683399999994</v>
      </c>
      <c r="E625">
        <v>74481.523499999996</v>
      </c>
      <c r="F625">
        <v>74688.62</v>
      </c>
      <c r="G625">
        <v>75575.280599999998</v>
      </c>
      <c r="H625">
        <v>76709.2886</v>
      </c>
      <c r="I625">
        <v>10.460008365915051</v>
      </c>
      <c r="J625">
        <v>10.434251806843724</v>
      </c>
      <c r="K625">
        <v>10.40649413397551</v>
      </c>
      <c r="L625">
        <v>10.397317939486792</v>
      </c>
      <c r="M625">
        <v>10.373689506258476</v>
      </c>
      <c r="N625">
        <v>10.350901517162463</v>
      </c>
      <c r="P625">
        <f t="shared" si="199"/>
        <v>240261.74487745157</v>
      </c>
      <c r="Q625">
        <f t="shared" si="200"/>
        <v>239661.87080531172</v>
      </c>
      <c r="R625">
        <f t="shared" si="201"/>
        <v>237713.30051926529</v>
      </c>
      <c r="S625">
        <f t="shared" si="202"/>
        <v>237230.91818460374</v>
      </c>
      <c r="T625">
        <f t="shared" si="203"/>
        <v>235635.40458775428</v>
      </c>
      <c r="U625">
        <f t="shared" si="204"/>
        <v>233817.75691487387</v>
      </c>
      <c r="V625">
        <f t="shared" si="228"/>
        <v>1</v>
      </c>
      <c r="W625">
        <f t="shared" si="229"/>
        <v>0</v>
      </c>
      <c r="X625">
        <f t="shared" si="230"/>
        <v>0</v>
      </c>
      <c r="Y625">
        <f t="shared" si="231"/>
        <v>0</v>
      </c>
      <c r="Z625">
        <f t="shared" si="232"/>
        <v>0</v>
      </c>
      <c r="AA625">
        <f t="shared" ref="AA625" si="241">IF(MAX(P625:U625)=U625, 1, 0)</f>
        <v>0</v>
      </c>
      <c r="AC625">
        <f t="shared" si="221"/>
        <v>240261.74487745157</v>
      </c>
      <c r="AD625">
        <f t="shared" si="222"/>
        <v>239661.87080531172</v>
      </c>
      <c r="AE625">
        <f t="shared" si="223"/>
        <v>237713.30051926529</v>
      </c>
      <c r="AF625">
        <f t="shared" si="224"/>
        <v>237230.91818460374</v>
      </c>
      <c r="AG625">
        <f t="shared" si="225"/>
        <v>235635.40458775428</v>
      </c>
      <c r="AH625">
        <f t="shared" si="226"/>
        <v>233817.75691487387</v>
      </c>
      <c r="AI625">
        <f t="shared" si="239"/>
        <v>240261.74487745157</v>
      </c>
    </row>
    <row r="626" spans="2:35" x14ac:dyDescent="0.3">
      <c r="B626">
        <v>583</v>
      </c>
      <c r="C626">
        <v>75424.823699999994</v>
      </c>
      <c r="D626">
        <v>74887.161999999997</v>
      </c>
      <c r="E626">
        <v>75096.899600000004</v>
      </c>
      <c r="F626">
        <v>75093.892600000006</v>
      </c>
      <c r="G626">
        <v>75791.373099999997</v>
      </c>
      <c r="H626">
        <v>75762.466799999995</v>
      </c>
      <c r="I626">
        <v>9.713064857007236</v>
      </c>
      <c r="J626">
        <v>9.687361731382703</v>
      </c>
      <c r="K626">
        <v>9.6651270565626373</v>
      </c>
      <c r="L626">
        <v>9.6570781147187663</v>
      </c>
      <c r="M626">
        <v>9.6413765502270277</v>
      </c>
      <c r="N626">
        <v>9.6172521044151065</v>
      </c>
      <c r="P626">
        <f t="shared" si="199"/>
        <v>215967.12201021705</v>
      </c>
      <c r="Q626">
        <f t="shared" si="200"/>
        <v>215733.68994148111</v>
      </c>
      <c r="R626">
        <f t="shared" si="201"/>
        <v>214856.9120968791</v>
      </c>
      <c r="S626">
        <f t="shared" si="202"/>
        <v>214618.450841563</v>
      </c>
      <c r="T626">
        <f t="shared" si="203"/>
        <v>213449.92340681082</v>
      </c>
      <c r="U626">
        <f t="shared" si="204"/>
        <v>212755.09633245319</v>
      </c>
      <c r="V626">
        <f t="shared" si="228"/>
        <v>1</v>
      </c>
      <c r="W626">
        <f t="shared" si="229"/>
        <v>0</v>
      </c>
      <c r="X626">
        <f t="shared" si="230"/>
        <v>0</v>
      </c>
      <c r="Y626">
        <f t="shared" si="231"/>
        <v>0</v>
      </c>
      <c r="Z626">
        <f t="shared" si="232"/>
        <v>0</v>
      </c>
      <c r="AC626">
        <f t="shared" si="221"/>
        <v>215967.12201021705</v>
      </c>
      <c r="AD626">
        <f t="shared" si="222"/>
        <v>215733.68994148111</v>
      </c>
      <c r="AE626">
        <f t="shared" si="223"/>
        <v>214856.9120968791</v>
      </c>
      <c r="AF626">
        <f t="shared" si="224"/>
        <v>214618.450841563</v>
      </c>
      <c r="AG626">
        <f t="shared" si="225"/>
        <v>213449.92340681082</v>
      </c>
      <c r="AH626">
        <f t="shared" si="226"/>
        <v>212755.09633245319</v>
      </c>
      <c r="AI626">
        <f t="shared" si="239"/>
        <v>215967.12201021705</v>
      </c>
    </row>
    <row r="627" spans="2:35" x14ac:dyDescent="0.3">
      <c r="B627">
        <v>584</v>
      </c>
      <c r="C627">
        <v>60278.770700000001</v>
      </c>
      <c r="D627">
        <v>60254.237800000003</v>
      </c>
      <c r="E627">
        <v>61893.2382</v>
      </c>
      <c r="F627">
        <v>61968.532700000003</v>
      </c>
      <c r="G627">
        <v>63705.558100000002</v>
      </c>
      <c r="H627">
        <v>64724.271099999998</v>
      </c>
      <c r="I627">
        <v>10.799629797792305</v>
      </c>
      <c r="J627">
        <v>10.781772582307312</v>
      </c>
      <c r="K627">
        <v>10.758107814420086</v>
      </c>
      <c r="L627">
        <v>10.756146753009027</v>
      </c>
      <c r="M627">
        <v>10.735271209264294</v>
      </c>
      <c r="N627">
        <v>10.721142155190083</v>
      </c>
      <c r="P627">
        <f t="shared" si="199"/>
        <v>263710.12323376915</v>
      </c>
      <c r="Q627">
        <f t="shared" si="200"/>
        <v>263198.93966921937</v>
      </c>
      <c r="R627">
        <f t="shared" si="201"/>
        <v>260849.9962326026</v>
      </c>
      <c r="S627">
        <f t="shared" si="202"/>
        <v>260715.86989027078</v>
      </c>
      <c r="T627">
        <f t="shared" si="203"/>
        <v>258352.57817792884</v>
      </c>
      <c r="U627">
        <f t="shared" si="204"/>
        <v>256909.9935557025</v>
      </c>
      <c r="V627">
        <f t="shared" si="228"/>
        <v>1</v>
      </c>
      <c r="W627">
        <f t="shared" si="229"/>
        <v>0</v>
      </c>
      <c r="X627">
        <f t="shared" si="230"/>
        <v>0</v>
      </c>
      <c r="Y627">
        <f t="shared" si="231"/>
        <v>0</v>
      </c>
      <c r="Z627">
        <f t="shared" si="232"/>
        <v>0</v>
      </c>
      <c r="AA627">
        <f t="shared" ref="AA627" si="242">IF(MAX(P627:U627)=U627, 1, 0)</f>
        <v>0</v>
      </c>
      <c r="AC627">
        <f t="shared" si="221"/>
        <v>263710.12323376915</v>
      </c>
      <c r="AD627">
        <f t="shared" si="222"/>
        <v>263198.93966921937</v>
      </c>
      <c r="AE627">
        <f t="shared" si="223"/>
        <v>260849.9962326026</v>
      </c>
      <c r="AF627">
        <f t="shared" si="224"/>
        <v>260715.86989027078</v>
      </c>
      <c r="AG627">
        <f t="shared" si="225"/>
        <v>258352.57817792884</v>
      </c>
      <c r="AH627">
        <f t="shared" si="226"/>
        <v>256909.9935557025</v>
      </c>
      <c r="AI627">
        <f t="shared" si="239"/>
        <v>263710.12323376915</v>
      </c>
    </row>
    <row r="628" spans="2:35" x14ac:dyDescent="0.3">
      <c r="B628">
        <v>585</v>
      </c>
      <c r="C628">
        <v>79441.856199999995</v>
      </c>
      <c r="D628">
        <v>78408.379700000005</v>
      </c>
      <c r="E628">
        <v>78736.153699999995</v>
      </c>
      <c r="F628">
        <v>78569.8992</v>
      </c>
      <c r="G628">
        <v>78860.102700000003</v>
      </c>
      <c r="H628">
        <v>79048.813299999994</v>
      </c>
      <c r="I628">
        <v>8.622082468091584</v>
      </c>
      <c r="J628">
        <v>8.5926728470768765</v>
      </c>
      <c r="K628">
        <v>8.5818513393927436</v>
      </c>
      <c r="L628">
        <v>8.5754106554642764</v>
      </c>
      <c r="M628">
        <v>8.5529825894494369</v>
      </c>
      <c r="N628">
        <v>8.5361112899796812</v>
      </c>
      <c r="P628">
        <f t="shared" si="199"/>
        <v>179220.61784274754</v>
      </c>
      <c r="Q628">
        <f t="shared" si="200"/>
        <v>179371.80571230629</v>
      </c>
      <c r="R628">
        <f t="shared" si="201"/>
        <v>178719.38648178231</v>
      </c>
      <c r="S628">
        <f t="shared" si="202"/>
        <v>178692.42046392831</v>
      </c>
      <c r="T628">
        <f t="shared" si="203"/>
        <v>177729.37498348311</v>
      </c>
      <c r="U628">
        <f t="shared" si="204"/>
        <v>177034.52539939043</v>
      </c>
      <c r="V628">
        <f t="shared" si="228"/>
        <v>0</v>
      </c>
      <c r="W628">
        <f t="shared" si="229"/>
        <v>1</v>
      </c>
      <c r="X628">
        <f t="shared" si="230"/>
        <v>0</v>
      </c>
      <c r="Y628">
        <f t="shared" si="231"/>
        <v>0</v>
      </c>
      <c r="Z628">
        <f t="shared" si="232"/>
        <v>0</v>
      </c>
      <c r="AC628">
        <f t="shared" si="221"/>
        <v>179220.61784274754</v>
      </c>
      <c r="AD628">
        <f t="shared" si="222"/>
        <v>179371.80571230629</v>
      </c>
      <c r="AE628">
        <f t="shared" si="223"/>
        <v>178719.38648178231</v>
      </c>
      <c r="AF628">
        <f t="shared" si="224"/>
        <v>178692.42046392831</v>
      </c>
      <c r="AG628">
        <f t="shared" si="225"/>
        <v>177729.37498348311</v>
      </c>
      <c r="AH628">
        <f t="shared" si="226"/>
        <v>177034.52539939043</v>
      </c>
      <c r="AI628">
        <f t="shared" si="239"/>
        <v>179371.80571230629</v>
      </c>
    </row>
    <row r="629" spans="2:35" x14ac:dyDescent="0.3">
      <c r="B629">
        <v>586</v>
      </c>
      <c r="C629">
        <v>75011.472899999993</v>
      </c>
      <c r="D629">
        <v>73751.2981</v>
      </c>
      <c r="E629">
        <v>73714.552599999995</v>
      </c>
      <c r="F629">
        <v>73408.700599999996</v>
      </c>
      <c r="G629">
        <v>73351.983999999997</v>
      </c>
      <c r="H629">
        <v>73467.0962</v>
      </c>
      <c r="I629">
        <v>10.60694959854308</v>
      </c>
      <c r="J629">
        <v>10.579081746843338</v>
      </c>
      <c r="K629">
        <v>10.55734062935757</v>
      </c>
      <c r="L629">
        <v>10.545540027390354</v>
      </c>
      <c r="M629">
        <v>10.526901674904112</v>
      </c>
      <c r="N629">
        <v>10.506478878961548</v>
      </c>
      <c r="P629">
        <f t="shared" si="199"/>
        <v>243197.01505629241</v>
      </c>
      <c r="Q629">
        <f t="shared" si="200"/>
        <v>243621.15430530009</v>
      </c>
      <c r="R629">
        <f t="shared" si="201"/>
        <v>243005.66628072714</v>
      </c>
      <c r="S629">
        <f t="shared" si="202"/>
        <v>242957.50022171065</v>
      </c>
      <c r="T629">
        <f t="shared" si="203"/>
        <v>242455.06624712335</v>
      </c>
      <c r="U629">
        <f t="shared" si="204"/>
        <v>241727.27016884644</v>
      </c>
      <c r="V629">
        <f t="shared" si="228"/>
        <v>0</v>
      </c>
      <c r="W629">
        <f t="shared" si="229"/>
        <v>1</v>
      </c>
      <c r="X629">
        <f t="shared" si="230"/>
        <v>0</v>
      </c>
      <c r="Y629">
        <f t="shared" si="231"/>
        <v>0</v>
      </c>
      <c r="Z629">
        <f t="shared" si="232"/>
        <v>0</v>
      </c>
      <c r="AA629">
        <f t="shared" ref="AA629" si="243">IF(MAX(P629:U629)=U629, 1, 0)</f>
        <v>0</v>
      </c>
      <c r="AC629">
        <f t="shared" si="221"/>
        <v>243197.01505629241</v>
      </c>
      <c r="AD629">
        <f t="shared" si="222"/>
        <v>243621.15430530009</v>
      </c>
      <c r="AE629">
        <f t="shared" si="223"/>
        <v>243005.66628072714</v>
      </c>
      <c r="AF629">
        <f t="shared" si="224"/>
        <v>242957.50022171065</v>
      </c>
      <c r="AG629">
        <f t="shared" si="225"/>
        <v>242455.06624712335</v>
      </c>
      <c r="AH629">
        <f t="shared" si="226"/>
        <v>241727.27016884644</v>
      </c>
      <c r="AI629">
        <f t="shared" si="239"/>
        <v>243621.15430530009</v>
      </c>
    </row>
    <row r="630" spans="2:35" x14ac:dyDescent="0.3">
      <c r="B630">
        <v>587</v>
      </c>
      <c r="C630">
        <v>79726.835999999996</v>
      </c>
      <c r="D630">
        <v>79113.864300000001</v>
      </c>
      <c r="E630">
        <v>79393.928599999999</v>
      </c>
      <c r="F630">
        <v>79410.203200000004</v>
      </c>
      <c r="G630">
        <v>79853.689100000003</v>
      </c>
      <c r="H630">
        <v>80271.3125</v>
      </c>
      <c r="I630">
        <v>9.3628932832051266</v>
      </c>
      <c r="J630">
        <v>9.332062715727977</v>
      </c>
      <c r="K630">
        <v>9.3190062083562939</v>
      </c>
      <c r="L630">
        <v>9.3100319781884586</v>
      </c>
      <c r="M630">
        <v>9.2999010471364656</v>
      </c>
      <c r="N630">
        <v>9.2743281125281491</v>
      </c>
      <c r="P630">
        <f t="shared" si="199"/>
        <v>201159.96249615378</v>
      </c>
      <c r="Q630">
        <f t="shared" si="200"/>
        <v>200848.01717183931</v>
      </c>
      <c r="R630">
        <f t="shared" si="201"/>
        <v>200176.25765068881</v>
      </c>
      <c r="S630">
        <f t="shared" si="202"/>
        <v>199890.75614565378</v>
      </c>
      <c r="T630">
        <f t="shared" si="203"/>
        <v>199143.34231409396</v>
      </c>
      <c r="U630">
        <f t="shared" si="204"/>
        <v>197958.53087584447</v>
      </c>
      <c r="V630">
        <f t="shared" si="228"/>
        <v>1</v>
      </c>
      <c r="W630">
        <f t="shared" si="229"/>
        <v>0</v>
      </c>
      <c r="X630">
        <f t="shared" si="230"/>
        <v>0</v>
      </c>
      <c r="Y630">
        <f t="shared" si="231"/>
        <v>0</v>
      </c>
      <c r="Z630">
        <f t="shared" si="232"/>
        <v>0</v>
      </c>
      <c r="AC630">
        <f t="shared" si="221"/>
        <v>201159.96249615378</v>
      </c>
      <c r="AD630">
        <f t="shared" si="222"/>
        <v>200848.01717183931</v>
      </c>
      <c r="AE630">
        <f t="shared" si="223"/>
        <v>200176.25765068881</v>
      </c>
      <c r="AF630">
        <f t="shared" si="224"/>
        <v>199890.75614565378</v>
      </c>
      <c r="AG630">
        <f t="shared" si="225"/>
        <v>199143.34231409396</v>
      </c>
      <c r="AH630">
        <f t="shared" si="226"/>
        <v>197958.53087584447</v>
      </c>
      <c r="AI630">
        <f t="shared" si="239"/>
        <v>201159.96249615378</v>
      </c>
    </row>
    <row r="631" spans="2:35" x14ac:dyDescent="0.3">
      <c r="B631">
        <v>588</v>
      </c>
      <c r="C631">
        <v>80320.444699999993</v>
      </c>
      <c r="D631">
        <v>79864.4908</v>
      </c>
      <c r="E631">
        <v>80501.2889</v>
      </c>
      <c r="F631">
        <v>80395.811199999996</v>
      </c>
      <c r="G631">
        <v>80930.2497</v>
      </c>
      <c r="H631">
        <v>81822.292799999996</v>
      </c>
      <c r="I631">
        <v>10.921460415810227</v>
      </c>
      <c r="J631">
        <v>10.890749164586296</v>
      </c>
      <c r="K631">
        <v>10.868380287258578</v>
      </c>
      <c r="L631">
        <v>10.861972954032861</v>
      </c>
      <c r="M631">
        <v>10.839376981109115</v>
      </c>
      <c r="N631">
        <v>10.807770629885672</v>
      </c>
      <c r="P631">
        <f t="shared" si="199"/>
        <v>247323.3677743068</v>
      </c>
      <c r="Q631">
        <f t="shared" si="200"/>
        <v>246857.98413758891</v>
      </c>
      <c r="R631">
        <f t="shared" si="201"/>
        <v>245550.11971775733</v>
      </c>
      <c r="S631">
        <f t="shared" si="202"/>
        <v>245463.37742098584</v>
      </c>
      <c r="T631">
        <f t="shared" si="203"/>
        <v>244251.05973327346</v>
      </c>
      <c r="U631">
        <f t="shared" si="204"/>
        <v>242410.82609657018</v>
      </c>
      <c r="V631">
        <f t="shared" si="228"/>
        <v>1</v>
      </c>
      <c r="W631">
        <f t="shared" si="229"/>
        <v>0</v>
      </c>
      <c r="X631">
        <f t="shared" si="230"/>
        <v>0</v>
      </c>
      <c r="Y631">
        <f t="shared" si="231"/>
        <v>0</v>
      </c>
      <c r="Z631">
        <f t="shared" si="232"/>
        <v>0</v>
      </c>
      <c r="AA631">
        <f t="shared" ref="AA631" si="244">IF(MAX(P631:U631)=U631, 1, 0)</f>
        <v>0</v>
      </c>
      <c r="AC631">
        <f t="shared" si="221"/>
        <v>247323.3677743068</v>
      </c>
      <c r="AD631">
        <f t="shared" si="222"/>
        <v>246857.98413758891</v>
      </c>
      <c r="AE631">
        <f t="shared" si="223"/>
        <v>245550.11971775733</v>
      </c>
      <c r="AF631">
        <f t="shared" si="224"/>
        <v>245463.37742098584</v>
      </c>
      <c r="AG631">
        <f t="shared" si="225"/>
        <v>244251.05973327346</v>
      </c>
      <c r="AH631">
        <f t="shared" si="226"/>
        <v>242410.82609657018</v>
      </c>
      <c r="AI631">
        <f t="shared" si="239"/>
        <v>247323.3677743068</v>
      </c>
    </row>
    <row r="632" spans="2:35" x14ac:dyDescent="0.3">
      <c r="B632">
        <v>589</v>
      </c>
      <c r="C632">
        <v>78538.563200000004</v>
      </c>
      <c r="D632">
        <v>76987.4473</v>
      </c>
      <c r="E632">
        <v>76563.676900000006</v>
      </c>
      <c r="F632">
        <v>76295.443199999994</v>
      </c>
      <c r="G632">
        <v>76395.574800000002</v>
      </c>
      <c r="H632">
        <v>75878.278999999995</v>
      </c>
      <c r="I632">
        <v>9.5449691470315816</v>
      </c>
      <c r="J632">
        <v>9.5199604757840923</v>
      </c>
      <c r="K632">
        <v>9.4961122583152182</v>
      </c>
      <c r="L632">
        <v>9.4890951777336454</v>
      </c>
      <c r="M632">
        <v>9.4789409331151351</v>
      </c>
      <c r="N632">
        <v>9.4531430835659354</v>
      </c>
      <c r="P632">
        <f t="shared" si="199"/>
        <v>207810.51121094744</v>
      </c>
      <c r="Q632">
        <f t="shared" si="200"/>
        <v>208611.36697352276</v>
      </c>
      <c r="R632">
        <f t="shared" si="201"/>
        <v>208319.69084945653</v>
      </c>
      <c r="S632">
        <f t="shared" si="202"/>
        <v>208377.4121320094</v>
      </c>
      <c r="T632">
        <f t="shared" si="203"/>
        <v>207972.65319345403</v>
      </c>
      <c r="U632">
        <f t="shared" si="204"/>
        <v>207716.01350697805</v>
      </c>
      <c r="V632">
        <f t="shared" si="228"/>
        <v>0</v>
      </c>
      <c r="W632">
        <f t="shared" si="229"/>
        <v>1</v>
      </c>
      <c r="X632">
        <f t="shared" si="230"/>
        <v>0</v>
      </c>
      <c r="Y632">
        <f t="shared" si="231"/>
        <v>0</v>
      </c>
      <c r="Z632">
        <f t="shared" si="232"/>
        <v>0</v>
      </c>
      <c r="AC632">
        <f t="shared" si="221"/>
        <v>207810.51121094744</v>
      </c>
      <c r="AD632">
        <f t="shared" si="222"/>
        <v>208611.36697352276</v>
      </c>
      <c r="AE632">
        <f t="shared" si="223"/>
        <v>208319.69084945653</v>
      </c>
      <c r="AF632">
        <f t="shared" si="224"/>
        <v>208377.4121320094</v>
      </c>
      <c r="AG632">
        <f t="shared" si="225"/>
        <v>207972.65319345403</v>
      </c>
      <c r="AH632">
        <f t="shared" si="226"/>
        <v>207716.01350697805</v>
      </c>
      <c r="AI632">
        <f t="shared" si="239"/>
        <v>208611.36697352276</v>
      </c>
    </row>
    <row r="633" spans="2:35" x14ac:dyDescent="0.3">
      <c r="B633">
        <v>590</v>
      </c>
      <c r="C633">
        <v>78656.376300000004</v>
      </c>
      <c r="D633">
        <v>77459.264999999999</v>
      </c>
      <c r="E633">
        <v>77763.567599999995</v>
      </c>
      <c r="F633">
        <v>77597.4954</v>
      </c>
      <c r="G633">
        <v>77709.212700000004</v>
      </c>
      <c r="H633">
        <v>77983.573099999994</v>
      </c>
      <c r="I633">
        <v>9.1537870734691893</v>
      </c>
      <c r="J633">
        <v>9.1409956700645019</v>
      </c>
      <c r="K633">
        <v>9.1356760402285229</v>
      </c>
      <c r="L633">
        <v>9.1331377692813156</v>
      </c>
      <c r="M633">
        <v>9.1255123122385395</v>
      </c>
      <c r="N633">
        <v>9.1166719964568266</v>
      </c>
      <c r="P633">
        <f t="shared" si="199"/>
        <v>195957.23590407567</v>
      </c>
      <c r="Q633">
        <f t="shared" si="200"/>
        <v>196770.60510193504</v>
      </c>
      <c r="R633">
        <f t="shared" si="201"/>
        <v>196306.71360685566</v>
      </c>
      <c r="S633">
        <f t="shared" si="202"/>
        <v>196396.63767843944</v>
      </c>
      <c r="T633">
        <f t="shared" si="203"/>
        <v>196056.15666715617</v>
      </c>
      <c r="U633">
        <f t="shared" si="204"/>
        <v>195516.58679370483</v>
      </c>
      <c r="V633">
        <f t="shared" si="228"/>
        <v>0</v>
      </c>
      <c r="W633">
        <f t="shared" si="229"/>
        <v>1</v>
      </c>
      <c r="X633">
        <f t="shared" si="230"/>
        <v>0</v>
      </c>
      <c r="Y633">
        <f t="shared" si="231"/>
        <v>0</v>
      </c>
      <c r="Z633">
        <f t="shared" si="232"/>
        <v>0</v>
      </c>
      <c r="AA633">
        <f t="shared" ref="AA633" si="245">IF(MAX(P633:U633)=U633, 1, 0)</f>
        <v>0</v>
      </c>
      <c r="AC633">
        <f t="shared" si="221"/>
        <v>195957.23590407567</v>
      </c>
      <c r="AD633">
        <f t="shared" si="222"/>
        <v>196770.60510193504</v>
      </c>
      <c r="AE633">
        <f t="shared" si="223"/>
        <v>196306.71360685566</v>
      </c>
      <c r="AF633">
        <f t="shared" si="224"/>
        <v>196396.63767843944</v>
      </c>
      <c r="AG633">
        <f t="shared" si="225"/>
        <v>196056.15666715617</v>
      </c>
      <c r="AH633">
        <f t="shared" si="226"/>
        <v>195516.58679370483</v>
      </c>
      <c r="AI633">
        <f t="shared" si="239"/>
        <v>196770.60510193504</v>
      </c>
    </row>
    <row r="634" spans="2:35" x14ac:dyDescent="0.3">
      <c r="B634">
        <v>591</v>
      </c>
      <c r="C634">
        <v>76331.726299999995</v>
      </c>
      <c r="D634">
        <v>75262.059500000003</v>
      </c>
      <c r="E634">
        <v>75607.287400000001</v>
      </c>
      <c r="F634">
        <v>75377.982900000003</v>
      </c>
      <c r="G634">
        <v>75874.550399999993</v>
      </c>
      <c r="H634">
        <v>76067.455799999996</v>
      </c>
      <c r="I634">
        <v>9.4825819253191188</v>
      </c>
      <c r="J634">
        <v>9.4528779843705042</v>
      </c>
      <c r="K634">
        <v>9.429944939120249</v>
      </c>
      <c r="L634">
        <v>9.4259195349676261</v>
      </c>
      <c r="M634">
        <v>9.3971558722416493</v>
      </c>
      <c r="N634">
        <v>9.3721402732367771</v>
      </c>
      <c r="P634">
        <f t="shared" si="199"/>
        <v>208145.73145957361</v>
      </c>
      <c r="Q634">
        <f t="shared" si="200"/>
        <v>208324.28003111514</v>
      </c>
      <c r="R634">
        <f t="shared" si="201"/>
        <v>207291.06077360749</v>
      </c>
      <c r="S634">
        <f t="shared" si="202"/>
        <v>207399.60314902879</v>
      </c>
      <c r="T634">
        <f t="shared" si="203"/>
        <v>206040.1257672495</v>
      </c>
      <c r="U634">
        <f t="shared" si="204"/>
        <v>205096.75239710329</v>
      </c>
      <c r="V634">
        <f t="shared" si="228"/>
        <v>0</v>
      </c>
      <c r="W634">
        <f t="shared" si="229"/>
        <v>1</v>
      </c>
      <c r="X634">
        <f t="shared" si="230"/>
        <v>0</v>
      </c>
      <c r="Y634">
        <f t="shared" si="231"/>
        <v>0</v>
      </c>
      <c r="Z634">
        <f t="shared" si="232"/>
        <v>0</v>
      </c>
      <c r="AC634">
        <f t="shared" si="221"/>
        <v>208145.73145957361</v>
      </c>
      <c r="AD634">
        <f t="shared" si="222"/>
        <v>208324.28003111514</v>
      </c>
      <c r="AE634">
        <f t="shared" si="223"/>
        <v>207291.06077360749</v>
      </c>
      <c r="AF634">
        <f t="shared" si="224"/>
        <v>207399.60314902879</v>
      </c>
      <c r="AG634">
        <f t="shared" si="225"/>
        <v>206040.1257672495</v>
      </c>
      <c r="AH634">
        <f t="shared" si="226"/>
        <v>205096.75239710329</v>
      </c>
      <c r="AI634">
        <f t="shared" si="239"/>
        <v>208324.28003111514</v>
      </c>
    </row>
    <row r="635" spans="2:35" x14ac:dyDescent="0.3">
      <c r="B635">
        <v>592</v>
      </c>
      <c r="C635">
        <v>79513.456099999996</v>
      </c>
      <c r="D635">
        <v>78507.742700000003</v>
      </c>
      <c r="E635">
        <v>78685.091899999999</v>
      </c>
      <c r="F635">
        <v>78513.086299999995</v>
      </c>
      <c r="G635">
        <v>78630.395999999993</v>
      </c>
      <c r="H635">
        <v>78692.885800000004</v>
      </c>
      <c r="I635">
        <v>10.102021170966955</v>
      </c>
      <c r="J635">
        <v>10.097005549030351</v>
      </c>
      <c r="K635">
        <v>10.093156190602675</v>
      </c>
      <c r="L635">
        <v>10.091416991678669</v>
      </c>
      <c r="M635">
        <v>10.090009285486966</v>
      </c>
      <c r="N635">
        <v>10.08433142496364</v>
      </c>
      <c r="P635">
        <f t="shared" si="199"/>
        <v>223547.17902900866</v>
      </c>
      <c r="Q635">
        <f t="shared" si="200"/>
        <v>224402.42377091054</v>
      </c>
      <c r="R635">
        <f t="shared" si="201"/>
        <v>224109.59381808026</v>
      </c>
      <c r="S635">
        <f t="shared" si="202"/>
        <v>224229.42345036005</v>
      </c>
      <c r="T635">
        <f t="shared" si="203"/>
        <v>224069.88256460894</v>
      </c>
      <c r="U635">
        <f t="shared" si="204"/>
        <v>223837.05694890919</v>
      </c>
      <c r="V635">
        <f t="shared" si="228"/>
        <v>0</v>
      </c>
      <c r="W635">
        <f t="shared" si="229"/>
        <v>1</v>
      </c>
      <c r="X635">
        <f t="shared" si="230"/>
        <v>0</v>
      </c>
      <c r="Y635">
        <f t="shared" si="231"/>
        <v>0</v>
      </c>
      <c r="Z635">
        <f t="shared" si="232"/>
        <v>0</v>
      </c>
      <c r="AA635">
        <f t="shared" ref="AA635" si="246">IF(MAX(P635:U635)=U635, 1, 0)</f>
        <v>0</v>
      </c>
      <c r="AC635">
        <f t="shared" si="221"/>
        <v>223547.17902900866</v>
      </c>
      <c r="AD635">
        <f t="shared" si="222"/>
        <v>224402.42377091054</v>
      </c>
      <c r="AE635">
        <f t="shared" si="223"/>
        <v>224109.59381808026</v>
      </c>
      <c r="AF635">
        <f t="shared" si="224"/>
        <v>224229.42345036005</v>
      </c>
      <c r="AG635">
        <f t="shared" si="225"/>
        <v>224069.88256460894</v>
      </c>
      <c r="AH635">
        <f t="shared" si="226"/>
        <v>223837.05694890919</v>
      </c>
      <c r="AI635">
        <f t="shared" si="239"/>
        <v>224402.42377091054</v>
      </c>
    </row>
    <row r="636" spans="2:35" x14ac:dyDescent="0.3">
      <c r="B636">
        <v>593</v>
      </c>
      <c r="C636">
        <v>81853.636700000003</v>
      </c>
      <c r="D636">
        <v>81504.712400000004</v>
      </c>
      <c r="E636">
        <v>82086.524099999995</v>
      </c>
      <c r="F636">
        <v>82256.885699999999</v>
      </c>
      <c r="G636">
        <v>82620.2696</v>
      </c>
      <c r="H636">
        <v>83599.387199999997</v>
      </c>
      <c r="I636">
        <v>9.9599754330839705</v>
      </c>
      <c r="J636">
        <v>9.9402222305168912</v>
      </c>
      <c r="K636">
        <v>9.9226954347390652</v>
      </c>
      <c r="L636">
        <v>9.9138114884232014</v>
      </c>
      <c r="M636">
        <v>9.9005876577899485</v>
      </c>
      <c r="N636">
        <v>9.8773645061147519</v>
      </c>
      <c r="P636">
        <f t="shared" si="199"/>
        <v>216945.62629251913</v>
      </c>
      <c r="Q636">
        <f t="shared" si="200"/>
        <v>216701.95451550675</v>
      </c>
      <c r="R636">
        <f t="shared" si="201"/>
        <v>215594.33894217195</v>
      </c>
      <c r="S636">
        <f t="shared" si="202"/>
        <v>215157.45895269606</v>
      </c>
      <c r="T636">
        <f t="shared" si="203"/>
        <v>214397.36013369844</v>
      </c>
      <c r="U636">
        <f t="shared" si="204"/>
        <v>212721.54798344255</v>
      </c>
      <c r="V636">
        <f t="shared" si="228"/>
        <v>1</v>
      </c>
      <c r="W636">
        <f t="shared" si="229"/>
        <v>0</v>
      </c>
      <c r="X636">
        <f t="shared" si="230"/>
        <v>0</v>
      </c>
      <c r="Y636">
        <f t="shared" si="231"/>
        <v>0</v>
      </c>
      <c r="Z636">
        <f t="shared" si="232"/>
        <v>0</v>
      </c>
      <c r="AC636">
        <f t="shared" si="221"/>
        <v>216945.62629251913</v>
      </c>
      <c r="AD636">
        <f t="shared" si="222"/>
        <v>216701.95451550675</v>
      </c>
      <c r="AE636">
        <f t="shared" si="223"/>
        <v>215594.33894217195</v>
      </c>
      <c r="AF636">
        <f t="shared" si="224"/>
        <v>215157.45895269606</v>
      </c>
      <c r="AG636">
        <f t="shared" si="225"/>
        <v>214397.36013369844</v>
      </c>
      <c r="AH636">
        <f t="shared" si="226"/>
        <v>212721.54798344255</v>
      </c>
      <c r="AI636">
        <f t="shared" si="239"/>
        <v>216945.62629251913</v>
      </c>
    </row>
    <row r="637" spans="2:35" x14ac:dyDescent="0.3">
      <c r="B637">
        <v>594</v>
      </c>
      <c r="C637">
        <v>71616.216</v>
      </c>
      <c r="D637">
        <v>70260.723199999993</v>
      </c>
      <c r="E637">
        <v>70065.306400000001</v>
      </c>
      <c r="F637">
        <v>69791.052100000001</v>
      </c>
      <c r="G637">
        <v>69671.578500000003</v>
      </c>
      <c r="H637">
        <v>69493.085500000001</v>
      </c>
      <c r="I637">
        <v>8.856080327595576</v>
      </c>
      <c r="J637">
        <v>8.8392792365414703</v>
      </c>
      <c r="K637">
        <v>8.8250947258904553</v>
      </c>
      <c r="L637">
        <v>8.8222250301596343</v>
      </c>
      <c r="M637">
        <v>8.8085624758256511</v>
      </c>
      <c r="N637">
        <v>8.7944113993788253</v>
      </c>
      <c r="P637">
        <f t="shared" si="199"/>
        <v>194066.19382786728</v>
      </c>
      <c r="Q637">
        <f t="shared" si="200"/>
        <v>194917.65389624413</v>
      </c>
      <c r="R637">
        <f t="shared" si="201"/>
        <v>194687.53537671367</v>
      </c>
      <c r="S637">
        <f t="shared" si="202"/>
        <v>194875.69880478902</v>
      </c>
      <c r="T637">
        <f t="shared" si="203"/>
        <v>194585.2957747695</v>
      </c>
      <c r="U637">
        <f t="shared" si="204"/>
        <v>194339.25648136478</v>
      </c>
      <c r="V637">
        <f t="shared" si="228"/>
        <v>0</v>
      </c>
      <c r="W637">
        <f t="shared" si="229"/>
        <v>1</v>
      </c>
      <c r="X637">
        <f t="shared" si="230"/>
        <v>0</v>
      </c>
      <c r="Y637">
        <f t="shared" si="231"/>
        <v>0</v>
      </c>
      <c r="Z637">
        <f t="shared" si="232"/>
        <v>0</v>
      </c>
      <c r="AA637">
        <f t="shared" ref="AA637" si="247">IF(MAX(P637:U637)=U637, 1, 0)</f>
        <v>0</v>
      </c>
      <c r="AC637">
        <f t="shared" si="221"/>
        <v>194066.19382786728</v>
      </c>
      <c r="AD637">
        <f t="shared" si="222"/>
        <v>194917.65389624413</v>
      </c>
      <c r="AE637">
        <f t="shared" si="223"/>
        <v>194687.53537671367</v>
      </c>
      <c r="AF637">
        <f t="shared" si="224"/>
        <v>194875.69880478902</v>
      </c>
      <c r="AG637">
        <f t="shared" si="225"/>
        <v>194585.2957747695</v>
      </c>
      <c r="AH637">
        <f t="shared" si="226"/>
        <v>194339.25648136478</v>
      </c>
      <c r="AI637">
        <f t="shared" si="239"/>
        <v>194917.65389624413</v>
      </c>
    </row>
    <row r="638" spans="2:35" x14ac:dyDescent="0.3">
      <c r="B638">
        <v>595</v>
      </c>
      <c r="C638">
        <v>87194.891099999993</v>
      </c>
      <c r="D638">
        <v>85864.530299999999</v>
      </c>
      <c r="E638">
        <v>85946.155599999998</v>
      </c>
      <c r="F638">
        <v>85834.915800000002</v>
      </c>
      <c r="G638">
        <v>85789.649099999995</v>
      </c>
      <c r="H638">
        <v>86084.973400000003</v>
      </c>
      <c r="I638">
        <v>10.097490006233778</v>
      </c>
      <c r="J638">
        <v>10.077594952041167</v>
      </c>
      <c r="K638">
        <v>10.061479033123952</v>
      </c>
      <c r="L638">
        <v>10.057693805971489</v>
      </c>
      <c r="M638">
        <v>10.041402185797793</v>
      </c>
      <c r="N638">
        <v>10.027452748347294</v>
      </c>
      <c r="P638">
        <f t="shared" si="199"/>
        <v>215729.80908701336</v>
      </c>
      <c r="Q638">
        <f t="shared" si="200"/>
        <v>216463.31826123502</v>
      </c>
      <c r="R638">
        <f t="shared" si="201"/>
        <v>215898.21539371856</v>
      </c>
      <c r="S638">
        <f t="shared" si="202"/>
        <v>215895.89837914467</v>
      </c>
      <c r="T638">
        <f t="shared" si="203"/>
        <v>215452.41647393379</v>
      </c>
      <c r="U638">
        <f t="shared" si="204"/>
        <v>214738.60905041877</v>
      </c>
      <c r="V638">
        <f t="shared" si="228"/>
        <v>0</v>
      </c>
      <c r="W638">
        <f t="shared" si="229"/>
        <v>1</v>
      </c>
      <c r="X638">
        <f t="shared" si="230"/>
        <v>0</v>
      </c>
      <c r="Y638">
        <f t="shared" si="231"/>
        <v>0</v>
      </c>
      <c r="Z638">
        <f t="shared" si="232"/>
        <v>0</v>
      </c>
      <c r="AC638">
        <f t="shared" si="221"/>
        <v>215729.80908701336</v>
      </c>
      <c r="AD638">
        <f t="shared" si="222"/>
        <v>216463.31826123502</v>
      </c>
      <c r="AE638">
        <f t="shared" si="223"/>
        <v>215898.21539371856</v>
      </c>
      <c r="AF638">
        <f t="shared" si="224"/>
        <v>215895.89837914467</v>
      </c>
      <c r="AG638">
        <f t="shared" si="225"/>
        <v>215452.41647393379</v>
      </c>
      <c r="AH638">
        <f t="shared" si="226"/>
        <v>214738.60905041877</v>
      </c>
      <c r="AI638">
        <f t="shared" si="239"/>
        <v>216463.31826123502</v>
      </c>
    </row>
    <row r="639" spans="2:35" x14ac:dyDescent="0.3">
      <c r="B639">
        <v>596</v>
      </c>
      <c r="C639">
        <v>75807.660999999993</v>
      </c>
      <c r="D639">
        <v>74336.723700000002</v>
      </c>
      <c r="E639">
        <v>74235.529699999999</v>
      </c>
      <c r="F639">
        <v>73964.269</v>
      </c>
      <c r="G639">
        <v>73795.404800000004</v>
      </c>
      <c r="H639">
        <v>73671.189499999993</v>
      </c>
      <c r="I639">
        <v>11.629553879314317</v>
      </c>
      <c r="J639">
        <v>11.595745592466535</v>
      </c>
      <c r="K639">
        <v>11.575279126841091</v>
      </c>
      <c r="L639">
        <v>11.565672095288054</v>
      </c>
      <c r="M639">
        <v>11.544897893127741</v>
      </c>
      <c r="N639">
        <v>11.519276354726008</v>
      </c>
      <c r="P639">
        <f t="shared" si="199"/>
        <v>273078.95537942951</v>
      </c>
      <c r="Q639">
        <f t="shared" si="200"/>
        <v>273535.64407399611</v>
      </c>
      <c r="R639">
        <f t="shared" si="201"/>
        <v>273022.84410523268</v>
      </c>
      <c r="S639">
        <f t="shared" si="202"/>
        <v>273005.89385864162</v>
      </c>
      <c r="T639">
        <f t="shared" si="203"/>
        <v>272551.53199383221</v>
      </c>
      <c r="U639">
        <f t="shared" si="204"/>
        <v>271907.10114178027</v>
      </c>
      <c r="V639">
        <f t="shared" si="228"/>
        <v>0</v>
      </c>
      <c r="W639">
        <f t="shared" si="229"/>
        <v>1</v>
      </c>
      <c r="X639">
        <f t="shared" si="230"/>
        <v>0</v>
      </c>
      <c r="Y639">
        <f t="shared" si="231"/>
        <v>0</v>
      </c>
      <c r="Z639">
        <f t="shared" si="232"/>
        <v>0</v>
      </c>
      <c r="AA639">
        <f t="shared" ref="AA639" si="248">IF(MAX(P639:U639)=U639, 1, 0)</f>
        <v>0</v>
      </c>
      <c r="AC639">
        <f t="shared" si="221"/>
        <v>273078.95537942951</v>
      </c>
      <c r="AD639">
        <f t="shared" si="222"/>
        <v>273535.64407399611</v>
      </c>
      <c r="AE639">
        <f t="shared" si="223"/>
        <v>273022.84410523268</v>
      </c>
      <c r="AF639">
        <f t="shared" si="224"/>
        <v>273005.89385864162</v>
      </c>
      <c r="AG639">
        <f t="shared" si="225"/>
        <v>272551.53199383221</v>
      </c>
      <c r="AH639">
        <f t="shared" si="226"/>
        <v>271907.10114178027</v>
      </c>
      <c r="AI639">
        <f t="shared" si="239"/>
        <v>273535.64407399611</v>
      </c>
    </row>
    <row r="640" spans="2:35" x14ac:dyDescent="0.3">
      <c r="B640">
        <v>597</v>
      </c>
      <c r="C640">
        <v>70001.640100000004</v>
      </c>
      <c r="D640">
        <v>70073.419500000004</v>
      </c>
      <c r="E640">
        <v>71028.312999999995</v>
      </c>
      <c r="F640">
        <v>71539.215100000001</v>
      </c>
      <c r="G640">
        <v>72314.137300000002</v>
      </c>
      <c r="H640">
        <v>73301.047200000001</v>
      </c>
      <c r="I640">
        <v>11.460903307834435</v>
      </c>
      <c r="J640">
        <v>11.433216836455546</v>
      </c>
      <c r="K640">
        <v>11.413380552746084</v>
      </c>
      <c r="L640">
        <v>11.400512202200449</v>
      </c>
      <c r="M640">
        <v>11.381880441934493</v>
      </c>
      <c r="N640">
        <v>11.358543521717582</v>
      </c>
      <c r="P640">
        <f t="shared" si="199"/>
        <v>273825.45913503302</v>
      </c>
      <c r="Q640">
        <f t="shared" si="200"/>
        <v>272923.08559366636</v>
      </c>
      <c r="R640">
        <f t="shared" si="201"/>
        <v>271373.10358238255</v>
      </c>
      <c r="S640">
        <f t="shared" si="202"/>
        <v>270476.15096601343</v>
      </c>
      <c r="T640">
        <f t="shared" si="203"/>
        <v>269142.27595803479</v>
      </c>
      <c r="U640">
        <f t="shared" si="204"/>
        <v>267455.25845152745</v>
      </c>
      <c r="V640">
        <f t="shared" si="228"/>
        <v>1</v>
      </c>
      <c r="W640">
        <f t="shared" si="229"/>
        <v>0</v>
      </c>
      <c r="X640">
        <f t="shared" si="230"/>
        <v>0</v>
      </c>
      <c r="Y640">
        <f t="shared" si="231"/>
        <v>0</v>
      </c>
      <c r="Z640">
        <f t="shared" si="232"/>
        <v>0</v>
      </c>
      <c r="AC640">
        <f t="shared" si="221"/>
        <v>273825.45913503302</v>
      </c>
      <c r="AD640">
        <f t="shared" si="222"/>
        <v>272923.08559366636</v>
      </c>
      <c r="AE640">
        <f t="shared" si="223"/>
        <v>271373.10358238255</v>
      </c>
      <c r="AF640">
        <f t="shared" si="224"/>
        <v>270476.15096601343</v>
      </c>
      <c r="AG640">
        <f t="shared" si="225"/>
        <v>269142.27595803479</v>
      </c>
      <c r="AH640">
        <f t="shared" si="226"/>
        <v>267455.25845152745</v>
      </c>
      <c r="AI640">
        <f t="shared" si="239"/>
        <v>273825.45913503302</v>
      </c>
    </row>
    <row r="641" spans="2:35" x14ac:dyDescent="0.3">
      <c r="B641">
        <v>598</v>
      </c>
      <c r="C641">
        <v>64794.849800000004</v>
      </c>
      <c r="D641">
        <v>63494.532800000001</v>
      </c>
      <c r="E641">
        <v>63448.203999999998</v>
      </c>
      <c r="F641">
        <v>63197.334600000002</v>
      </c>
      <c r="G641">
        <v>63229.3033</v>
      </c>
      <c r="H641">
        <v>63095.890800000001</v>
      </c>
      <c r="I641">
        <v>10.186051639966824</v>
      </c>
      <c r="J641">
        <v>10.157322907683758</v>
      </c>
      <c r="K641">
        <v>10.136721949831776</v>
      </c>
      <c r="L641">
        <v>10.127228685040635</v>
      </c>
      <c r="M641">
        <v>10.107903829080287</v>
      </c>
      <c r="N641">
        <v>10.081199323364562</v>
      </c>
      <c r="P641">
        <f t="shared" ref="P641:P704" si="249">Threshold*I641-C641</f>
        <v>240786.69939900472</v>
      </c>
      <c r="Q641">
        <f t="shared" ref="Q641:Q704" si="250">Threshold*J641-D641</f>
        <v>241225.15443051275</v>
      </c>
      <c r="R641">
        <f t="shared" ref="R641:R704" si="251">Threshold*K641-E641</f>
        <v>240653.45449495324</v>
      </c>
      <c r="S641">
        <f t="shared" ref="S641:S704" si="252">Threshold*L641-F641</f>
        <v>240619.52595121902</v>
      </c>
      <c r="T641">
        <f t="shared" ref="T641:T704" si="253">Threshold*M641-G641</f>
        <v>240007.81157240862</v>
      </c>
      <c r="U641">
        <f t="shared" ref="U641:U704" si="254">Threshold*N641-H641</f>
        <v>239340.08890093683</v>
      </c>
      <c r="V641">
        <f t="shared" si="228"/>
        <v>0</v>
      </c>
      <c r="W641">
        <f t="shared" si="229"/>
        <v>1</v>
      </c>
      <c r="X641">
        <f t="shared" si="230"/>
        <v>0</v>
      </c>
      <c r="Y641">
        <f t="shared" si="231"/>
        <v>0</v>
      </c>
      <c r="Z641">
        <f t="shared" si="232"/>
        <v>0</v>
      </c>
      <c r="AA641">
        <f t="shared" ref="AA641" si="255">IF(MAX(P641:U641)=U641, 1, 0)</f>
        <v>0</v>
      </c>
      <c r="AC641">
        <f t="shared" si="221"/>
        <v>240786.69939900472</v>
      </c>
      <c r="AD641">
        <f t="shared" si="222"/>
        <v>241225.15443051275</v>
      </c>
      <c r="AE641">
        <f t="shared" si="223"/>
        <v>240653.45449495324</v>
      </c>
      <c r="AF641">
        <f t="shared" si="224"/>
        <v>240619.52595121902</v>
      </c>
      <c r="AG641">
        <f t="shared" si="225"/>
        <v>240007.81157240862</v>
      </c>
      <c r="AH641">
        <f t="shared" si="226"/>
        <v>239340.08890093683</v>
      </c>
      <c r="AI641">
        <f t="shared" si="239"/>
        <v>241225.15443051275</v>
      </c>
    </row>
    <row r="642" spans="2:35" x14ac:dyDescent="0.3">
      <c r="B642">
        <v>599</v>
      </c>
      <c r="C642">
        <v>78630.481299999999</v>
      </c>
      <c r="D642">
        <v>77790.279399999999</v>
      </c>
      <c r="E642">
        <v>77929.661200000002</v>
      </c>
      <c r="F642">
        <v>77929.526299999998</v>
      </c>
      <c r="G642">
        <v>78165.415299999993</v>
      </c>
      <c r="H642">
        <v>78484.631500000003</v>
      </c>
      <c r="I642">
        <v>9.6365431168208104</v>
      </c>
      <c r="J642">
        <v>9.6103939573857673</v>
      </c>
      <c r="K642">
        <v>9.5939050264797334</v>
      </c>
      <c r="L642">
        <v>9.5805456556170299</v>
      </c>
      <c r="M642">
        <v>9.5603718310573385</v>
      </c>
      <c r="N642">
        <v>9.5407534035111592</v>
      </c>
      <c r="P642">
        <f t="shared" si="249"/>
        <v>210465.81220462435</v>
      </c>
      <c r="Q642">
        <f t="shared" si="250"/>
        <v>210521.53932157304</v>
      </c>
      <c r="R642">
        <f t="shared" si="251"/>
        <v>209887.48959439198</v>
      </c>
      <c r="S642">
        <f t="shared" si="252"/>
        <v>209486.84336851092</v>
      </c>
      <c r="T642">
        <f t="shared" si="253"/>
        <v>208645.73963172018</v>
      </c>
      <c r="U642">
        <f t="shared" si="254"/>
        <v>207737.97060533473</v>
      </c>
      <c r="V642">
        <f t="shared" si="228"/>
        <v>0</v>
      </c>
      <c r="W642">
        <f t="shared" si="229"/>
        <v>1</v>
      </c>
      <c r="X642">
        <f t="shared" si="230"/>
        <v>0</v>
      </c>
      <c r="Y642">
        <f t="shared" si="231"/>
        <v>0</v>
      </c>
      <c r="Z642">
        <f t="shared" si="232"/>
        <v>0</v>
      </c>
      <c r="AC642">
        <f t="shared" si="221"/>
        <v>210465.81220462435</v>
      </c>
      <c r="AD642">
        <f t="shared" si="222"/>
        <v>210521.53932157304</v>
      </c>
      <c r="AE642">
        <f t="shared" si="223"/>
        <v>209887.48959439198</v>
      </c>
      <c r="AF642">
        <f t="shared" si="224"/>
        <v>209486.84336851092</v>
      </c>
      <c r="AG642">
        <f t="shared" si="225"/>
        <v>208645.73963172018</v>
      </c>
      <c r="AH642">
        <f t="shared" si="226"/>
        <v>207737.97060533473</v>
      </c>
      <c r="AI642">
        <f t="shared" si="239"/>
        <v>210521.53932157304</v>
      </c>
    </row>
    <row r="643" spans="2:35" x14ac:dyDescent="0.3">
      <c r="B643">
        <v>600</v>
      </c>
      <c r="C643">
        <v>71227.285999999993</v>
      </c>
      <c r="D643">
        <v>70804.186000000002</v>
      </c>
      <c r="E643">
        <v>71652.873399999997</v>
      </c>
      <c r="F643">
        <v>71796.075100000002</v>
      </c>
      <c r="G643">
        <v>72467.670100000003</v>
      </c>
      <c r="H643">
        <v>73248.738500000007</v>
      </c>
      <c r="I643">
        <v>10.403177839721474</v>
      </c>
      <c r="J643">
        <v>10.363460153892632</v>
      </c>
      <c r="K643">
        <v>10.336643325704147</v>
      </c>
      <c r="L643">
        <v>10.324227536573204</v>
      </c>
      <c r="M643">
        <v>10.29580066360038</v>
      </c>
      <c r="N643">
        <v>10.268468453198793</v>
      </c>
      <c r="P643">
        <f t="shared" si="249"/>
        <v>240868.04919164421</v>
      </c>
      <c r="Q643">
        <f t="shared" si="250"/>
        <v>240099.61861677899</v>
      </c>
      <c r="R643">
        <f t="shared" si="251"/>
        <v>238446.4263711244</v>
      </c>
      <c r="S643">
        <f t="shared" si="252"/>
        <v>237930.75099719613</v>
      </c>
      <c r="T643">
        <f t="shared" si="253"/>
        <v>236406.34980801138</v>
      </c>
      <c r="U643">
        <f t="shared" si="254"/>
        <v>234805.3150959638</v>
      </c>
      <c r="V643">
        <f t="shared" si="228"/>
        <v>1</v>
      </c>
      <c r="W643">
        <f t="shared" si="229"/>
        <v>0</v>
      </c>
      <c r="X643">
        <f t="shared" si="230"/>
        <v>0</v>
      </c>
      <c r="Y643">
        <f t="shared" si="231"/>
        <v>0</v>
      </c>
      <c r="Z643">
        <f t="shared" si="232"/>
        <v>0</v>
      </c>
      <c r="AA643">
        <f t="shared" ref="AA643" si="256">IF(MAX(P643:U643)=U643, 1, 0)</f>
        <v>0</v>
      </c>
      <c r="AC643">
        <f t="shared" si="221"/>
        <v>240868.04919164421</v>
      </c>
      <c r="AD643">
        <f t="shared" si="222"/>
        <v>240099.61861677899</v>
      </c>
      <c r="AE643">
        <f t="shared" si="223"/>
        <v>238446.4263711244</v>
      </c>
      <c r="AF643">
        <f t="shared" si="224"/>
        <v>237930.75099719613</v>
      </c>
      <c r="AG643">
        <f t="shared" si="225"/>
        <v>236406.34980801138</v>
      </c>
      <c r="AH643">
        <f t="shared" si="226"/>
        <v>234805.3150959638</v>
      </c>
      <c r="AI643">
        <f t="shared" si="239"/>
        <v>240868.04919164421</v>
      </c>
    </row>
    <row r="644" spans="2:35" x14ac:dyDescent="0.3">
      <c r="B644">
        <v>601</v>
      </c>
      <c r="C644">
        <v>83470.333599999998</v>
      </c>
      <c r="D644">
        <v>81907.275099999999</v>
      </c>
      <c r="E644">
        <v>82068.8459</v>
      </c>
      <c r="F644">
        <v>81587.388099999996</v>
      </c>
      <c r="G644">
        <v>81510.809699999998</v>
      </c>
      <c r="H644">
        <v>81455.134399999995</v>
      </c>
      <c r="I644">
        <v>9.2375553830428938</v>
      </c>
      <c r="J644">
        <v>9.1817373902750248</v>
      </c>
      <c r="K644">
        <v>9.1431747630384113</v>
      </c>
      <c r="L644">
        <v>9.1422340392082901</v>
      </c>
      <c r="M644">
        <v>9.0869848540024858</v>
      </c>
      <c r="N644">
        <v>9.0498324587179244</v>
      </c>
      <c r="P644">
        <f t="shared" si="249"/>
        <v>193656.32789128681</v>
      </c>
      <c r="Q644">
        <f t="shared" si="250"/>
        <v>193544.84660825072</v>
      </c>
      <c r="R644">
        <f t="shared" si="251"/>
        <v>192226.39699115232</v>
      </c>
      <c r="S644">
        <f t="shared" si="252"/>
        <v>192679.63307624875</v>
      </c>
      <c r="T644">
        <f t="shared" si="253"/>
        <v>191098.73592007457</v>
      </c>
      <c r="U644">
        <f t="shared" si="254"/>
        <v>190039.83936153777</v>
      </c>
      <c r="V644">
        <f t="shared" si="228"/>
        <v>1</v>
      </c>
      <c r="W644">
        <f t="shared" si="229"/>
        <v>0</v>
      </c>
      <c r="X644">
        <f t="shared" si="230"/>
        <v>0</v>
      </c>
      <c r="Y644">
        <f t="shared" si="231"/>
        <v>0</v>
      </c>
      <c r="Z644">
        <f t="shared" si="232"/>
        <v>0</v>
      </c>
      <c r="AC644">
        <f t="shared" si="221"/>
        <v>193656.32789128681</v>
      </c>
      <c r="AD644">
        <f t="shared" si="222"/>
        <v>193544.84660825072</v>
      </c>
      <c r="AE644">
        <f t="shared" si="223"/>
        <v>192226.39699115232</v>
      </c>
      <c r="AF644">
        <f t="shared" si="224"/>
        <v>192679.63307624875</v>
      </c>
      <c r="AG644">
        <f t="shared" si="225"/>
        <v>191098.73592007457</v>
      </c>
      <c r="AH644">
        <f t="shared" si="226"/>
        <v>190039.83936153777</v>
      </c>
      <c r="AI644">
        <f t="shared" si="239"/>
        <v>193656.32789128681</v>
      </c>
    </row>
    <row r="645" spans="2:35" x14ac:dyDescent="0.3">
      <c r="B645">
        <v>602</v>
      </c>
      <c r="C645">
        <v>78373.085399999996</v>
      </c>
      <c r="D645">
        <v>78189.718500000003</v>
      </c>
      <c r="E645">
        <v>79040.832899999994</v>
      </c>
      <c r="F645">
        <v>79111.375199999995</v>
      </c>
      <c r="G645">
        <v>79876.414799999999</v>
      </c>
      <c r="H645">
        <v>80571.756399999998</v>
      </c>
      <c r="I645">
        <v>9.1752024957872838</v>
      </c>
      <c r="J645">
        <v>9.1592269807183584</v>
      </c>
      <c r="K645">
        <v>9.1470163069274868</v>
      </c>
      <c r="L645">
        <v>9.140790523466114</v>
      </c>
      <c r="M645">
        <v>9.1345446651816804</v>
      </c>
      <c r="N645">
        <v>9.1145978868679656</v>
      </c>
      <c r="P645">
        <f t="shared" si="249"/>
        <v>196882.98947361851</v>
      </c>
      <c r="Q645">
        <f t="shared" si="250"/>
        <v>196587.09092155076</v>
      </c>
      <c r="R645">
        <f t="shared" si="251"/>
        <v>195369.6563078246</v>
      </c>
      <c r="S645">
        <f t="shared" si="252"/>
        <v>195112.34050398343</v>
      </c>
      <c r="T645">
        <f t="shared" si="253"/>
        <v>194159.92515545039</v>
      </c>
      <c r="U645">
        <f t="shared" si="254"/>
        <v>192866.18020603893</v>
      </c>
      <c r="V645">
        <f t="shared" si="228"/>
        <v>1</v>
      </c>
      <c r="W645">
        <f t="shared" si="229"/>
        <v>0</v>
      </c>
      <c r="X645">
        <f t="shared" si="230"/>
        <v>0</v>
      </c>
      <c r="Y645">
        <f t="shared" si="231"/>
        <v>0</v>
      </c>
      <c r="Z645">
        <f t="shared" si="232"/>
        <v>0</v>
      </c>
      <c r="AA645">
        <f t="shared" ref="AA645" si="257">IF(MAX(P645:U645)=U645, 1, 0)</f>
        <v>0</v>
      </c>
      <c r="AC645">
        <f t="shared" si="221"/>
        <v>196882.98947361851</v>
      </c>
      <c r="AD645">
        <f t="shared" si="222"/>
        <v>196587.09092155076</v>
      </c>
      <c r="AE645">
        <f t="shared" si="223"/>
        <v>195369.6563078246</v>
      </c>
      <c r="AF645">
        <f t="shared" si="224"/>
        <v>195112.34050398343</v>
      </c>
      <c r="AG645">
        <f t="shared" si="225"/>
        <v>194159.92515545039</v>
      </c>
      <c r="AH645">
        <f t="shared" si="226"/>
        <v>192866.18020603893</v>
      </c>
      <c r="AI645">
        <f t="shared" si="239"/>
        <v>196882.98947361851</v>
      </c>
    </row>
    <row r="646" spans="2:35" x14ac:dyDescent="0.3">
      <c r="B646">
        <v>603</v>
      </c>
      <c r="C646">
        <v>75856.6541</v>
      </c>
      <c r="D646">
        <v>74602.507100000003</v>
      </c>
      <c r="E646">
        <v>74536.234899999996</v>
      </c>
      <c r="F646">
        <v>74377.130600000004</v>
      </c>
      <c r="G646">
        <v>74384.590400000001</v>
      </c>
      <c r="H646">
        <v>74514.894499999995</v>
      </c>
      <c r="I646">
        <v>7.5420306026151014</v>
      </c>
      <c r="J646">
        <v>7.5194960570177232</v>
      </c>
      <c r="K646">
        <v>7.5038614758638031</v>
      </c>
      <c r="L646">
        <v>7.4841042339202319</v>
      </c>
      <c r="M646">
        <v>7.4769221644673882</v>
      </c>
      <c r="N646">
        <v>7.462660461413952</v>
      </c>
      <c r="P646">
        <f t="shared" si="249"/>
        <v>150404.26397845306</v>
      </c>
      <c r="Q646">
        <f t="shared" si="250"/>
        <v>150982.37461053167</v>
      </c>
      <c r="R646">
        <f t="shared" si="251"/>
        <v>150579.60937591409</v>
      </c>
      <c r="S646">
        <f t="shared" si="252"/>
        <v>150145.99641760695</v>
      </c>
      <c r="T646">
        <f t="shared" si="253"/>
        <v>149923.07453402167</v>
      </c>
      <c r="U646">
        <f t="shared" si="254"/>
        <v>149364.91934241858</v>
      </c>
      <c r="V646">
        <f t="shared" si="228"/>
        <v>0</v>
      </c>
      <c r="W646">
        <f t="shared" si="229"/>
        <v>1</v>
      </c>
      <c r="X646">
        <f t="shared" si="230"/>
        <v>0</v>
      </c>
      <c r="Y646">
        <f t="shared" si="231"/>
        <v>0</v>
      </c>
      <c r="Z646">
        <f t="shared" si="232"/>
        <v>0</v>
      </c>
      <c r="AC646">
        <f t="shared" si="221"/>
        <v>150404.26397845306</v>
      </c>
      <c r="AD646">
        <f t="shared" si="222"/>
        <v>150982.37461053167</v>
      </c>
      <c r="AE646">
        <f t="shared" si="223"/>
        <v>150579.60937591409</v>
      </c>
      <c r="AF646">
        <f t="shared" si="224"/>
        <v>150145.99641760695</v>
      </c>
      <c r="AG646">
        <f t="shared" si="225"/>
        <v>149923.07453402167</v>
      </c>
      <c r="AH646">
        <f t="shared" si="226"/>
        <v>149364.91934241858</v>
      </c>
      <c r="AI646">
        <f t="shared" si="239"/>
        <v>150982.37461053167</v>
      </c>
    </row>
    <row r="647" spans="2:35" x14ac:dyDescent="0.3">
      <c r="B647">
        <v>604</v>
      </c>
      <c r="C647">
        <v>69718.846900000004</v>
      </c>
      <c r="D647">
        <v>68839.734599999996</v>
      </c>
      <c r="E647">
        <v>69433.404999999999</v>
      </c>
      <c r="F647">
        <v>69135.815199999997</v>
      </c>
      <c r="G647">
        <v>69968.295800000007</v>
      </c>
      <c r="H647">
        <v>70268.053</v>
      </c>
      <c r="I647">
        <v>10.203126574988264</v>
      </c>
      <c r="J647">
        <v>10.179247867327103</v>
      </c>
      <c r="K647">
        <v>10.147072224080864</v>
      </c>
      <c r="L647">
        <v>10.14913875449097</v>
      </c>
      <c r="M647">
        <v>10.116398423785064</v>
      </c>
      <c r="N647">
        <v>10.089802744701799</v>
      </c>
      <c r="P647">
        <f t="shared" si="249"/>
        <v>236374.9503496479</v>
      </c>
      <c r="Q647">
        <f t="shared" si="250"/>
        <v>236537.70141981306</v>
      </c>
      <c r="R647">
        <f t="shared" si="251"/>
        <v>234978.7617224259</v>
      </c>
      <c r="S647">
        <f t="shared" si="252"/>
        <v>235338.3474347291</v>
      </c>
      <c r="T647">
        <f t="shared" si="253"/>
        <v>233523.65691355191</v>
      </c>
      <c r="U647">
        <f t="shared" si="254"/>
        <v>232426.02934105397</v>
      </c>
      <c r="V647">
        <f t="shared" si="228"/>
        <v>0</v>
      </c>
      <c r="W647">
        <f t="shared" si="229"/>
        <v>1</v>
      </c>
      <c r="X647">
        <f t="shared" si="230"/>
        <v>0</v>
      </c>
      <c r="Y647">
        <f t="shared" si="231"/>
        <v>0</v>
      </c>
      <c r="Z647">
        <f t="shared" si="232"/>
        <v>0</v>
      </c>
      <c r="AA647">
        <f t="shared" ref="AA647" si="258">IF(MAX(P647:U647)=U647, 1, 0)</f>
        <v>0</v>
      </c>
      <c r="AC647">
        <f t="shared" si="221"/>
        <v>236374.9503496479</v>
      </c>
      <c r="AD647">
        <f t="shared" si="222"/>
        <v>236537.70141981306</v>
      </c>
      <c r="AE647">
        <f t="shared" si="223"/>
        <v>234978.7617224259</v>
      </c>
      <c r="AF647">
        <f t="shared" si="224"/>
        <v>235338.3474347291</v>
      </c>
      <c r="AG647">
        <f t="shared" si="225"/>
        <v>233523.65691355191</v>
      </c>
      <c r="AH647">
        <f t="shared" si="226"/>
        <v>232426.02934105397</v>
      </c>
      <c r="AI647">
        <f t="shared" si="239"/>
        <v>236537.70141981306</v>
      </c>
    </row>
    <row r="648" spans="2:35" x14ac:dyDescent="0.3">
      <c r="B648">
        <v>605</v>
      </c>
      <c r="C648">
        <v>73378.469299999997</v>
      </c>
      <c r="D648">
        <v>72967.984299999996</v>
      </c>
      <c r="E648">
        <v>73887.599000000002</v>
      </c>
      <c r="F648">
        <v>73832.871100000004</v>
      </c>
      <c r="G648">
        <v>74618.507400000002</v>
      </c>
      <c r="H648">
        <v>75301.708799999993</v>
      </c>
      <c r="I648">
        <v>10.953069761996762</v>
      </c>
      <c r="J648">
        <v>10.921673307394258</v>
      </c>
      <c r="K648">
        <v>10.893632200135453</v>
      </c>
      <c r="L648">
        <v>10.884547960690927</v>
      </c>
      <c r="M648">
        <v>10.860006387154556</v>
      </c>
      <c r="N648">
        <v>10.833622770456858</v>
      </c>
      <c r="P648">
        <f t="shared" si="249"/>
        <v>255213.62355990283</v>
      </c>
      <c r="Q648">
        <f t="shared" si="250"/>
        <v>254682.21492182772</v>
      </c>
      <c r="R648">
        <f t="shared" si="251"/>
        <v>252921.36700406362</v>
      </c>
      <c r="S648">
        <f t="shared" si="252"/>
        <v>252703.56772072782</v>
      </c>
      <c r="T648">
        <f t="shared" si="253"/>
        <v>251181.68421463668</v>
      </c>
      <c r="U648">
        <f t="shared" si="254"/>
        <v>249706.97431370572</v>
      </c>
      <c r="V648">
        <f t="shared" si="228"/>
        <v>1</v>
      </c>
      <c r="W648">
        <f t="shared" si="229"/>
        <v>0</v>
      </c>
      <c r="X648">
        <f t="shared" si="230"/>
        <v>0</v>
      </c>
      <c r="Y648">
        <f t="shared" si="231"/>
        <v>0</v>
      </c>
      <c r="Z648">
        <f t="shared" si="232"/>
        <v>0</v>
      </c>
      <c r="AC648">
        <f t="shared" si="221"/>
        <v>255213.62355990283</v>
      </c>
      <c r="AD648">
        <f t="shared" si="222"/>
        <v>254682.21492182772</v>
      </c>
      <c r="AE648">
        <f t="shared" si="223"/>
        <v>252921.36700406362</v>
      </c>
      <c r="AF648">
        <f t="shared" si="224"/>
        <v>252703.56772072782</v>
      </c>
      <c r="AG648">
        <f t="shared" si="225"/>
        <v>251181.68421463668</v>
      </c>
      <c r="AH648">
        <f t="shared" si="226"/>
        <v>249706.97431370572</v>
      </c>
      <c r="AI648">
        <f t="shared" si="239"/>
        <v>255213.62355990283</v>
      </c>
    </row>
    <row r="649" spans="2:35" x14ac:dyDescent="0.3">
      <c r="B649">
        <v>606</v>
      </c>
      <c r="C649">
        <v>79335.408200000005</v>
      </c>
      <c r="D649">
        <v>78313.739199999996</v>
      </c>
      <c r="E649">
        <v>78390.782999999996</v>
      </c>
      <c r="F649">
        <v>78238.354699999996</v>
      </c>
      <c r="G649">
        <v>78597.023100000006</v>
      </c>
      <c r="H649">
        <v>78764.680699999997</v>
      </c>
      <c r="I649">
        <v>10.888911573651878</v>
      </c>
      <c r="J649">
        <v>10.844000003296015</v>
      </c>
      <c r="K649">
        <v>10.804692718210726</v>
      </c>
      <c r="L649">
        <v>10.789578315928233</v>
      </c>
      <c r="M649">
        <v>10.754265836027752</v>
      </c>
      <c r="N649">
        <v>10.708672461404822</v>
      </c>
      <c r="P649">
        <f t="shared" si="249"/>
        <v>247331.93900955631</v>
      </c>
      <c r="Q649">
        <f t="shared" si="250"/>
        <v>247006.26089888043</v>
      </c>
      <c r="R649">
        <f t="shared" si="251"/>
        <v>245749.99854632176</v>
      </c>
      <c r="S649">
        <f t="shared" si="252"/>
        <v>245448.99477784699</v>
      </c>
      <c r="T649">
        <f t="shared" si="253"/>
        <v>244030.95198083256</v>
      </c>
      <c r="U649">
        <f t="shared" si="254"/>
        <v>242495.49314214467</v>
      </c>
      <c r="V649">
        <f t="shared" si="228"/>
        <v>1</v>
      </c>
      <c r="W649">
        <f t="shared" si="229"/>
        <v>0</v>
      </c>
      <c r="X649">
        <f t="shared" si="230"/>
        <v>0</v>
      </c>
      <c r="Y649">
        <f t="shared" si="231"/>
        <v>0</v>
      </c>
      <c r="Z649">
        <f t="shared" si="232"/>
        <v>0</v>
      </c>
      <c r="AA649">
        <f t="shared" ref="AA649" si="259">IF(MAX(P649:U649)=U649, 1, 0)</f>
        <v>0</v>
      </c>
      <c r="AC649">
        <f t="shared" si="221"/>
        <v>247331.93900955631</v>
      </c>
      <c r="AD649">
        <f t="shared" si="222"/>
        <v>247006.26089888043</v>
      </c>
      <c r="AE649">
        <f t="shared" si="223"/>
        <v>245749.99854632176</v>
      </c>
      <c r="AF649">
        <f t="shared" si="224"/>
        <v>245448.99477784699</v>
      </c>
      <c r="AG649">
        <f t="shared" si="225"/>
        <v>244030.95198083256</v>
      </c>
      <c r="AH649">
        <f t="shared" si="226"/>
        <v>242495.49314214467</v>
      </c>
      <c r="AI649">
        <f t="shared" si="239"/>
        <v>247331.93900955631</v>
      </c>
    </row>
    <row r="650" spans="2:35" x14ac:dyDescent="0.3">
      <c r="B650">
        <v>607</v>
      </c>
      <c r="C650">
        <v>78548.744500000001</v>
      </c>
      <c r="D650">
        <v>77898.751900000003</v>
      </c>
      <c r="E650">
        <v>78585.020499999999</v>
      </c>
      <c r="F650">
        <v>78449.311000000002</v>
      </c>
      <c r="G650">
        <v>79143.805200000003</v>
      </c>
      <c r="H650">
        <v>79764.352899999998</v>
      </c>
      <c r="I650">
        <v>10.566992015611705</v>
      </c>
      <c r="J650">
        <v>10.540588859261433</v>
      </c>
      <c r="K650">
        <v>10.520569067356282</v>
      </c>
      <c r="L650">
        <v>10.506697448053526</v>
      </c>
      <c r="M650">
        <v>10.489193344916059</v>
      </c>
      <c r="N650">
        <v>10.467121848412736</v>
      </c>
      <c r="P650">
        <f t="shared" si="249"/>
        <v>238461.01596835113</v>
      </c>
      <c r="Q650">
        <f t="shared" si="250"/>
        <v>238318.91387784298</v>
      </c>
      <c r="R650">
        <f t="shared" si="251"/>
        <v>237032.05152068846</v>
      </c>
      <c r="S650">
        <f t="shared" si="252"/>
        <v>236751.61244160577</v>
      </c>
      <c r="T650">
        <f t="shared" si="253"/>
        <v>235531.99514748174</v>
      </c>
      <c r="U650">
        <f t="shared" si="254"/>
        <v>234249.30255238211</v>
      </c>
      <c r="V650">
        <f t="shared" si="228"/>
        <v>1</v>
      </c>
      <c r="W650">
        <f t="shared" si="229"/>
        <v>0</v>
      </c>
      <c r="X650">
        <f t="shared" si="230"/>
        <v>0</v>
      </c>
      <c r="Y650">
        <f t="shared" si="231"/>
        <v>0</v>
      </c>
      <c r="Z650">
        <f t="shared" si="232"/>
        <v>0</v>
      </c>
      <c r="AC650">
        <f t="shared" si="221"/>
        <v>238461.01596835113</v>
      </c>
      <c r="AD650">
        <f t="shared" si="222"/>
        <v>238318.91387784298</v>
      </c>
      <c r="AE650">
        <f t="shared" si="223"/>
        <v>237032.05152068846</v>
      </c>
      <c r="AF650">
        <f t="shared" si="224"/>
        <v>236751.61244160577</v>
      </c>
      <c r="AG650">
        <f t="shared" si="225"/>
        <v>235531.99514748174</v>
      </c>
      <c r="AH650">
        <f t="shared" si="226"/>
        <v>234249.30255238211</v>
      </c>
      <c r="AI650">
        <f t="shared" si="239"/>
        <v>238461.01596835113</v>
      </c>
    </row>
    <row r="651" spans="2:35" x14ac:dyDescent="0.3">
      <c r="B651">
        <v>608</v>
      </c>
      <c r="C651">
        <v>73625.941399999996</v>
      </c>
      <c r="D651">
        <v>72244.600300000006</v>
      </c>
      <c r="E651">
        <v>72235.004799999995</v>
      </c>
      <c r="F651">
        <v>71812.7359</v>
      </c>
      <c r="G651">
        <v>71870.079599999997</v>
      </c>
      <c r="H651">
        <v>71898.489000000001</v>
      </c>
      <c r="I651">
        <v>11.263509822131821</v>
      </c>
      <c r="J651">
        <v>11.217741874376911</v>
      </c>
      <c r="K651">
        <v>11.191105382412543</v>
      </c>
      <c r="L651">
        <v>11.189143625736159</v>
      </c>
      <c r="M651">
        <v>11.146228589122391</v>
      </c>
      <c r="N651">
        <v>11.115998724683106</v>
      </c>
      <c r="P651">
        <f t="shared" si="249"/>
        <v>264279.35326395463</v>
      </c>
      <c r="Q651">
        <f t="shared" si="250"/>
        <v>264287.65593130735</v>
      </c>
      <c r="R651">
        <f t="shared" si="251"/>
        <v>263498.15667237627</v>
      </c>
      <c r="S651">
        <f t="shared" si="252"/>
        <v>263861.5728720848</v>
      </c>
      <c r="T651">
        <f t="shared" si="253"/>
        <v>262516.77807367174</v>
      </c>
      <c r="U651">
        <f t="shared" si="254"/>
        <v>261581.47274049319</v>
      </c>
      <c r="V651">
        <f t="shared" si="228"/>
        <v>0</v>
      </c>
      <c r="W651">
        <f t="shared" si="229"/>
        <v>1</v>
      </c>
      <c r="X651">
        <f t="shared" si="230"/>
        <v>0</v>
      </c>
      <c r="Y651">
        <f t="shared" si="231"/>
        <v>0</v>
      </c>
      <c r="Z651">
        <f t="shared" si="232"/>
        <v>0</v>
      </c>
      <c r="AA651">
        <f t="shared" ref="AA651" si="260">IF(MAX(P651:U651)=U651, 1, 0)</f>
        <v>0</v>
      </c>
      <c r="AC651">
        <f t="shared" si="221"/>
        <v>264279.35326395463</v>
      </c>
      <c r="AD651">
        <f t="shared" si="222"/>
        <v>264287.65593130735</v>
      </c>
      <c r="AE651">
        <f t="shared" si="223"/>
        <v>263498.15667237627</v>
      </c>
      <c r="AF651">
        <f t="shared" si="224"/>
        <v>263861.5728720848</v>
      </c>
      <c r="AG651">
        <f t="shared" si="225"/>
        <v>262516.77807367174</v>
      </c>
      <c r="AH651">
        <f t="shared" si="226"/>
        <v>261581.47274049319</v>
      </c>
      <c r="AI651">
        <f t="shared" si="239"/>
        <v>264287.65593130735</v>
      </c>
    </row>
    <row r="652" spans="2:35" x14ac:dyDescent="0.3">
      <c r="B652">
        <v>609</v>
      </c>
      <c r="C652">
        <v>77684.164699999994</v>
      </c>
      <c r="D652">
        <v>77169.850600000005</v>
      </c>
      <c r="E652">
        <v>77803.945300000007</v>
      </c>
      <c r="F652">
        <v>77612.535000000003</v>
      </c>
      <c r="G652">
        <v>78483.031499999997</v>
      </c>
      <c r="H652">
        <v>78864.849700000006</v>
      </c>
      <c r="I652">
        <v>10.126620809936954</v>
      </c>
      <c r="J652">
        <v>10.083791759649079</v>
      </c>
      <c r="K652">
        <v>10.043791207766075</v>
      </c>
      <c r="L652">
        <v>10.03934726352117</v>
      </c>
      <c r="M652">
        <v>9.9949052890813626</v>
      </c>
      <c r="N652">
        <v>9.9563485770403162</v>
      </c>
      <c r="P652">
        <f t="shared" si="249"/>
        <v>226114.45959810863</v>
      </c>
      <c r="Q652">
        <f t="shared" si="250"/>
        <v>225343.9021894724</v>
      </c>
      <c r="R652">
        <f t="shared" si="251"/>
        <v>223509.79093298223</v>
      </c>
      <c r="S652">
        <f t="shared" si="252"/>
        <v>223567.88290563514</v>
      </c>
      <c r="T652">
        <f t="shared" si="253"/>
        <v>221364.12717244087</v>
      </c>
      <c r="U652">
        <f t="shared" si="254"/>
        <v>219825.60761120945</v>
      </c>
      <c r="V652">
        <f t="shared" si="228"/>
        <v>1</v>
      </c>
      <c r="W652">
        <f t="shared" si="229"/>
        <v>0</v>
      </c>
      <c r="X652">
        <f t="shared" si="230"/>
        <v>0</v>
      </c>
      <c r="Y652">
        <f t="shared" si="231"/>
        <v>0</v>
      </c>
      <c r="Z652">
        <f t="shared" si="232"/>
        <v>0</v>
      </c>
      <c r="AC652">
        <f t="shared" si="221"/>
        <v>226114.45959810863</v>
      </c>
      <c r="AD652">
        <f t="shared" si="222"/>
        <v>225343.9021894724</v>
      </c>
      <c r="AE652">
        <f t="shared" si="223"/>
        <v>223509.79093298223</v>
      </c>
      <c r="AF652">
        <f t="shared" si="224"/>
        <v>223567.88290563514</v>
      </c>
      <c r="AG652">
        <f t="shared" si="225"/>
        <v>221364.12717244087</v>
      </c>
      <c r="AH652">
        <f t="shared" si="226"/>
        <v>219825.60761120945</v>
      </c>
      <c r="AI652">
        <f t="shared" si="239"/>
        <v>226114.45959810863</v>
      </c>
    </row>
    <row r="653" spans="2:35" x14ac:dyDescent="0.3">
      <c r="B653">
        <v>610</v>
      </c>
      <c r="C653">
        <v>77908.156199999998</v>
      </c>
      <c r="D653">
        <v>77349.097999999998</v>
      </c>
      <c r="E653">
        <v>77899.0236</v>
      </c>
      <c r="F653">
        <v>77672.075299999997</v>
      </c>
      <c r="G653">
        <v>78321.920199999993</v>
      </c>
      <c r="H653">
        <v>78789.6201</v>
      </c>
      <c r="I653">
        <v>10.776013337977753</v>
      </c>
      <c r="J653">
        <v>10.768600895086829</v>
      </c>
      <c r="K653">
        <v>10.761690621609176</v>
      </c>
      <c r="L653">
        <v>10.76071005230262</v>
      </c>
      <c r="M653">
        <v>10.754229154364594</v>
      </c>
      <c r="N653">
        <v>10.747055477527873</v>
      </c>
      <c r="P653">
        <f t="shared" si="249"/>
        <v>245372.24393933258</v>
      </c>
      <c r="Q653">
        <f t="shared" si="250"/>
        <v>245708.92885260488</v>
      </c>
      <c r="R653">
        <f t="shared" si="251"/>
        <v>244951.69504827529</v>
      </c>
      <c r="S653">
        <f t="shared" si="252"/>
        <v>245149.22626907864</v>
      </c>
      <c r="T653">
        <f t="shared" si="253"/>
        <v>244304.95443093783</v>
      </c>
      <c r="U653">
        <f t="shared" si="254"/>
        <v>243622.04422583617</v>
      </c>
      <c r="V653">
        <f t="shared" si="228"/>
        <v>0</v>
      </c>
      <c r="W653">
        <f t="shared" si="229"/>
        <v>1</v>
      </c>
      <c r="X653">
        <f t="shared" si="230"/>
        <v>0</v>
      </c>
      <c r="Y653">
        <f t="shared" si="231"/>
        <v>0</v>
      </c>
      <c r="Z653">
        <f t="shared" si="232"/>
        <v>0</v>
      </c>
      <c r="AA653">
        <f t="shared" ref="AA653" si="261">IF(MAX(P653:U653)=U653, 1, 0)</f>
        <v>0</v>
      </c>
      <c r="AC653">
        <f t="shared" si="221"/>
        <v>245372.24393933258</v>
      </c>
      <c r="AD653">
        <f t="shared" si="222"/>
        <v>245708.92885260488</v>
      </c>
      <c r="AE653">
        <f t="shared" si="223"/>
        <v>244951.69504827529</v>
      </c>
      <c r="AF653">
        <f t="shared" si="224"/>
        <v>245149.22626907864</v>
      </c>
      <c r="AG653">
        <f t="shared" si="225"/>
        <v>244304.95443093783</v>
      </c>
      <c r="AH653">
        <f t="shared" si="226"/>
        <v>243622.04422583617</v>
      </c>
      <c r="AI653">
        <f t="shared" si="239"/>
        <v>245708.92885260488</v>
      </c>
    </row>
    <row r="654" spans="2:35" x14ac:dyDescent="0.3">
      <c r="B654">
        <v>611</v>
      </c>
      <c r="C654">
        <v>69933.865399999995</v>
      </c>
      <c r="D654">
        <v>68311.790900000007</v>
      </c>
      <c r="E654">
        <v>67962.192899999995</v>
      </c>
      <c r="F654">
        <v>67645.491299999994</v>
      </c>
      <c r="G654">
        <v>67252.378599999996</v>
      </c>
      <c r="H654">
        <v>66908.248300000007</v>
      </c>
      <c r="I654">
        <v>8.6532838370804157</v>
      </c>
      <c r="J654">
        <v>8.6259934471000879</v>
      </c>
      <c r="K654">
        <v>8.6067358466590225</v>
      </c>
      <c r="L654">
        <v>8.5986455039670613</v>
      </c>
      <c r="M654">
        <v>8.5680877947296139</v>
      </c>
      <c r="N654">
        <v>8.5484028661893596</v>
      </c>
      <c r="P654">
        <f t="shared" si="249"/>
        <v>189664.6497124125</v>
      </c>
      <c r="Q654">
        <f t="shared" si="250"/>
        <v>190468.01251300261</v>
      </c>
      <c r="R654">
        <f t="shared" si="251"/>
        <v>190239.88249977067</v>
      </c>
      <c r="S654">
        <f t="shared" si="252"/>
        <v>190313.87381901185</v>
      </c>
      <c r="T654">
        <f t="shared" si="253"/>
        <v>189790.25524188843</v>
      </c>
      <c r="U654">
        <f t="shared" si="254"/>
        <v>189543.83768568077</v>
      </c>
      <c r="V654">
        <f t="shared" si="228"/>
        <v>0</v>
      </c>
      <c r="W654">
        <f t="shared" si="229"/>
        <v>1</v>
      </c>
      <c r="X654">
        <f t="shared" si="230"/>
        <v>0</v>
      </c>
      <c r="Y654">
        <f t="shared" si="231"/>
        <v>0</v>
      </c>
      <c r="Z654">
        <f t="shared" si="232"/>
        <v>0</v>
      </c>
      <c r="AC654">
        <f t="shared" si="221"/>
        <v>189664.6497124125</v>
      </c>
      <c r="AD654">
        <f t="shared" si="222"/>
        <v>190468.01251300261</v>
      </c>
      <c r="AE654">
        <f t="shared" si="223"/>
        <v>190239.88249977067</v>
      </c>
      <c r="AF654">
        <f t="shared" si="224"/>
        <v>190313.87381901185</v>
      </c>
      <c r="AG654">
        <f t="shared" si="225"/>
        <v>189790.25524188843</v>
      </c>
      <c r="AH654">
        <f t="shared" si="226"/>
        <v>189543.83768568077</v>
      </c>
      <c r="AI654">
        <f t="shared" si="239"/>
        <v>190468.01251300261</v>
      </c>
    </row>
    <row r="655" spans="2:35" x14ac:dyDescent="0.3">
      <c r="B655">
        <v>612</v>
      </c>
      <c r="C655">
        <v>71192.317500000005</v>
      </c>
      <c r="D655">
        <v>70514.377699999997</v>
      </c>
      <c r="E655">
        <v>71318.637600000002</v>
      </c>
      <c r="F655">
        <v>71338.585099999997</v>
      </c>
      <c r="G655">
        <v>72314.066099999996</v>
      </c>
      <c r="H655">
        <v>72984.679000000004</v>
      </c>
      <c r="I655">
        <v>10.765352744843241</v>
      </c>
      <c r="J655">
        <v>10.747530179202949</v>
      </c>
      <c r="K655">
        <v>10.735370846198386</v>
      </c>
      <c r="L655">
        <v>10.726186309158287</v>
      </c>
      <c r="M655">
        <v>10.708511325915854</v>
      </c>
      <c r="N655">
        <v>10.691492087301656</v>
      </c>
      <c r="P655">
        <f t="shared" si="249"/>
        <v>251768.26484529726</v>
      </c>
      <c r="Q655">
        <f t="shared" si="250"/>
        <v>251911.52767608844</v>
      </c>
      <c r="R655">
        <f t="shared" si="251"/>
        <v>250742.48778595153</v>
      </c>
      <c r="S655">
        <f t="shared" si="252"/>
        <v>250447.00417474858</v>
      </c>
      <c r="T655">
        <f t="shared" si="253"/>
        <v>248941.27367747563</v>
      </c>
      <c r="U655">
        <f t="shared" si="254"/>
        <v>247760.08361904969</v>
      </c>
      <c r="V655">
        <f t="shared" si="228"/>
        <v>0</v>
      </c>
      <c r="W655">
        <f t="shared" si="229"/>
        <v>1</v>
      </c>
      <c r="X655">
        <f t="shared" si="230"/>
        <v>0</v>
      </c>
      <c r="Y655">
        <f t="shared" si="231"/>
        <v>0</v>
      </c>
      <c r="Z655">
        <f t="shared" si="232"/>
        <v>0</v>
      </c>
      <c r="AA655">
        <f t="shared" ref="AA655" si="262">IF(MAX(P655:U655)=U655, 1, 0)</f>
        <v>0</v>
      </c>
      <c r="AC655">
        <f t="shared" si="221"/>
        <v>251768.26484529726</v>
      </c>
      <c r="AD655">
        <f t="shared" si="222"/>
        <v>251911.52767608844</v>
      </c>
      <c r="AE655">
        <f t="shared" si="223"/>
        <v>250742.48778595153</v>
      </c>
      <c r="AF655">
        <f t="shared" si="224"/>
        <v>250447.00417474858</v>
      </c>
      <c r="AG655">
        <f t="shared" si="225"/>
        <v>248941.27367747563</v>
      </c>
      <c r="AH655">
        <f t="shared" si="226"/>
        <v>247760.08361904969</v>
      </c>
      <c r="AI655">
        <f t="shared" si="239"/>
        <v>251911.52767608844</v>
      </c>
    </row>
    <row r="656" spans="2:35" x14ac:dyDescent="0.3">
      <c r="B656">
        <v>613</v>
      </c>
      <c r="C656">
        <v>70991.864199999996</v>
      </c>
      <c r="D656">
        <v>70535.010500000004</v>
      </c>
      <c r="E656">
        <v>71273.552599999995</v>
      </c>
      <c r="F656">
        <v>70970.356899999999</v>
      </c>
      <c r="G656">
        <v>71815.835200000001</v>
      </c>
      <c r="H656">
        <v>72426.608099999998</v>
      </c>
      <c r="I656">
        <v>10.908296721284406</v>
      </c>
      <c r="J656">
        <v>10.889090760771092</v>
      </c>
      <c r="K656">
        <v>10.869982767177255</v>
      </c>
      <c r="L656">
        <v>10.87314019616408</v>
      </c>
      <c r="M656">
        <v>10.852406712497524</v>
      </c>
      <c r="N656">
        <v>10.838789467370997</v>
      </c>
      <c r="P656">
        <f t="shared" si="249"/>
        <v>256257.03743853216</v>
      </c>
      <c r="Q656">
        <f t="shared" si="250"/>
        <v>256137.71232313276</v>
      </c>
      <c r="R656">
        <f t="shared" si="251"/>
        <v>254825.93041531765</v>
      </c>
      <c r="S656">
        <f t="shared" si="252"/>
        <v>255223.8489849224</v>
      </c>
      <c r="T656">
        <f t="shared" si="253"/>
        <v>253756.36617492573</v>
      </c>
      <c r="U656">
        <f t="shared" si="254"/>
        <v>252737.0759211299</v>
      </c>
      <c r="V656">
        <f t="shared" si="228"/>
        <v>1</v>
      </c>
      <c r="W656">
        <f t="shared" si="229"/>
        <v>0</v>
      </c>
      <c r="X656">
        <f t="shared" si="230"/>
        <v>0</v>
      </c>
      <c r="Y656">
        <f t="shared" si="231"/>
        <v>0</v>
      </c>
      <c r="Z656">
        <f t="shared" si="232"/>
        <v>0</v>
      </c>
      <c r="AC656">
        <f t="shared" si="221"/>
        <v>256257.03743853216</v>
      </c>
      <c r="AD656">
        <f t="shared" si="222"/>
        <v>256137.71232313276</v>
      </c>
      <c r="AE656">
        <f t="shared" si="223"/>
        <v>254825.93041531765</v>
      </c>
      <c r="AF656">
        <f t="shared" si="224"/>
        <v>255223.8489849224</v>
      </c>
      <c r="AG656">
        <f t="shared" si="225"/>
        <v>253756.36617492573</v>
      </c>
      <c r="AH656">
        <f t="shared" si="226"/>
        <v>252737.0759211299</v>
      </c>
      <c r="AI656">
        <f t="shared" si="239"/>
        <v>256257.03743853216</v>
      </c>
    </row>
    <row r="657" spans="2:35" x14ac:dyDescent="0.3">
      <c r="B657">
        <v>614</v>
      </c>
      <c r="C657">
        <v>84488.215599999996</v>
      </c>
      <c r="D657">
        <v>84040.343999999997</v>
      </c>
      <c r="E657">
        <v>84675.604200000002</v>
      </c>
      <c r="F657">
        <v>84644.258600000001</v>
      </c>
      <c r="G657">
        <v>85335.803199999995</v>
      </c>
      <c r="H657">
        <v>86005.613899999997</v>
      </c>
      <c r="I657">
        <v>9.496178633317589</v>
      </c>
      <c r="J657">
        <v>9.4738322864533249</v>
      </c>
      <c r="K657">
        <v>9.4518283955585805</v>
      </c>
      <c r="L657">
        <v>9.437738456365766</v>
      </c>
      <c r="M657">
        <v>9.4199636996876386</v>
      </c>
      <c r="N657">
        <v>9.402286000244434</v>
      </c>
      <c r="P657">
        <f t="shared" si="249"/>
        <v>200397.1433995277</v>
      </c>
      <c r="Q657">
        <f t="shared" si="250"/>
        <v>200174.62459359976</v>
      </c>
      <c r="R657">
        <f t="shared" si="251"/>
        <v>198879.24766675744</v>
      </c>
      <c r="S657">
        <f t="shared" si="252"/>
        <v>198487.895090973</v>
      </c>
      <c r="T657">
        <f t="shared" si="253"/>
        <v>197263.10779062918</v>
      </c>
      <c r="U657">
        <f t="shared" si="254"/>
        <v>196062.96610733302</v>
      </c>
      <c r="V657">
        <f t="shared" si="228"/>
        <v>1</v>
      </c>
      <c r="W657">
        <f t="shared" si="229"/>
        <v>0</v>
      </c>
      <c r="X657">
        <f t="shared" si="230"/>
        <v>0</v>
      </c>
      <c r="Y657">
        <f t="shared" si="231"/>
        <v>0</v>
      </c>
      <c r="Z657">
        <f t="shared" si="232"/>
        <v>0</v>
      </c>
      <c r="AA657">
        <f t="shared" ref="AA657" si="263">IF(MAX(P657:U657)=U657, 1, 0)</f>
        <v>0</v>
      </c>
      <c r="AC657">
        <f t="shared" si="221"/>
        <v>200397.1433995277</v>
      </c>
      <c r="AD657">
        <f t="shared" si="222"/>
        <v>200174.62459359976</v>
      </c>
      <c r="AE657">
        <f t="shared" si="223"/>
        <v>198879.24766675744</v>
      </c>
      <c r="AF657">
        <f t="shared" si="224"/>
        <v>198487.895090973</v>
      </c>
      <c r="AG657">
        <f t="shared" si="225"/>
        <v>197263.10779062918</v>
      </c>
      <c r="AH657">
        <f t="shared" si="226"/>
        <v>196062.96610733302</v>
      </c>
      <c r="AI657">
        <f t="shared" si="239"/>
        <v>200397.1433995277</v>
      </c>
    </row>
    <row r="658" spans="2:35" x14ac:dyDescent="0.3">
      <c r="B658">
        <v>615</v>
      </c>
      <c r="C658">
        <v>70800.828999999998</v>
      </c>
      <c r="D658">
        <v>70301.196899999995</v>
      </c>
      <c r="E658">
        <v>70946.743799999997</v>
      </c>
      <c r="F658">
        <v>70860.256299999994</v>
      </c>
      <c r="G658">
        <v>71135.127999999997</v>
      </c>
      <c r="H658">
        <v>71975.120899999994</v>
      </c>
      <c r="I658">
        <v>9.9966543411115367</v>
      </c>
      <c r="J658">
        <v>9.9665426717413119</v>
      </c>
      <c r="K658">
        <v>9.9385663244529692</v>
      </c>
      <c r="L658">
        <v>9.9308750541471849</v>
      </c>
      <c r="M658">
        <v>9.914932168321009</v>
      </c>
      <c r="N658">
        <v>9.8874105017833038</v>
      </c>
      <c r="P658">
        <f t="shared" si="249"/>
        <v>229098.80123334608</v>
      </c>
      <c r="Q658">
        <f t="shared" si="250"/>
        <v>228695.08325223939</v>
      </c>
      <c r="R658">
        <f t="shared" si="251"/>
        <v>227210.24593358906</v>
      </c>
      <c r="S658">
        <f t="shared" si="252"/>
        <v>227065.99532441556</v>
      </c>
      <c r="T658">
        <f t="shared" si="253"/>
        <v>226312.83704963027</v>
      </c>
      <c r="U658">
        <f t="shared" si="254"/>
        <v>224647.19415349915</v>
      </c>
      <c r="V658">
        <f t="shared" si="228"/>
        <v>1</v>
      </c>
      <c r="W658">
        <f t="shared" si="229"/>
        <v>0</v>
      </c>
      <c r="X658">
        <f t="shared" si="230"/>
        <v>0</v>
      </c>
      <c r="Y658">
        <f t="shared" si="231"/>
        <v>0</v>
      </c>
      <c r="Z658">
        <f t="shared" si="232"/>
        <v>0</v>
      </c>
      <c r="AC658">
        <f t="shared" si="221"/>
        <v>229098.80123334608</v>
      </c>
      <c r="AD658">
        <f t="shared" si="222"/>
        <v>228695.08325223939</v>
      </c>
      <c r="AE658">
        <f t="shared" si="223"/>
        <v>227210.24593358906</v>
      </c>
      <c r="AF658">
        <f t="shared" si="224"/>
        <v>227065.99532441556</v>
      </c>
      <c r="AG658">
        <f t="shared" si="225"/>
        <v>226312.83704963027</v>
      </c>
      <c r="AH658">
        <f t="shared" si="226"/>
        <v>224647.19415349915</v>
      </c>
      <c r="AI658">
        <f t="shared" si="239"/>
        <v>229098.80123334608</v>
      </c>
    </row>
    <row r="659" spans="2:35" x14ac:dyDescent="0.3">
      <c r="B659">
        <v>616</v>
      </c>
      <c r="C659">
        <v>68221.326799999995</v>
      </c>
      <c r="D659">
        <v>67069.453800000003</v>
      </c>
      <c r="E659">
        <v>67311.284100000004</v>
      </c>
      <c r="F659">
        <v>67281.468599999993</v>
      </c>
      <c r="G659">
        <v>67458.615600000005</v>
      </c>
      <c r="H659">
        <v>67816.194499999998</v>
      </c>
      <c r="I659">
        <v>9.5430278073914288</v>
      </c>
      <c r="J659">
        <v>9.5210860830905428</v>
      </c>
      <c r="K659">
        <v>9.4932531362279065</v>
      </c>
      <c r="L659">
        <v>9.492491681306511</v>
      </c>
      <c r="M659">
        <v>9.4730497536507041</v>
      </c>
      <c r="N659">
        <v>9.4511677032375285</v>
      </c>
      <c r="P659">
        <f t="shared" si="249"/>
        <v>218069.50742174289</v>
      </c>
      <c r="Q659">
        <f t="shared" si="250"/>
        <v>218563.12869271624</v>
      </c>
      <c r="R659">
        <f t="shared" si="251"/>
        <v>217486.30998683721</v>
      </c>
      <c r="S659">
        <f t="shared" si="252"/>
        <v>217493.28183919532</v>
      </c>
      <c r="T659">
        <f t="shared" si="253"/>
        <v>216732.87700952112</v>
      </c>
      <c r="U659">
        <f t="shared" si="254"/>
        <v>215718.83659712586</v>
      </c>
      <c r="V659">
        <f t="shared" si="228"/>
        <v>0</v>
      </c>
      <c r="W659">
        <f t="shared" si="229"/>
        <v>1</v>
      </c>
      <c r="X659">
        <f t="shared" si="230"/>
        <v>0</v>
      </c>
      <c r="Y659">
        <f t="shared" si="231"/>
        <v>0</v>
      </c>
      <c r="Z659">
        <f t="shared" si="232"/>
        <v>0</v>
      </c>
      <c r="AA659">
        <f t="shared" ref="AA659" si="264">IF(MAX(P659:U659)=U659, 1, 0)</f>
        <v>0</v>
      </c>
      <c r="AC659">
        <f t="shared" si="221"/>
        <v>218069.50742174289</v>
      </c>
      <c r="AD659">
        <f t="shared" si="222"/>
        <v>218563.12869271624</v>
      </c>
      <c r="AE659">
        <f t="shared" si="223"/>
        <v>217486.30998683721</v>
      </c>
      <c r="AF659">
        <f t="shared" si="224"/>
        <v>217493.28183919532</v>
      </c>
      <c r="AG659">
        <f t="shared" si="225"/>
        <v>216732.87700952112</v>
      </c>
      <c r="AH659">
        <f t="shared" si="226"/>
        <v>215718.83659712586</v>
      </c>
      <c r="AI659">
        <f t="shared" si="239"/>
        <v>218563.12869271624</v>
      </c>
    </row>
    <row r="660" spans="2:35" x14ac:dyDescent="0.3">
      <c r="B660">
        <v>617</v>
      </c>
      <c r="C660">
        <v>69185.507700000002</v>
      </c>
      <c r="D660">
        <v>67810.430999999997</v>
      </c>
      <c r="E660">
        <v>67934.998699999996</v>
      </c>
      <c r="F660">
        <v>67752.454100000003</v>
      </c>
      <c r="G660">
        <v>67952.8125</v>
      </c>
      <c r="H660">
        <v>67941.491500000004</v>
      </c>
      <c r="I660">
        <v>9.6722367115402665</v>
      </c>
      <c r="J660">
        <v>9.6580406850821756</v>
      </c>
      <c r="K660">
        <v>9.6477081987265247</v>
      </c>
      <c r="L660">
        <v>9.6463891026745081</v>
      </c>
      <c r="M660">
        <v>9.6349192995500754</v>
      </c>
      <c r="N660">
        <v>9.621327058816032</v>
      </c>
      <c r="P660">
        <f t="shared" si="249"/>
        <v>220981.593646208</v>
      </c>
      <c r="Q660">
        <f t="shared" si="250"/>
        <v>221930.78955246531</v>
      </c>
      <c r="R660">
        <f t="shared" si="251"/>
        <v>221496.24726179574</v>
      </c>
      <c r="S660">
        <f t="shared" si="252"/>
        <v>221639.21898023525</v>
      </c>
      <c r="T660">
        <f t="shared" si="253"/>
        <v>221094.76648650225</v>
      </c>
      <c r="U660">
        <f t="shared" si="254"/>
        <v>220698.32026448095</v>
      </c>
      <c r="V660">
        <f t="shared" si="228"/>
        <v>0</v>
      </c>
      <c r="W660">
        <f t="shared" si="229"/>
        <v>1</v>
      </c>
      <c r="X660">
        <f t="shared" si="230"/>
        <v>0</v>
      </c>
      <c r="Y660">
        <f t="shared" si="231"/>
        <v>0</v>
      </c>
      <c r="Z660">
        <f t="shared" si="232"/>
        <v>0</v>
      </c>
      <c r="AC660">
        <f t="shared" si="221"/>
        <v>220981.593646208</v>
      </c>
      <c r="AD660">
        <f t="shared" si="222"/>
        <v>221930.78955246531</v>
      </c>
      <c r="AE660">
        <f t="shared" si="223"/>
        <v>221496.24726179574</v>
      </c>
      <c r="AF660">
        <f t="shared" si="224"/>
        <v>221639.21898023525</v>
      </c>
      <c r="AG660">
        <f t="shared" si="225"/>
        <v>221094.76648650225</v>
      </c>
      <c r="AH660">
        <f t="shared" si="226"/>
        <v>220698.32026448095</v>
      </c>
      <c r="AI660">
        <f t="shared" si="239"/>
        <v>221930.78955246531</v>
      </c>
    </row>
    <row r="661" spans="2:35" x14ac:dyDescent="0.3">
      <c r="B661">
        <v>618</v>
      </c>
      <c r="C661">
        <v>96452.861099999995</v>
      </c>
      <c r="D661">
        <v>95136.335999999996</v>
      </c>
      <c r="E661">
        <v>95066.720199999996</v>
      </c>
      <c r="F661">
        <v>94728.532200000001</v>
      </c>
      <c r="G661">
        <v>94691.6204</v>
      </c>
      <c r="H661">
        <v>94480.906099999993</v>
      </c>
      <c r="I661">
        <v>10.236290652880692</v>
      </c>
      <c r="J661">
        <v>10.210294764129429</v>
      </c>
      <c r="K661">
        <v>10.195378410507432</v>
      </c>
      <c r="L661">
        <v>10.183997009604145</v>
      </c>
      <c r="M661">
        <v>10.165633214079719</v>
      </c>
      <c r="N661">
        <v>10.14007648842323</v>
      </c>
      <c r="P661">
        <f t="shared" si="249"/>
        <v>210635.85848642077</v>
      </c>
      <c r="Q661">
        <f t="shared" si="250"/>
        <v>211172.50692388287</v>
      </c>
      <c r="R661">
        <f t="shared" si="251"/>
        <v>210794.63211522298</v>
      </c>
      <c r="S661">
        <f t="shared" si="252"/>
        <v>210791.37808812433</v>
      </c>
      <c r="T661">
        <f t="shared" si="253"/>
        <v>210277.37602239155</v>
      </c>
      <c r="U661">
        <f t="shared" si="254"/>
        <v>209721.38855269688</v>
      </c>
      <c r="V661">
        <f t="shared" si="228"/>
        <v>0</v>
      </c>
      <c r="W661">
        <f t="shared" si="229"/>
        <v>1</v>
      </c>
      <c r="X661">
        <f t="shared" si="230"/>
        <v>0</v>
      </c>
      <c r="Y661">
        <f t="shared" si="231"/>
        <v>0</v>
      </c>
      <c r="Z661">
        <f t="shared" si="232"/>
        <v>0</v>
      </c>
      <c r="AA661">
        <f t="shared" ref="AA661" si="265">IF(MAX(P661:U661)=U661, 1, 0)</f>
        <v>0</v>
      </c>
      <c r="AC661">
        <f t="shared" si="221"/>
        <v>210635.85848642077</v>
      </c>
      <c r="AD661">
        <f t="shared" si="222"/>
        <v>211172.50692388287</v>
      </c>
      <c r="AE661">
        <f t="shared" si="223"/>
        <v>210794.63211522298</v>
      </c>
      <c r="AF661">
        <f t="shared" si="224"/>
        <v>210791.37808812433</v>
      </c>
      <c r="AG661">
        <f t="shared" si="225"/>
        <v>210277.37602239155</v>
      </c>
      <c r="AH661">
        <f t="shared" si="226"/>
        <v>209721.38855269688</v>
      </c>
      <c r="AI661">
        <f t="shared" si="239"/>
        <v>211172.50692388287</v>
      </c>
    </row>
    <row r="662" spans="2:35" x14ac:dyDescent="0.3">
      <c r="B662">
        <v>619</v>
      </c>
      <c r="C662">
        <v>86958.081399999995</v>
      </c>
      <c r="D662">
        <v>86245.328200000004</v>
      </c>
      <c r="E662">
        <v>86536.820099999997</v>
      </c>
      <c r="F662">
        <v>86568.813399999999</v>
      </c>
      <c r="G662">
        <v>86951.819900000002</v>
      </c>
      <c r="H662">
        <v>87452.991299999994</v>
      </c>
      <c r="I662">
        <v>10.621549060752505</v>
      </c>
      <c r="J662">
        <v>10.614339727684337</v>
      </c>
      <c r="K662">
        <v>10.609536654400289</v>
      </c>
      <c r="L662">
        <v>10.605335889888785</v>
      </c>
      <c r="M662">
        <v>10.600925023102933</v>
      </c>
      <c r="N662">
        <v>10.592704584629137</v>
      </c>
      <c r="P662">
        <f t="shared" si="249"/>
        <v>231688.39042257515</v>
      </c>
      <c r="Q662">
        <f t="shared" si="250"/>
        <v>232184.86363053013</v>
      </c>
      <c r="R662">
        <f t="shared" si="251"/>
        <v>231749.27953200863</v>
      </c>
      <c r="S662">
        <f t="shared" si="252"/>
        <v>231591.26329666359</v>
      </c>
      <c r="T662">
        <f t="shared" si="253"/>
        <v>231075.93079308799</v>
      </c>
      <c r="U662">
        <f t="shared" si="254"/>
        <v>230328.14623887412</v>
      </c>
      <c r="V662">
        <f t="shared" si="228"/>
        <v>0</v>
      </c>
      <c r="W662">
        <f t="shared" si="229"/>
        <v>1</v>
      </c>
      <c r="X662">
        <f t="shared" si="230"/>
        <v>0</v>
      </c>
      <c r="Y662">
        <f t="shared" si="231"/>
        <v>0</v>
      </c>
      <c r="Z662">
        <f t="shared" si="232"/>
        <v>0</v>
      </c>
      <c r="AC662">
        <f t="shared" si="221"/>
        <v>231688.39042257515</v>
      </c>
      <c r="AD662">
        <f t="shared" si="222"/>
        <v>232184.86363053013</v>
      </c>
      <c r="AE662">
        <f t="shared" si="223"/>
        <v>231749.27953200863</v>
      </c>
      <c r="AF662">
        <f t="shared" si="224"/>
        <v>231591.26329666359</v>
      </c>
      <c r="AG662">
        <f t="shared" si="225"/>
        <v>231075.93079308799</v>
      </c>
      <c r="AH662">
        <f t="shared" si="226"/>
        <v>230328.14623887412</v>
      </c>
      <c r="AI662">
        <f t="shared" si="239"/>
        <v>232184.86363053013</v>
      </c>
    </row>
    <row r="663" spans="2:35" x14ac:dyDescent="0.3">
      <c r="B663">
        <v>620</v>
      </c>
      <c r="C663">
        <v>86802.978900000002</v>
      </c>
      <c r="D663">
        <v>85659.722099999999</v>
      </c>
      <c r="E663">
        <v>85843.036999999997</v>
      </c>
      <c r="F663">
        <v>85562.471799999999</v>
      </c>
      <c r="G663">
        <v>85876.6973</v>
      </c>
      <c r="H663">
        <v>85949.500799999994</v>
      </c>
      <c r="I663">
        <v>8.6125462685082752</v>
      </c>
      <c r="J663">
        <v>8.5778897173241528</v>
      </c>
      <c r="K663">
        <v>8.550492067740878</v>
      </c>
      <c r="L663">
        <v>8.5325400275593459</v>
      </c>
      <c r="M663">
        <v>8.5001757308042496</v>
      </c>
      <c r="N663">
        <v>8.4728650747947274</v>
      </c>
      <c r="P663">
        <f t="shared" si="249"/>
        <v>171573.40915524826</v>
      </c>
      <c r="Q663">
        <f t="shared" si="250"/>
        <v>171676.9694197246</v>
      </c>
      <c r="R663">
        <f t="shared" si="251"/>
        <v>170671.72503222636</v>
      </c>
      <c r="S663">
        <f t="shared" si="252"/>
        <v>170413.72902678038</v>
      </c>
      <c r="T663">
        <f t="shared" si="253"/>
        <v>169128.57462412748</v>
      </c>
      <c r="U663">
        <f t="shared" si="254"/>
        <v>168236.45144384186</v>
      </c>
      <c r="V663">
        <f t="shared" si="228"/>
        <v>0</v>
      </c>
      <c r="W663">
        <f t="shared" si="229"/>
        <v>1</v>
      </c>
      <c r="X663">
        <f t="shared" si="230"/>
        <v>0</v>
      </c>
      <c r="Y663">
        <f t="shared" si="231"/>
        <v>0</v>
      </c>
      <c r="Z663">
        <f t="shared" si="232"/>
        <v>0</v>
      </c>
      <c r="AA663">
        <f t="shared" ref="AA663" si="266">IF(MAX(P663:U663)=U663, 1, 0)</f>
        <v>0</v>
      </c>
      <c r="AC663">
        <f t="shared" si="221"/>
        <v>171573.40915524826</v>
      </c>
      <c r="AD663">
        <f t="shared" si="222"/>
        <v>171676.9694197246</v>
      </c>
      <c r="AE663">
        <f t="shared" si="223"/>
        <v>170671.72503222636</v>
      </c>
      <c r="AF663">
        <f t="shared" si="224"/>
        <v>170413.72902678038</v>
      </c>
      <c r="AG663">
        <f t="shared" si="225"/>
        <v>169128.57462412748</v>
      </c>
      <c r="AH663">
        <f t="shared" si="226"/>
        <v>168236.45144384186</v>
      </c>
      <c r="AI663">
        <f t="shared" si="239"/>
        <v>171676.9694197246</v>
      </c>
    </row>
    <row r="664" spans="2:35" x14ac:dyDescent="0.3">
      <c r="B664">
        <v>621</v>
      </c>
      <c r="C664">
        <v>78671.939100000003</v>
      </c>
      <c r="D664">
        <v>77085.153699999995</v>
      </c>
      <c r="E664">
        <v>76851.103000000003</v>
      </c>
      <c r="F664">
        <v>76570.468800000002</v>
      </c>
      <c r="G664">
        <v>76317.727100000004</v>
      </c>
      <c r="H664">
        <v>76249.626000000004</v>
      </c>
      <c r="I664">
        <v>10.439176509225305</v>
      </c>
      <c r="J664">
        <v>10.380467072900894</v>
      </c>
      <c r="K664">
        <v>10.345552454187125</v>
      </c>
      <c r="L664">
        <v>10.338062441163304</v>
      </c>
      <c r="M664">
        <v>10.295201512173392</v>
      </c>
      <c r="N664">
        <v>10.254654946058789</v>
      </c>
      <c r="P664">
        <f t="shared" si="249"/>
        <v>234503.35617675912</v>
      </c>
      <c r="Q664">
        <f t="shared" si="250"/>
        <v>234328.8584870268</v>
      </c>
      <c r="R664">
        <f t="shared" si="251"/>
        <v>233515.47062561376</v>
      </c>
      <c r="S664">
        <f t="shared" si="252"/>
        <v>233571.40443489913</v>
      </c>
      <c r="T664">
        <f t="shared" si="253"/>
        <v>232538.31826520176</v>
      </c>
      <c r="U664">
        <f t="shared" si="254"/>
        <v>231390.02238176367</v>
      </c>
      <c r="V664">
        <f t="shared" si="228"/>
        <v>1</v>
      </c>
      <c r="W664">
        <f t="shared" si="229"/>
        <v>0</v>
      </c>
      <c r="X664">
        <f t="shared" si="230"/>
        <v>0</v>
      </c>
      <c r="Y664">
        <f t="shared" si="231"/>
        <v>0</v>
      </c>
      <c r="Z664">
        <f t="shared" si="232"/>
        <v>0</v>
      </c>
      <c r="AC664">
        <f t="shared" si="221"/>
        <v>234503.35617675912</v>
      </c>
      <c r="AD664">
        <f t="shared" si="222"/>
        <v>234328.8584870268</v>
      </c>
      <c r="AE664">
        <f t="shared" si="223"/>
        <v>233515.47062561376</v>
      </c>
      <c r="AF664">
        <f t="shared" si="224"/>
        <v>233571.40443489913</v>
      </c>
      <c r="AG664">
        <f t="shared" si="225"/>
        <v>232538.31826520176</v>
      </c>
      <c r="AH664">
        <f t="shared" si="226"/>
        <v>231390.02238176367</v>
      </c>
      <c r="AI664">
        <f t="shared" si="239"/>
        <v>234503.35617675912</v>
      </c>
    </row>
    <row r="665" spans="2:35" x14ac:dyDescent="0.3">
      <c r="B665">
        <v>622</v>
      </c>
      <c r="C665">
        <v>73415.0959</v>
      </c>
      <c r="D665">
        <v>73877.651700000002</v>
      </c>
      <c r="E665">
        <v>74828.766799999998</v>
      </c>
      <c r="F665">
        <v>75011.744300000006</v>
      </c>
      <c r="G665">
        <v>76051.947799999994</v>
      </c>
      <c r="H665">
        <v>77153.394100000005</v>
      </c>
      <c r="I665">
        <v>9.6468858826999444</v>
      </c>
      <c r="J665">
        <v>9.614964990547481</v>
      </c>
      <c r="K665">
        <v>9.5983867279410582</v>
      </c>
      <c r="L665">
        <v>9.590820495991693</v>
      </c>
      <c r="M665">
        <v>9.5716350976029929</v>
      </c>
      <c r="N665">
        <v>9.5508039360702064</v>
      </c>
      <c r="P665">
        <f t="shared" si="249"/>
        <v>215991.48058099829</v>
      </c>
      <c r="Q665">
        <f t="shared" si="250"/>
        <v>214571.29801642447</v>
      </c>
      <c r="R665">
        <f t="shared" si="251"/>
        <v>213122.83503823174</v>
      </c>
      <c r="S665">
        <f t="shared" si="252"/>
        <v>212712.87057975074</v>
      </c>
      <c r="T665">
        <f t="shared" si="253"/>
        <v>211097.10512808981</v>
      </c>
      <c r="U665">
        <f t="shared" si="254"/>
        <v>209370.72398210617</v>
      </c>
      <c r="V665">
        <f t="shared" si="228"/>
        <v>1</v>
      </c>
      <c r="W665">
        <f t="shared" si="229"/>
        <v>0</v>
      </c>
      <c r="X665">
        <f t="shared" si="230"/>
        <v>0</v>
      </c>
      <c r="Y665">
        <f t="shared" si="231"/>
        <v>0</v>
      </c>
      <c r="Z665">
        <f t="shared" si="232"/>
        <v>0</v>
      </c>
      <c r="AA665">
        <f t="shared" ref="AA665" si="267">IF(MAX(P665:U665)=U665, 1, 0)</f>
        <v>0</v>
      </c>
      <c r="AC665">
        <f t="shared" si="221"/>
        <v>215991.48058099829</v>
      </c>
      <c r="AD665">
        <f t="shared" si="222"/>
        <v>214571.29801642447</v>
      </c>
      <c r="AE665">
        <f t="shared" si="223"/>
        <v>213122.83503823174</v>
      </c>
      <c r="AF665">
        <f t="shared" si="224"/>
        <v>212712.87057975074</v>
      </c>
      <c r="AG665">
        <f t="shared" si="225"/>
        <v>211097.10512808981</v>
      </c>
      <c r="AH665">
        <f t="shared" si="226"/>
        <v>209370.72398210617</v>
      </c>
      <c r="AI665">
        <f t="shared" si="239"/>
        <v>215991.48058099829</v>
      </c>
    </row>
    <row r="666" spans="2:35" x14ac:dyDescent="0.3">
      <c r="B666">
        <v>623</v>
      </c>
      <c r="C666">
        <v>78038.947100000005</v>
      </c>
      <c r="D666">
        <v>78034.952099999995</v>
      </c>
      <c r="E666">
        <v>78793.850600000005</v>
      </c>
      <c r="F666">
        <v>78896.238899999997</v>
      </c>
      <c r="G666">
        <v>79838.459000000003</v>
      </c>
      <c r="H666">
        <v>80784.038499999995</v>
      </c>
      <c r="I666">
        <v>8.4544630318401719</v>
      </c>
      <c r="J666">
        <v>8.454825938568435</v>
      </c>
      <c r="K666">
        <v>8.4550183387842033</v>
      </c>
      <c r="L666">
        <v>8.455150568128758</v>
      </c>
      <c r="M666">
        <v>8.4554275283955551</v>
      </c>
      <c r="N666">
        <v>8.4556244219153971</v>
      </c>
      <c r="P666">
        <f t="shared" si="249"/>
        <v>175594.94385520514</v>
      </c>
      <c r="Q666">
        <f t="shared" si="250"/>
        <v>175609.82605705305</v>
      </c>
      <c r="R666">
        <f t="shared" si="251"/>
        <v>174856.69956352608</v>
      </c>
      <c r="S666">
        <f t="shared" si="252"/>
        <v>174758.27814386276</v>
      </c>
      <c r="T666">
        <f t="shared" si="253"/>
        <v>173824.36685186665</v>
      </c>
      <c r="U666">
        <f t="shared" si="254"/>
        <v>172884.69415746193</v>
      </c>
      <c r="V666">
        <f t="shared" si="228"/>
        <v>0</v>
      </c>
      <c r="W666">
        <f t="shared" si="229"/>
        <v>1</v>
      </c>
      <c r="X666">
        <f t="shared" si="230"/>
        <v>0</v>
      </c>
      <c r="Y666">
        <f t="shared" si="231"/>
        <v>0</v>
      </c>
      <c r="Z666">
        <f t="shared" si="232"/>
        <v>0</v>
      </c>
      <c r="AC666">
        <f t="shared" si="221"/>
        <v>175594.94385520514</v>
      </c>
      <c r="AD666">
        <f t="shared" si="222"/>
        <v>175609.82605705305</v>
      </c>
      <c r="AE666">
        <f t="shared" si="223"/>
        <v>174856.69956352608</v>
      </c>
      <c r="AF666">
        <f t="shared" si="224"/>
        <v>174758.27814386276</v>
      </c>
      <c r="AG666">
        <f t="shared" si="225"/>
        <v>173824.36685186665</v>
      </c>
      <c r="AH666">
        <f t="shared" si="226"/>
        <v>172884.69415746193</v>
      </c>
      <c r="AI666">
        <f t="shared" si="239"/>
        <v>175609.82605705305</v>
      </c>
    </row>
    <row r="667" spans="2:35" x14ac:dyDescent="0.3">
      <c r="B667">
        <v>624</v>
      </c>
      <c r="C667">
        <v>83531.867499999993</v>
      </c>
      <c r="D667">
        <v>83641.051800000001</v>
      </c>
      <c r="E667">
        <v>84880.267500000002</v>
      </c>
      <c r="F667">
        <v>84887.214800000002</v>
      </c>
      <c r="G667">
        <v>86565.745599999995</v>
      </c>
      <c r="H667">
        <v>87489.562699999995</v>
      </c>
      <c r="I667">
        <v>10.253480425274732</v>
      </c>
      <c r="J667">
        <v>10.238666815342707</v>
      </c>
      <c r="K667">
        <v>10.230707893013282</v>
      </c>
      <c r="L667">
        <v>10.226155778166142</v>
      </c>
      <c r="M667">
        <v>10.211361699459191</v>
      </c>
      <c r="N667">
        <v>10.203846101380471</v>
      </c>
      <c r="P667">
        <f t="shared" si="249"/>
        <v>224072.545258242</v>
      </c>
      <c r="Q667">
        <f t="shared" si="250"/>
        <v>223518.95266028121</v>
      </c>
      <c r="R667">
        <f t="shared" si="251"/>
        <v>222040.96929039841</v>
      </c>
      <c r="S667">
        <f t="shared" si="252"/>
        <v>221897.45854498423</v>
      </c>
      <c r="T667">
        <f t="shared" si="253"/>
        <v>219775.10538377575</v>
      </c>
      <c r="U667">
        <f t="shared" si="254"/>
        <v>218625.82034141413</v>
      </c>
      <c r="V667">
        <f t="shared" si="228"/>
        <v>1</v>
      </c>
      <c r="W667">
        <f t="shared" si="229"/>
        <v>0</v>
      </c>
      <c r="X667">
        <f t="shared" si="230"/>
        <v>0</v>
      </c>
      <c r="Y667">
        <f t="shared" si="231"/>
        <v>0</v>
      </c>
      <c r="Z667">
        <f t="shared" si="232"/>
        <v>0</v>
      </c>
      <c r="AA667">
        <f t="shared" ref="AA667" si="268">IF(MAX(P667:U667)=U667, 1, 0)</f>
        <v>0</v>
      </c>
      <c r="AC667">
        <f t="shared" si="221"/>
        <v>224072.545258242</v>
      </c>
      <c r="AD667">
        <f t="shared" si="222"/>
        <v>223518.95266028121</v>
      </c>
      <c r="AE667">
        <f t="shared" si="223"/>
        <v>222040.96929039841</v>
      </c>
      <c r="AF667">
        <f t="shared" si="224"/>
        <v>221897.45854498423</v>
      </c>
      <c r="AG667">
        <f t="shared" si="225"/>
        <v>219775.10538377575</v>
      </c>
      <c r="AH667">
        <f t="shared" si="226"/>
        <v>218625.82034141413</v>
      </c>
      <c r="AI667">
        <f t="shared" si="239"/>
        <v>224072.545258242</v>
      </c>
    </row>
    <row r="668" spans="2:35" x14ac:dyDescent="0.3">
      <c r="B668">
        <v>625</v>
      </c>
      <c r="C668">
        <v>82951.834700000007</v>
      </c>
      <c r="D668">
        <v>81093.225600000005</v>
      </c>
      <c r="E668">
        <v>80952.529899999994</v>
      </c>
      <c r="F668">
        <v>80773.335000000006</v>
      </c>
      <c r="G668">
        <v>80444.727299999999</v>
      </c>
      <c r="H668">
        <v>80171.376000000004</v>
      </c>
      <c r="I668">
        <v>10.640383736811895</v>
      </c>
      <c r="J668">
        <v>10.573754585895431</v>
      </c>
      <c r="K668">
        <v>10.539231438306135</v>
      </c>
      <c r="L668">
        <v>10.534608949605616</v>
      </c>
      <c r="M668">
        <v>10.492743290201291</v>
      </c>
      <c r="N668">
        <v>10.446593527488318</v>
      </c>
      <c r="P668">
        <f t="shared" si="249"/>
        <v>236259.67740435683</v>
      </c>
      <c r="Q668">
        <f t="shared" si="250"/>
        <v>236119.41197686293</v>
      </c>
      <c r="R668">
        <f t="shared" si="251"/>
        <v>235224.41324918406</v>
      </c>
      <c r="S668">
        <f t="shared" si="252"/>
        <v>235264.93348816846</v>
      </c>
      <c r="T668">
        <f t="shared" si="253"/>
        <v>234337.57140603874</v>
      </c>
      <c r="U668">
        <f t="shared" si="254"/>
        <v>233226.42982464953</v>
      </c>
      <c r="V668">
        <f t="shared" si="228"/>
        <v>1</v>
      </c>
      <c r="W668">
        <f t="shared" si="229"/>
        <v>0</v>
      </c>
      <c r="X668">
        <f t="shared" si="230"/>
        <v>0</v>
      </c>
      <c r="Y668">
        <f t="shared" si="231"/>
        <v>0</v>
      </c>
      <c r="Z668">
        <f t="shared" si="232"/>
        <v>0</v>
      </c>
      <c r="AC668">
        <f t="shared" si="221"/>
        <v>236259.67740435683</v>
      </c>
      <c r="AD668">
        <f t="shared" si="222"/>
        <v>236119.41197686293</v>
      </c>
      <c r="AE668">
        <f t="shared" si="223"/>
        <v>235224.41324918406</v>
      </c>
      <c r="AF668">
        <f t="shared" si="224"/>
        <v>235264.93348816846</v>
      </c>
      <c r="AG668">
        <f t="shared" si="225"/>
        <v>234337.57140603874</v>
      </c>
      <c r="AH668">
        <f t="shared" si="226"/>
        <v>233226.42982464953</v>
      </c>
      <c r="AI668">
        <f t="shared" si="239"/>
        <v>236259.67740435683</v>
      </c>
    </row>
    <row r="669" spans="2:35" x14ac:dyDescent="0.3">
      <c r="B669">
        <v>626</v>
      </c>
      <c r="C669">
        <v>76346.599600000001</v>
      </c>
      <c r="D669">
        <v>75970.413400000005</v>
      </c>
      <c r="E669">
        <v>76775.1489</v>
      </c>
      <c r="F669">
        <v>76790.472200000004</v>
      </c>
      <c r="G669">
        <v>77539.198099999994</v>
      </c>
      <c r="H669">
        <v>78316.104600000006</v>
      </c>
      <c r="I669">
        <v>9.4021815007579814</v>
      </c>
      <c r="J669">
        <v>9.3940444183068372</v>
      </c>
      <c r="K669">
        <v>9.3876794865815132</v>
      </c>
      <c r="L669">
        <v>9.3848369832398895</v>
      </c>
      <c r="M669">
        <v>9.3796990978874213</v>
      </c>
      <c r="N669">
        <v>9.3725941848151617</v>
      </c>
      <c r="P669">
        <f t="shared" si="249"/>
        <v>205718.84542273945</v>
      </c>
      <c r="Q669">
        <f t="shared" si="250"/>
        <v>205850.91914920509</v>
      </c>
      <c r="R669">
        <f t="shared" si="251"/>
        <v>204855.23569744537</v>
      </c>
      <c r="S669">
        <f t="shared" si="252"/>
        <v>204754.63729719666</v>
      </c>
      <c r="T669">
        <f t="shared" si="253"/>
        <v>203851.77483662264</v>
      </c>
      <c r="U669">
        <f t="shared" si="254"/>
        <v>202861.72094445484</v>
      </c>
      <c r="V669">
        <f t="shared" si="228"/>
        <v>0</v>
      </c>
      <c r="W669">
        <f t="shared" si="229"/>
        <v>1</v>
      </c>
      <c r="X669">
        <f t="shared" si="230"/>
        <v>0</v>
      </c>
      <c r="Y669">
        <f t="shared" si="231"/>
        <v>0</v>
      </c>
      <c r="Z669">
        <f t="shared" si="232"/>
        <v>0</v>
      </c>
      <c r="AA669">
        <f t="shared" ref="AA669" si="269">IF(MAX(P669:U669)=U669, 1, 0)</f>
        <v>0</v>
      </c>
      <c r="AC669">
        <f t="shared" si="221"/>
        <v>205718.84542273945</v>
      </c>
      <c r="AD669">
        <f t="shared" si="222"/>
        <v>205850.91914920509</v>
      </c>
      <c r="AE669">
        <f t="shared" si="223"/>
        <v>204855.23569744537</v>
      </c>
      <c r="AF669">
        <f t="shared" si="224"/>
        <v>204754.63729719666</v>
      </c>
      <c r="AG669">
        <f t="shared" si="225"/>
        <v>203851.77483662264</v>
      </c>
      <c r="AH669">
        <f t="shared" si="226"/>
        <v>202861.72094445484</v>
      </c>
      <c r="AI669">
        <f t="shared" si="239"/>
        <v>205850.91914920509</v>
      </c>
    </row>
    <row r="670" spans="2:35" x14ac:dyDescent="0.3">
      <c r="B670">
        <v>627</v>
      </c>
      <c r="C670">
        <v>90004.540900000007</v>
      </c>
      <c r="D670">
        <v>88334.139500000005</v>
      </c>
      <c r="E670">
        <v>88039.791200000007</v>
      </c>
      <c r="F670">
        <v>87656.404899999994</v>
      </c>
      <c r="G670">
        <v>87338.825700000001</v>
      </c>
      <c r="H670">
        <v>87077.905400000003</v>
      </c>
      <c r="I670">
        <v>9.2212602061633877</v>
      </c>
      <c r="J670">
        <v>9.1709418586947606</v>
      </c>
      <c r="K670">
        <v>9.1448944341348923</v>
      </c>
      <c r="L670">
        <v>9.1348554245790421</v>
      </c>
      <c r="M670">
        <v>9.1004593706384735</v>
      </c>
      <c r="N670">
        <v>9.0717305090333582</v>
      </c>
      <c r="P670">
        <f t="shared" si="249"/>
        <v>186633.2652849016</v>
      </c>
      <c r="Q670">
        <f t="shared" si="250"/>
        <v>186794.11626084283</v>
      </c>
      <c r="R670">
        <f t="shared" si="251"/>
        <v>186307.04182404678</v>
      </c>
      <c r="S670">
        <f t="shared" si="252"/>
        <v>186389.25783737129</v>
      </c>
      <c r="T670">
        <f t="shared" si="253"/>
        <v>185674.9554191542</v>
      </c>
      <c r="U670">
        <f t="shared" si="254"/>
        <v>185074.00987100077</v>
      </c>
      <c r="V670">
        <f t="shared" si="228"/>
        <v>0</v>
      </c>
      <c r="W670">
        <f t="shared" si="229"/>
        <v>1</v>
      </c>
      <c r="X670">
        <f t="shared" si="230"/>
        <v>0</v>
      </c>
      <c r="Y670">
        <f t="shared" si="231"/>
        <v>0</v>
      </c>
      <c r="Z670">
        <f t="shared" si="232"/>
        <v>0</v>
      </c>
      <c r="AC670">
        <f t="shared" si="221"/>
        <v>186633.2652849016</v>
      </c>
      <c r="AD670">
        <f t="shared" si="222"/>
        <v>186794.11626084283</v>
      </c>
      <c r="AE670">
        <f t="shared" si="223"/>
        <v>186307.04182404678</v>
      </c>
      <c r="AF670">
        <f t="shared" si="224"/>
        <v>186389.25783737129</v>
      </c>
      <c r="AG670">
        <f t="shared" si="225"/>
        <v>185674.9554191542</v>
      </c>
      <c r="AH670">
        <f t="shared" si="226"/>
        <v>185074.00987100077</v>
      </c>
      <c r="AI670">
        <f t="shared" si="239"/>
        <v>186794.11626084283</v>
      </c>
    </row>
    <row r="671" spans="2:35" x14ac:dyDescent="0.3">
      <c r="B671">
        <v>628</v>
      </c>
      <c r="C671">
        <v>88514.610499999995</v>
      </c>
      <c r="D671">
        <v>87338.291700000002</v>
      </c>
      <c r="E671">
        <v>87378.850099999996</v>
      </c>
      <c r="F671">
        <v>87268.817299999995</v>
      </c>
      <c r="G671">
        <v>87357.249599999996</v>
      </c>
      <c r="H671">
        <v>87418.510599999994</v>
      </c>
      <c r="I671">
        <v>10.822413574385608</v>
      </c>
      <c r="J671">
        <v>10.780387287539559</v>
      </c>
      <c r="K671">
        <v>10.756513287497919</v>
      </c>
      <c r="L671">
        <v>10.740982296731858</v>
      </c>
      <c r="M671">
        <v>10.711498867412748</v>
      </c>
      <c r="N671">
        <v>10.682165120250065</v>
      </c>
      <c r="P671">
        <f t="shared" si="249"/>
        <v>236157.79673156823</v>
      </c>
      <c r="Q671">
        <f t="shared" si="250"/>
        <v>236073.3269261868</v>
      </c>
      <c r="R671">
        <f t="shared" si="251"/>
        <v>235316.54852493759</v>
      </c>
      <c r="S671">
        <f t="shared" si="252"/>
        <v>234960.65160195576</v>
      </c>
      <c r="T671">
        <f t="shared" si="253"/>
        <v>233987.71642238245</v>
      </c>
      <c r="U671">
        <f t="shared" si="254"/>
        <v>233046.44300750201</v>
      </c>
      <c r="V671">
        <f t="shared" si="228"/>
        <v>1</v>
      </c>
      <c r="W671">
        <f t="shared" si="229"/>
        <v>0</v>
      </c>
      <c r="X671">
        <f t="shared" si="230"/>
        <v>0</v>
      </c>
      <c r="Y671">
        <f t="shared" si="231"/>
        <v>0</v>
      </c>
      <c r="Z671">
        <f t="shared" si="232"/>
        <v>0</v>
      </c>
      <c r="AA671">
        <f t="shared" ref="AA671" si="270">IF(MAX(P671:U671)=U671, 1, 0)</f>
        <v>0</v>
      </c>
      <c r="AC671">
        <f t="shared" si="221"/>
        <v>236157.79673156823</v>
      </c>
      <c r="AD671">
        <f t="shared" si="222"/>
        <v>236073.3269261868</v>
      </c>
      <c r="AE671">
        <f t="shared" si="223"/>
        <v>235316.54852493759</v>
      </c>
      <c r="AF671">
        <f t="shared" si="224"/>
        <v>234960.65160195576</v>
      </c>
      <c r="AG671">
        <f t="shared" si="225"/>
        <v>233987.71642238245</v>
      </c>
      <c r="AH671">
        <f t="shared" si="226"/>
        <v>233046.44300750201</v>
      </c>
      <c r="AI671">
        <f t="shared" si="239"/>
        <v>236157.79673156823</v>
      </c>
    </row>
    <row r="672" spans="2:35" x14ac:dyDescent="0.3">
      <c r="B672">
        <v>629</v>
      </c>
      <c r="C672">
        <v>74235.077799999999</v>
      </c>
      <c r="D672">
        <v>74042.098400000003</v>
      </c>
      <c r="E672">
        <v>74565.6014</v>
      </c>
      <c r="F672">
        <v>74898.331699999995</v>
      </c>
      <c r="G672">
        <v>75152.678899999999</v>
      </c>
      <c r="H672">
        <v>76101.116699999999</v>
      </c>
      <c r="I672">
        <v>10.419959358154655</v>
      </c>
      <c r="J672">
        <v>10.372156497914405</v>
      </c>
      <c r="K672">
        <v>10.351266426668277</v>
      </c>
      <c r="L672">
        <v>10.333664720559803</v>
      </c>
      <c r="M672">
        <v>10.315807636932117</v>
      </c>
      <c r="N672">
        <v>10.27233308894645</v>
      </c>
      <c r="P672">
        <f t="shared" si="249"/>
        <v>238363.70294463963</v>
      </c>
      <c r="Q672">
        <f t="shared" si="250"/>
        <v>237122.59653743217</v>
      </c>
      <c r="R672">
        <f t="shared" si="251"/>
        <v>235972.39140004833</v>
      </c>
      <c r="S672">
        <f t="shared" si="252"/>
        <v>235111.60991679411</v>
      </c>
      <c r="T672">
        <f t="shared" si="253"/>
        <v>234321.5502079635</v>
      </c>
      <c r="U672">
        <f t="shared" si="254"/>
        <v>232068.87596839346</v>
      </c>
      <c r="V672">
        <f t="shared" si="228"/>
        <v>1</v>
      </c>
      <c r="W672">
        <f t="shared" si="229"/>
        <v>0</v>
      </c>
      <c r="X672">
        <f t="shared" si="230"/>
        <v>0</v>
      </c>
      <c r="Y672">
        <f t="shared" si="231"/>
        <v>0</v>
      </c>
      <c r="Z672">
        <f t="shared" si="232"/>
        <v>0</v>
      </c>
      <c r="AC672">
        <f t="shared" ref="AC672:AC735" si="271">Threshold*I672-C672</f>
        <v>238363.70294463963</v>
      </c>
      <c r="AD672">
        <f t="shared" ref="AD672:AD735" si="272">Threshold*J672-D672</f>
        <v>237122.59653743217</v>
      </c>
      <c r="AE672">
        <f t="shared" ref="AE672:AE735" si="273">Threshold*K672-E672</f>
        <v>235972.39140004833</v>
      </c>
      <c r="AF672">
        <f t="shared" ref="AF672:AF735" si="274">Threshold*L672-F672</f>
        <v>235111.60991679411</v>
      </c>
      <c r="AG672">
        <f t="shared" ref="AG672:AG735" si="275">Threshold*M672-G672</f>
        <v>234321.5502079635</v>
      </c>
      <c r="AH672">
        <f t="shared" ref="AH672:AH735" si="276">Threshold*N672-H672</f>
        <v>232068.87596839346</v>
      </c>
      <c r="AI672">
        <f t="shared" si="239"/>
        <v>238363.70294463963</v>
      </c>
    </row>
    <row r="673" spans="2:35" x14ac:dyDescent="0.3">
      <c r="B673">
        <v>630</v>
      </c>
      <c r="C673">
        <v>78849.475699999995</v>
      </c>
      <c r="D673">
        <v>77450.460200000001</v>
      </c>
      <c r="E673">
        <v>77364.497000000003</v>
      </c>
      <c r="F673">
        <v>77095.480599999995</v>
      </c>
      <c r="G673">
        <v>76725.505999999994</v>
      </c>
      <c r="H673">
        <v>76837.847500000003</v>
      </c>
      <c r="I673">
        <v>9.1021275221940741</v>
      </c>
      <c r="J673">
        <v>9.0698432720072528</v>
      </c>
      <c r="K673">
        <v>9.0434045089274928</v>
      </c>
      <c r="L673">
        <v>9.0298992878837137</v>
      </c>
      <c r="M673">
        <v>9.0011082635178159</v>
      </c>
      <c r="N673">
        <v>8.9784050924241292</v>
      </c>
      <c r="P673">
        <f t="shared" si="249"/>
        <v>194214.34996582218</v>
      </c>
      <c r="Q673">
        <f t="shared" si="250"/>
        <v>194644.83796021758</v>
      </c>
      <c r="R673">
        <f t="shared" si="251"/>
        <v>193937.6382678248</v>
      </c>
      <c r="S673">
        <f t="shared" si="252"/>
        <v>193801.49803651142</v>
      </c>
      <c r="T673">
        <f t="shared" si="253"/>
        <v>193307.74190553447</v>
      </c>
      <c r="U673">
        <f t="shared" si="254"/>
        <v>192514.30527272387</v>
      </c>
      <c r="V673">
        <f t="shared" si="228"/>
        <v>0</v>
      </c>
      <c r="W673">
        <f t="shared" si="229"/>
        <v>1</v>
      </c>
      <c r="X673">
        <f t="shared" si="230"/>
        <v>0</v>
      </c>
      <c r="Y673">
        <f t="shared" si="231"/>
        <v>0</v>
      </c>
      <c r="Z673">
        <f t="shared" si="232"/>
        <v>0</v>
      </c>
      <c r="AA673">
        <f t="shared" ref="AA673" si="277">IF(MAX(P673:U673)=U673, 1, 0)</f>
        <v>0</v>
      </c>
      <c r="AC673">
        <f t="shared" si="271"/>
        <v>194214.34996582218</v>
      </c>
      <c r="AD673">
        <f t="shared" si="272"/>
        <v>194644.83796021758</v>
      </c>
      <c r="AE673">
        <f t="shared" si="273"/>
        <v>193937.6382678248</v>
      </c>
      <c r="AF673">
        <f t="shared" si="274"/>
        <v>193801.49803651142</v>
      </c>
      <c r="AG673">
        <f t="shared" si="275"/>
        <v>193307.74190553447</v>
      </c>
      <c r="AH673">
        <f t="shared" si="276"/>
        <v>192514.30527272387</v>
      </c>
      <c r="AI673">
        <f t="shared" si="239"/>
        <v>194644.83796021758</v>
      </c>
    </row>
    <row r="674" spans="2:35" x14ac:dyDescent="0.3">
      <c r="B674">
        <v>631</v>
      </c>
      <c r="C674">
        <v>76565.115900000004</v>
      </c>
      <c r="D674">
        <v>74788.712799999994</v>
      </c>
      <c r="E674">
        <v>74231.705199999997</v>
      </c>
      <c r="F674">
        <v>73995.765100000004</v>
      </c>
      <c r="G674">
        <v>73370.303199999995</v>
      </c>
      <c r="H674">
        <v>72917.684399999998</v>
      </c>
      <c r="I674">
        <v>11.599974025524363</v>
      </c>
      <c r="J674">
        <v>11.584816688400581</v>
      </c>
      <c r="K674">
        <v>11.568922160439465</v>
      </c>
      <c r="L674">
        <v>11.56952009752295</v>
      </c>
      <c r="M674">
        <v>11.554333191243661</v>
      </c>
      <c r="N674">
        <v>11.541089448062882</v>
      </c>
      <c r="P674">
        <f t="shared" si="249"/>
        <v>271434.10486573086</v>
      </c>
      <c r="Q674">
        <f t="shared" si="250"/>
        <v>272755.78785201744</v>
      </c>
      <c r="R674">
        <f t="shared" si="251"/>
        <v>272835.95961318398</v>
      </c>
      <c r="S674">
        <f t="shared" si="252"/>
        <v>273089.83782568848</v>
      </c>
      <c r="T674">
        <f t="shared" si="253"/>
        <v>273259.69253730983</v>
      </c>
      <c r="U674">
        <f t="shared" si="254"/>
        <v>273314.99904188642</v>
      </c>
      <c r="V674">
        <f t="shared" ref="V674:V737" si="278">IF(MAX(P674:U674)=P674, 1, 0)</f>
        <v>0</v>
      </c>
      <c r="W674">
        <f t="shared" ref="W674:W737" si="279">IF(MAX(P674:U674)=Q674, 1, 0)</f>
        <v>0</v>
      </c>
      <c r="X674">
        <f t="shared" ref="X674:X737" si="280">IF(MAX(P674:U674)=R674, 1, 0)</f>
        <v>0</v>
      </c>
      <c r="Y674">
        <f t="shared" ref="Y674:Y737" si="281">IF(MAX(P674:U674)=S674, 1, 0)</f>
        <v>0</v>
      </c>
      <c r="Z674">
        <f t="shared" ref="Z674:Z737" si="282">IF(MAX(P674:U674)=T674, 1, 0)</f>
        <v>0</v>
      </c>
      <c r="AC674">
        <f t="shared" si="271"/>
        <v>271434.10486573086</v>
      </c>
      <c r="AD674">
        <f t="shared" si="272"/>
        <v>272755.78785201744</v>
      </c>
      <c r="AE674">
        <f t="shared" si="273"/>
        <v>272835.95961318398</v>
      </c>
      <c r="AF674">
        <f t="shared" si="274"/>
        <v>273089.83782568848</v>
      </c>
      <c r="AG674">
        <f t="shared" si="275"/>
        <v>273259.69253730983</v>
      </c>
      <c r="AH674">
        <f t="shared" si="276"/>
        <v>273314.99904188642</v>
      </c>
      <c r="AI674">
        <f t="shared" si="239"/>
        <v>273314.99904188642</v>
      </c>
    </row>
    <row r="675" spans="2:35" x14ac:dyDescent="0.3">
      <c r="B675">
        <v>632</v>
      </c>
      <c r="C675">
        <v>84530.361900000004</v>
      </c>
      <c r="D675">
        <v>83647.136499999993</v>
      </c>
      <c r="E675">
        <v>84044.659499999994</v>
      </c>
      <c r="F675">
        <v>84017.629000000001</v>
      </c>
      <c r="G675">
        <v>84258.356299999999</v>
      </c>
      <c r="H675">
        <v>84510.1728</v>
      </c>
      <c r="I675">
        <v>9.9717263720261489</v>
      </c>
      <c r="J675">
        <v>9.9376387510286968</v>
      </c>
      <c r="K675">
        <v>9.9040700312180121</v>
      </c>
      <c r="L675">
        <v>9.8890976966956394</v>
      </c>
      <c r="M675">
        <v>9.8640453135186164</v>
      </c>
      <c r="N675">
        <v>9.83649820870356</v>
      </c>
      <c r="P675">
        <f t="shared" si="249"/>
        <v>214621.42926078447</v>
      </c>
      <c r="Q675">
        <f t="shared" si="250"/>
        <v>214482.02603086093</v>
      </c>
      <c r="R675">
        <f t="shared" si="251"/>
        <v>213077.44143654034</v>
      </c>
      <c r="S675">
        <f t="shared" si="252"/>
        <v>212655.30190086918</v>
      </c>
      <c r="T675">
        <f t="shared" si="253"/>
        <v>211663.00310555851</v>
      </c>
      <c r="U675">
        <f t="shared" si="254"/>
        <v>210584.77346110682</v>
      </c>
      <c r="V675">
        <f t="shared" si="278"/>
        <v>1</v>
      </c>
      <c r="W675">
        <f t="shared" si="279"/>
        <v>0</v>
      </c>
      <c r="X675">
        <f t="shared" si="280"/>
        <v>0</v>
      </c>
      <c r="Y675">
        <f t="shared" si="281"/>
        <v>0</v>
      </c>
      <c r="Z675">
        <f t="shared" si="282"/>
        <v>0</v>
      </c>
      <c r="AA675">
        <f t="shared" ref="AA675" si="283">IF(MAX(P675:U675)=U675, 1, 0)</f>
        <v>0</v>
      </c>
      <c r="AC675">
        <f t="shared" si="271"/>
        <v>214621.42926078447</v>
      </c>
      <c r="AD675">
        <f t="shared" si="272"/>
        <v>214482.02603086093</v>
      </c>
      <c r="AE675">
        <f t="shared" si="273"/>
        <v>213077.44143654034</v>
      </c>
      <c r="AF675">
        <f t="shared" si="274"/>
        <v>212655.30190086918</v>
      </c>
      <c r="AG675">
        <f t="shared" si="275"/>
        <v>211663.00310555851</v>
      </c>
      <c r="AH675">
        <f t="shared" si="276"/>
        <v>210584.77346110682</v>
      </c>
      <c r="AI675">
        <f t="shared" si="239"/>
        <v>214621.42926078447</v>
      </c>
    </row>
    <row r="676" spans="2:35" x14ac:dyDescent="0.3">
      <c r="B676">
        <v>633</v>
      </c>
      <c r="C676">
        <v>78348.683300000004</v>
      </c>
      <c r="D676">
        <v>78081.232999999993</v>
      </c>
      <c r="E676">
        <v>78563.061400000006</v>
      </c>
      <c r="F676">
        <v>78678.363899999997</v>
      </c>
      <c r="G676">
        <v>79417.418300000005</v>
      </c>
      <c r="H676">
        <v>80004.405400000003</v>
      </c>
      <c r="I676">
        <v>11.134847878487898</v>
      </c>
      <c r="J676">
        <v>11.116528303656846</v>
      </c>
      <c r="K676">
        <v>11.102554541287537</v>
      </c>
      <c r="L676">
        <v>11.094297444522699</v>
      </c>
      <c r="M676">
        <v>11.080013824092209</v>
      </c>
      <c r="N676">
        <v>11.064428281197817</v>
      </c>
      <c r="P676">
        <f t="shared" si="249"/>
        <v>255696.75305463697</v>
      </c>
      <c r="Q676">
        <f t="shared" si="250"/>
        <v>255414.61610970536</v>
      </c>
      <c r="R676">
        <f t="shared" si="251"/>
        <v>254513.57483862608</v>
      </c>
      <c r="S676">
        <f t="shared" si="252"/>
        <v>254150.55943568097</v>
      </c>
      <c r="T676">
        <f t="shared" si="253"/>
        <v>252982.99642276624</v>
      </c>
      <c r="U676">
        <f t="shared" si="254"/>
        <v>251928.44303593453</v>
      </c>
      <c r="V676">
        <f t="shared" si="278"/>
        <v>1</v>
      </c>
      <c r="W676">
        <f t="shared" si="279"/>
        <v>0</v>
      </c>
      <c r="X676">
        <f t="shared" si="280"/>
        <v>0</v>
      </c>
      <c r="Y676">
        <f t="shared" si="281"/>
        <v>0</v>
      </c>
      <c r="Z676">
        <f t="shared" si="282"/>
        <v>0</v>
      </c>
      <c r="AC676">
        <f t="shared" si="271"/>
        <v>255696.75305463697</v>
      </c>
      <c r="AD676">
        <f t="shared" si="272"/>
        <v>255414.61610970536</v>
      </c>
      <c r="AE676">
        <f t="shared" si="273"/>
        <v>254513.57483862608</v>
      </c>
      <c r="AF676">
        <f t="shared" si="274"/>
        <v>254150.55943568097</v>
      </c>
      <c r="AG676">
        <f t="shared" si="275"/>
        <v>252982.99642276624</v>
      </c>
      <c r="AH676">
        <f t="shared" si="276"/>
        <v>251928.44303593453</v>
      </c>
      <c r="AI676">
        <f t="shared" si="239"/>
        <v>255696.75305463697</v>
      </c>
    </row>
    <row r="677" spans="2:35" x14ac:dyDescent="0.3">
      <c r="B677">
        <v>634</v>
      </c>
      <c r="C677">
        <v>76405.603799999997</v>
      </c>
      <c r="D677">
        <v>76251.019799999995</v>
      </c>
      <c r="E677">
        <v>77049.250199999995</v>
      </c>
      <c r="F677">
        <v>77203.7405</v>
      </c>
      <c r="G677">
        <v>77798.2353</v>
      </c>
      <c r="H677">
        <v>78584.606499999994</v>
      </c>
      <c r="I677">
        <v>10.968883795484174</v>
      </c>
      <c r="J677">
        <v>10.943572602815516</v>
      </c>
      <c r="K677">
        <v>10.931741174709233</v>
      </c>
      <c r="L677">
        <v>10.923662492885938</v>
      </c>
      <c r="M677">
        <v>10.909722258917935</v>
      </c>
      <c r="N677">
        <v>10.893385136826254</v>
      </c>
      <c r="P677">
        <f t="shared" si="249"/>
        <v>252660.91006452526</v>
      </c>
      <c r="Q677">
        <f t="shared" si="250"/>
        <v>252056.15828446549</v>
      </c>
      <c r="R677">
        <f t="shared" si="251"/>
        <v>250902.98504127696</v>
      </c>
      <c r="S677">
        <f t="shared" si="252"/>
        <v>250506.13428657816</v>
      </c>
      <c r="T677">
        <f t="shared" si="253"/>
        <v>249493.43246753805</v>
      </c>
      <c r="U677">
        <f t="shared" si="254"/>
        <v>248216.94760478759</v>
      </c>
      <c r="V677">
        <f t="shared" si="278"/>
        <v>1</v>
      </c>
      <c r="W677">
        <f t="shared" si="279"/>
        <v>0</v>
      </c>
      <c r="X677">
        <f t="shared" si="280"/>
        <v>0</v>
      </c>
      <c r="Y677">
        <f t="shared" si="281"/>
        <v>0</v>
      </c>
      <c r="Z677">
        <f t="shared" si="282"/>
        <v>0</v>
      </c>
      <c r="AA677">
        <f t="shared" ref="AA677" si="284">IF(MAX(P677:U677)=U677, 1, 0)</f>
        <v>0</v>
      </c>
      <c r="AC677">
        <f t="shared" si="271"/>
        <v>252660.91006452526</v>
      </c>
      <c r="AD677">
        <f t="shared" si="272"/>
        <v>252056.15828446549</v>
      </c>
      <c r="AE677">
        <f t="shared" si="273"/>
        <v>250902.98504127696</v>
      </c>
      <c r="AF677">
        <f t="shared" si="274"/>
        <v>250506.13428657816</v>
      </c>
      <c r="AG677">
        <f t="shared" si="275"/>
        <v>249493.43246753805</v>
      </c>
      <c r="AH677">
        <f t="shared" si="276"/>
        <v>248216.94760478759</v>
      </c>
      <c r="AI677">
        <f t="shared" si="239"/>
        <v>252660.91006452526</v>
      </c>
    </row>
    <row r="678" spans="2:35" x14ac:dyDescent="0.3">
      <c r="B678">
        <v>635</v>
      </c>
      <c r="C678">
        <v>69957.964200000002</v>
      </c>
      <c r="D678">
        <v>69294.094100000002</v>
      </c>
      <c r="E678">
        <v>69693.438299999994</v>
      </c>
      <c r="F678">
        <v>69554.514200000005</v>
      </c>
      <c r="G678">
        <v>70004.703399999999</v>
      </c>
      <c r="H678">
        <v>70593.081399999995</v>
      </c>
      <c r="I678">
        <v>10.176144330203613</v>
      </c>
      <c r="J678">
        <v>10.156156922407419</v>
      </c>
      <c r="K678">
        <v>10.144484247437662</v>
      </c>
      <c r="L678">
        <v>10.139588968008123</v>
      </c>
      <c r="M678">
        <v>10.127707660354506</v>
      </c>
      <c r="N678">
        <v>10.113076164790897</v>
      </c>
      <c r="P678">
        <f t="shared" si="249"/>
        <v>235326.36570610839</v>
      </c>
      <c r="Q678">
        <f t="shared" si="250"/>
        <v>235390.61357222259</v>
      </c>
      <c r="R678">
        <f t="shared" si="251"/>
        <v>234641.08912312984</v>
      </c>
      <c r="S678">
        <f t="shared" si="252"/>
        <v>234633.15484024372</v>
      </c>
      <c r="T678">
        <f t="shared" si="253"/>
        <v>233826.52641063521</v>
      </c>
      <c r="U678">
        <f t="shared" si="254"/>
        <v>232799.20354372691</v>
      </c>
      <c r="V678">
        <f t="shared" si="278"/>
        <v>0</v>
      </c>
      <c r="W678">
        <f t="shared" si="279"/>
        <v>1</v>
      </c>
      <c r="X678">
        <f t="shared" si="280"/>
        <v>0</v>
      </c>
      <c r="Y678">
        <f t="shared" si="281"/>
        <v>0</v>
      </c>
      <c r="Z678">
        <f t="shared" si="282"/>
        <v>0</v>
      </c>
      <c r="AC678">
        <f t="shared" si="271"/>
        <v>235326.36570610839</v>
      </c>
      <c r="AD678">
        <f t="shared" si="272"/>
        <v>235390.61357222259</v>
      </c>
      <c r="AE678">
        <f t="shared" si="273"/>
        <v>234641.08912312984</v>
      </c>
      <c r="AF678">
        <f t="shared" si="274"/>
        <v>234633.15484024372</v>
      </c>
      <c r="AG678">
        <f t="shared" si="275"/>
        <v>233826.52641063521</v>
      </c>
      <c r="AH678">
        <f t="shared" si="276"/>
        <v>232799.20354372691</v>
      </c>
      <c r="AI678">
        <f t="shared" si="239"/>
        <v>235390.61357222259</v>
      </c>
    </row>
    <row r="679" spans="2:35" x14ac:dyDescent="0.3">
      <c r="B679">
        <v>636</v>
      </c>
      <c r="C679">
        <v>77575.798500000004</v>
      </c>
      <c r="D679">
        <v>76708.020900000003</v>
      </c>
      <c r="E679">
        <v>76844.445500000002</v>
      </c>
      <c r="F679">
        <v>76578.193799999994</v>
      </c>
      <c r="G679">
        <v>76874.955000000002</v>
      </c>
      <c r="H679">
        <v>77302.474300000002</v>
      </c>
      <c r="I679">
        <v>9.5970749152216683</v>
      </c>
      <c r="J679">
        <v>9.5566547494650198</v>
      </c>
      <c r="K679">
        <v>9.5419513258803281</v>
      </c>
      <c r="L679">
        <v>9.5285269331920759</v>
      </c>
      <c r="M679">
        <v>9.5130495061083469</v>
      </c>
      <c r="N679">
        <v>9.4829351855191355</v>
      </c>
      <c r="P679">
        <f t="shared" si="249"/>
        <v>210336.44895665007</v>
      </c>
      <c r="Q679">
        <f t="shared" si="250"/>
        <v>209991.62158395059</v>
      </c>
      <c r="R679">
        <f t="shared" si="251"/>
        <v>209414.09427640986</v>
      </c>
      <c r="S679">
        <f t="shared" si="252"/>
        <v>209277.61419576226</v>
      </c>
      <c r="T679">
        <f t="shared" si="253"/>
        <v>208516.53018325038</v>
      </c>
      <c r="U679">
        <f t="shared" si="254"/>
        <v>207185.58126557409</v>
      </c>
      <c r="V679">
        <f t="shared" si="278"/>
        <v>1</v>
      </c>
      <c r="W679">
        <f t="shared" si="279"/>
        <v>0</v>
      </c>
      <c r="X679">
        <f t="shared" si="280"/>
        <v>0</v>
      </c>
      <c r="Y679">
        <f t="shared" si="281"/>
        <v>0</v>
      </c>
      <c r="Z679">
        <f t="shared" si="282"/>
        <v>0</v>
      </c>
      <c r="AA679">
        <f t="shared" ref="AA679" si="285">IF(MAX(P679:U679)=U679, 1, 0)</f>
        <v>0</v>
      </c>
      <c r="AC679">
        <f t="shared" si="271"/>
        <v>210336.44895665007</v>
      </c>
      <c r="AD679">
        <f t="shared" si="272"/>
        <v>209991.62158395059</v>
      </c>
      <c r="AE679">
        <f t="shared" si="273"/>
        <v>209414.09427640986</v>
      </c>
      <c r="AF679">
        <f t="shared" si="274"/>
        <v>209277.61419576226</v>
      </c>
      <c r="AG679">
        <f t="shared" si="275"/>
        <v>208516.53018325038</v>
      </c>
      <c r="AH679">
        <f t="shared" si="276"/>
        <v>207185.58126557409</v>
      </c>
      <c r="AI679">
        <f t="shared" si="239"/>
        <v>210336.44895665007</v>
      </c>
    </row>
    <row r="680" spans="2:35" x14ac:dyDescent="0.3">
      <c r="B680">
        <v>637</v>
      </c>
      <c r="C680">
        <v>73486.47</v>
      </c>
      <c r="D680">
        <v>73833.693100000004</v>
      </c>
      <c r="E680">
        <v>74914.995599999995</v>
      </c>
      <c r="F680">
        <v>74948.572400000005</v>
      </c>
      <c r="G680">
        <v>75889.845700000005</v>
      </c>
      <c r="H680">
        <v>77321.980800000005</v>
      </c>
      <c r="I680">
        <v>8.307237704083752</v>
      </c>
      <c r="J680">
        <v>8.2893576136572698</v>
      </c>
      <c r="K680">
        <v>8.28073019167004</v>
      </c>
      <c r="L680">
        <v>8.2781301360890165</v>
      </c>
      <c r="M680">
        <v>8.2619937595524586</v>
      </c>
      <c r="N680">
        <v>8.2568840749607251</v>
      </c>
      <c r="P680">
        <f t="shared" si="249"/>
        <v>175730.66112251257</v>
      </c>
      <c r="Q680">
        <f t="shared" si="250"/>
        <v>174847.03530971808</v>
      </c>
      <c r="R680">
        <f t="shared" si="251"/>
        <v>173506.9101501012</v>
      </c>
      <c r="S680">
        <f t="shared" si="252"/>
        <v>173395.33168267048</v>
      </c>
      <c r="T680">
        <f t="shared" si="253"/>
        <v>171969.96708657374</v>
      </c>
      <c r="U680">
        <f t="shared" si="254"/>
        <v>170384.54144882172</v>
      </c>
      <c r="V680">
        <f t="shared" si="278"/>
        <v>1</v>
      </c>
      <c r="W680">
        <f t="shared" si="279"/>
        <v>0</v>
      </c>
      <c r="X680">
        <f t="shared" si="280"/>
        <v>0</v>
      </c>
      <c r="Y680">
        <f t="shared" si="281"/>
        <v>0</v>
      </c>
      <c r="Z680">
        <f t="shared" si="282"/>
        <v>0</v>
      </c>
      <c r="AC680">
        <f t="shared" si="271"/>
        <v>175730.66112251257</v>
      </c>
      <c r="AD680">
        <f t="shared" si="272"/>
        <v>174847.03530971808</v>
      </c>
      <c r="AE680">
        <f t="shared" si="273"/>
        <v>173506.9101501012</v>
      </c>
      <c r="AF680">
        <f t="shared" si="274"/>
        <v>173395.33168267048</v>
      </c>
      <c r="AG680">
        <f t="shared" si="275"/>
        <v>171969.96708657374</v>
      </c>
      <c r="AH680">
        <f t="shared" si="276"/>
        <v>170384.54144882172</v>
      </c>
      <c r="AI680">
        <f t="shared" si="239"/>
        <v>175730.66112251257</v>
      </c>
    </row>
    <row r="681" spans="2:35" x14ac:dyDescent="0.3">
      <c r="B681">
        <v>638</v>
      </c>
      <c r="C681">
        <v>69944.7883</v>
      </c>
      <c r="D681">
        <v>70410.498999999996</v>
      </c>
      <c r="E681">
        <v>71462.253700000001</v>
      </c>
      <c r="F681">
        <v>71853.250799999994</v>
      </c>
      <c r="G681">
        <v>72900.263999999996</v>
      </c>
      <c r="H681">
        <v>73997.104300000006</v>
      </c>
      <c r="I681">
        <v>11.06704366498326</v>
      </c>
      <c r="J681">
        <v>11.020403949357096</v>
      </c>
      <c r="K681">
        <v>10.982324830661716</v>
      </c>
      <c r="L681">
        <v>10.968863978525574</v>
      </c>
      <c r="M681">
        <v>10.936308814963603</v>
      </c>
      <c r="N681">
        <v>10.899975579892045</v>
      </c>
      <c r="P681">
        <f t="shared" si="249"/>
        <v>262066.52164949779</v>
      </c>
      <c r="Q681">
        <f t="shared" si="250"/>
        <v>260201.61948071286</v>
      </c>
      <c r="R681">
        <f t="shared" si="251"/>
        <v>258007.49121985148</v>
      </c>
      <c r="S681">
        <f t="shared" si="252"/>
        <v>257212.66855576722</v>
      </c>
      <c r="T681">
        <f t="shared" si="253"/>
        <v>255189.0004489081</v>
      </c>
      <c r="U681">
        <f t="shared" si="254"/>
        <v>253002.16309676133</v>
      </c>
      <c r="V681">
        <f t="shared" si="278"/>
        <v>1</v>
      </c>
      <c r="W681">
        <f t="shared" si="279"/>
        <v>0</v>
      </c>
      <c r="X681">
        <f t="shared" si="280"/>
        <v>0</v>
      </c>
      <c r="Y681">
        <f t="shared" si="281"/>
        <v>0</v>
      </c>
      <c r="Z681">
        <f t="shared" si="282"/>
        <v>0</v>
      </c>
      <c r="AA681">
        <f t="shared" ref="AA681" si="286">IF(MAX(P681:U681)=U681, 1, 0)</f>
        <v>0</v>
      </c>
      <c r="AC681">
        <f t="shared" si="271"/>
        <v>262066.52164949779</v>
      </c>
      <c r="AD681">
        <f t="shared" si="272"/>
        <v>260201.61948071286</v>
      </c>
      <c r="AE681">
        <f t="shared" si="273"/>
        <v>258007.49121985148</v>
      </c>
      <c r="AF681">
        <f t="shared" si="274"/>
        <v>257212.66855576722</v>
      </c>
      <c r="AG681">
        <f t="shared" si="275"/>
        <v>255189.0004489081</v>
      </c>
      <c r="AH681">
        <f t="shared" si="276"/>
        <v>253002.16309676133</v>
      </c>
      <c r="AI681">
        <f t="shared" si="239"/>
        <v>262066.52164949779</v>
      </c>
    </row>
    <row r="682" spans="2:35" x14ac:dyDescent="0.3">
      <c r="B682">
        <v>639</v>
      </c>
      <c r="C682">
        <v>89331.303199999995</v>
      </c>
      <c r="D682">
        <v>89141.231799999994</v>
      </c>
      <c r="E682">
        <v>89720.905700000003</v>
      </c>
      <c r="F682">
        <v>89736.432000000001</v>
      </c>
      <c r="G682">
        <v>90344.916299999997</v>
      </c>
      <c r="H682">
        <v>90936.098499999993</v>
      </c>
      <c r="I682">
        <v>9.9544346574138913</v>
      </c>
      <c r="J682">
        <v>9.9358243912327566</v>
      </c>
      <c r="K682">
        <v>9.9230237754879074</v>
      </c>
      <c r="L682">
        <v>9.9173815040682882</v>
      </c>
      <c r="M682">
        <v>9.9036554334542934</v>
      </c>
      <c r="N682">
        <v>9.8883587282355183</v>
      </c>
      <c r="P682">
        <f t="shared" si="249"/>
        <v>209301.73652241673</v>
      </c>
      <c r="Q682">
        <f t="shared" si="250"/>
        <v>208933.4999369827</v>
      </c>
      <c r="R682">
        <f t="shared" si="251"/>
        <v>207969.80756463722</v>
      </c>
      <c r="S682">
        <f t="shared" si="252"/>
        <v>207785.01312204867</v>
      </c>
      <c r="T682">
        <f t="shared" si="253"/>
        <v>206764.7467036288</v>
      </c>
      <c r="U682">
        <f t="shared" si="254"/>
        <v>205714.66334706554</v>
      </c>
      <c r="V682">
        <f t="shared" si="278"/>
        <v>1</v>
      </c>
      <c r="W682">
        <f t="shared" si="279"/>
        <v>0</v>
      </c>
      <c r="X682">
        <f t="shared" si="280"/>
        <v>0</v>
      </c>
      <c r="Y682">
        <f t="shared" si="281"/>
        <v>0</v>
      </c>
      <c r="Z682">
        <f t="shared" si="282"/>
        <v>0</v>
      </c>
      <c r="AC682">
        <f t="shared" si="271"/>
        <v>209301.73652241673</v>
      </c>
      <c r="AD682">
        <f t="shared" si="272"/>
        <v>208933.4999369827</v>
      </c>
      <c r="AE682">
        <f t="shared" si="273"/>
        <v>207969.80756463722</v>
      </c>
      <c r="AF682">
        <f t="shared" si="274"/>
        <v>207785.01312204867</v>
      </c>
      <c r="AG682">
        <f t="shared" si="275"/>
        <v>206764.7467036288</v>
      </c>
      <c r="AH682">
        <f t="shared" si="276"/>
        <v>205714.66334706554</v>
      </c>
      <c r="AI682">
        <f t="shared" si="239"/>
        <v>209301.73652241673</v>
      </c>
    </row>
    <row r="683" spans="2:35" x14ac:dyDescent="0.3">
      <c r="B683">
        <v>640</v>
      </c>
      <c r="C683">
        <v>78308.952900000004</v>
      </c>
      <c r="D683">
        <v>76630.146699999998</v>
      </c>
      <c r="E683">
        <v>76203.620899999994</v>
      </c>
      <c r="F683">
        <v>75762.249200000006</v>
      </c>
      <c r="G683">
        <v>75571.096300000005</v>
      </c>
      <c r="H683">
        <v>75205.282900000006</v>
      </c>
      <c r="I683">
        <v>9.8232834783322467</v>
      </c>
      <c r="J683">
        <v>9.7996144843058346</v>
      </c>
      <c r="K683">
        <v>9.7768808537066985</v>
      </c>
      <c r="L683">
        <v>9.7677247903830704</v>
      </c>
      <c r="M683">
        <v>9.7553136123035724</v>
      </c>
      <c r="N683">
        <v>9.7322677686925196</v>
      </c>
      <c r="P683">
        <f t="shared" si="249"/>
        <v>216389.5514499674</v>
      </c>
      <c r="Q683">
        <f t="shared" si="250"/>
        <v>217358.28782917507</v>
      </c>
      <c r="R683">
        <f t="shared" si="251"/>
        <v>217102.804711201</v>
      </c>
      <c r="S683">
        <f t="shared" si="252"/>
        <v>217269.49451149208</v>
      </c>
      <c r="T683">
        <f t="shared" si="253"/>
        <v>217088.31206910717</v>
      </c>
      <c r="U683">
        <f t="shared" si="254"/>
        <v>216762.75016077561</v>
      </c>
      <c r="V683">
        <f t="shared" si="278"/>
        <v>0</v>
      </c>
      <c r="W683">
        <f t="shared" si="279"/>
        <v>1</v>
      </c>
      <c r="X683">
        <f t="shared" si="280"/>
        <v>0</v>
      </c>
      <c r="Y683">
        <f t="shared" si="281"/>
        <v>0</v>
      </c>
      <c r="Z683">
        <f t="shared" si="282"/>
        <v>0</v>
      </c>
      <c r="AA683">
        <f t="shared" ref="AA683" si="287">IF(MAX(P683:U683)=U683, 1, 0)</f>
        <v>0</v>
      </c>
      <c r="AC683">
        <f t="shared" si="271"/>
        <v>216389.5514499674</v>
      </c>
      <c r="AD683">
        <f t="shared" si="272"/>
        <v>217358.28782917507</v>
      </c>
      <c r="AE683">
        <f t="shared" si="273"/>
        <v>217102.804711201</v>
      </c>
      <c r="AF683">
        <f t="shared" si="274"/>
        <v>217269.49451149208</v>
      </c>
      <c r="AG683">
        <f t="shared" si="275"/>
        <v>217088.31206910717</v>
      </c>
      <c r="AH683">
        <f t="shared" si="276"/>
        <v>216762.75016077561</v>
      </c>
      <c r="AI683">
        <f t="shared" si="239"/>
        <v>217358.28782917507</v>
      </c>
    </row>
    <row r="684" spans="2:35" x14ac:dyDescent="0.3">
      <c r="B684">
        <v>641</v>
      </c>
      <c r="C684">
        <v>66489.949600000007</v>
      </c>
      <c r="D684">
        <v>66474.236900000004</v>
      </c>
      <c r="E684">
        <v>67412.793799999999</v>
      </c>
      <c r="F684">
        <v>67295.358600000007</v>
      </c>
      <c r="G684">
        <v>68880.567200000005</v>
      </c>
      <c r="H684">
        <v>69743.869500000001</v>
      </c>
      <c r="I684">
        <v>10.269499857317252</v>
      </c>
      <c r="J684">
        <v>10.243391235721173</v>
      </c>
      <c r="K684">
        <v>10.224520158908579</v>
      </c>
      <c r="L684">
        <v>10.219834504575781</v>
      </c>
      <c r="M684">
        <v>10.191166620819317</v>
      </c>
      <c r="N684">
        <v>10.169193999463717</v>
      </c>
      <c r="P684">
        <f t="shared" si="249"/>
        <v>241595.04611951753</v>
      </c>
      <c r="Q684">
        <f t="shared" si="250"/>
        <v>240827.50017163518</v>
      </c>
      <c r="R684">
        <f t="shared" si="251"/>
        <v>239322.81096725736</v>
      </c>
      <c r="S684">
        <f t="shared" si="252"/>
        <v>239299.67653727342</v>
      </c>
      <c r="T684">
        <f t="shared" si="253"/>
        <v>236854.43142457952</v>
      </c>
      <c r="U684">
        <f t="shared" si="254"/>
        <v>235331.95048391153</v>
      </c>
      <c r="V684">
        <f t="shared" si="278"/>
        <v>1</v>
      </c>
      <c r="W684">
        <f t="shared" si="279"/>
        <v>0</v>
      </c>
      <c r="X684">
        <f t="shared" si="280"/>
        <v>0</v>
      </c>
      <c r="Y684">
        <f t="shared" si="281"/>
        <v>0</v>
      </c>
      <c r="Z684">
        <f t="shared" si="282"/>
        <v>0</v>
      </c>
      <c r="AC684">
        <f t="shared" si="271"/>
        <v>241595.04611951753</v>
      </c>
      <c r="AD684">
        <f t="shared" si="272"/>
        <v>240827.50017163518</v>
      </c>
      <c r="AE684">
        <f t="shared" si="273"/>
        <v>239322.81096725736</v>
      </c>
      <c r="AF684">
        <f t="shared" si="274"/>
        <v>239299.67653727342</v>
      </c>
      <c r="AG684">
        <f t="shared" si="275"/>
        <v>236854.43142457952</v>
      </c>
      <c r="AH684">
        <f t="shared" si="276"/>
        <v>235331.95048391153</v>
      </c>
      <c r="AI684">
        <f t="shared" si="239"/>
        <v>241595.04611951753</v>
      </c>
    </row>
    <row r="685" spans="2:35" x14ac:dyDescent="0.3">
      <c r="B685">
        <v>642</v>
      </c>
      <c r="C685">
        <v>82850.782500000001</v>
      </c>
      <c r="D685">
        <v>81695.011499999993</v>
      </c>
      <c r="E685">
        <v>82154.011899999998</v>
      </c>
      <c r="F685">
        <v>81970.865699999995</v>
      </c>
      <c r="G685">
        <v>82332.555300000007</v>
      </c>
      <c r="H685">
        <v>82602.564100000003</v>
      </c>
      <c r="I685">
        <v>9.7680336853157019</v>
      </c>
      <c r="J685">
        <v>9.7395991517363285</v>
      </c>
      <c r="K685">
        <v>9.7218248696624041</v>
      </c>
      <c r="L685">
        <v>9.719398282550781</v>
      </c>
      <c r="M685">
        <v>9.6896056696739983</v>
      </c>
      <c r="N685">
        <v>9.673851149068577</v>
      </c>
      <c r="P685">
        <f t="shared" si="249"/>
        <v>210190.22805947103</v>
      </c>
      <c r="Q685">
        <f t="shared" si="250"/>
        <v>210492.96305208988</v>
      </c>
      <c r="R685">
        <f t="shared" si="251"/>
        <v>209500.73418987216</v>
      </c>
      <c r="S685">
        <f t="shared" si="252"/>
        <v>209611.08277652346</v>
      </c>
      <c r="T685">
        <f t="shared" si="253"/>
        <v>208355.61479021993</v>
      </c>
      <c r="U685">
        <f t="shared" si="254"/>
        <v>207612.97037205729</v>
      </c>
      <c r="V685">
        <f t="shared" si="278"/>
        <v>0</v>
      </c>
      <c r="W685">
        <f t="shared" si="279"/>
        <v>1</v>
      </c>
      <c r="X685">
        <f t="shared" si="280"/>
        <v>0</v>
      </c>
      <c r="Y685">
        <f t="shared" si="281"/>
        <v>0</v>
      </c>
      <c r="Z685">
        <f t="shared" si="282"/>
        <v>0</v>
      </c>
      <c r="AA685">
        <f t="shared" ref="AA685" si="288">IF(MAX(P685:U685)=U685, 1, 0)</f>
        <v>0</v>
      </c>
      <c r="AC685">
        <f t="shared" si="271"/>
        <v>210190.22805947103</v>
      </c>
      <c r="AD685">
        <f t="shared" si="272"/>
        <v>210492.96305208988</v>
      </c>
      <c r="AE685">
        <f t="shared" si="273"/>
        <v>209500.73418987216</v>
      </c>
      <c r="AF685">
        <f t="shared" si="274"/>
        <v>209611.08277652346</v>
      </c>
      <c r="AG685">
        <f t="shared" si="275"/>
        <v>208355.61479021993</v>
      </c>
      <c r="AH685">
        <f t="shared" si="276"/>
        <v>207612.97037205729</v>
      </c>
      <c r="AI685">
        <f t="shared" ref="AI685:AI748" si="289">MAX(AC685:AH685)</f>
        <v>210492.96305208988</v>
      </c>
    </row>
    <row r="686" spans="2:35" x14ac:dyDescent="0.3">
      <c r="B686">
        <v>643</v>
      </c>
      <c r="C686">
        <v>76599.449600000007</v>
      </c>
      <c r="D686">
        <v>75243.014899999995</v>
      </c>
      <c r="E686">
        <v>75282.926600000006</v>
      </c>
      <c r="F686">
        <v>74978.224799999996</v>
      </c>
      <c r="G686">
        <v>74989.070000000007</v>
      </c>
      <c r="H686">
        <v>74729.096699999995</v>
      </c>
      <c r="I686">
        <v>10.941387139547011</v>
      </c>
      <c r="J686">
        <v>10.877588818094365</v>
      </c>
      <c r="K686">
        <v>10.828602358511057</v>
      </c>
      <c r="L686">
        <v>10.808741079790819</v>
      </c>
      <c r="M686">
        <v>10.776297778217982</v>
      </c>
      <c r="N686">
        <v>10.709167761401236</v>
      </c>
      <c r="P686">
        <f t="shared" si="249"/>
        <v>251642.16458641033</v>
      </c>
      <c r="Q686">
        <f t="shared" si="250"/>
        <v>251084.64964283095</v>
      </c>
      <c r="R686">
        <f t="shared" si="251"/>
        <v>249575.14415533171</v>
      </c>
      <c r="S686">
        <f t="shared" si="252"/>
        <v>249284.00759372456</v>
      </c>
      <c r="T686">
        <f t="shared" si="253"/>
        <v>248299.86334653944</v>
      </c>
      <c r="U686">
        <f t="shared" si="254"/>
        <v>246545.9361420371</v>
      </c>
      <c r="V686">
        <f t="shared" si="278"/>
        <v>1</v>
      </c>
      <c r="W686">
        <f t="shared" si="279"/>
        <v>0</v>
      </c>
      <c r="X686">
        <f t="shared" si="280"/>
        <v>0</v>
      </c>
      <c r="Y686">
        <f t="shared" si="281"/>
        <v>0</v>
      </c>
      <c r="Z686">
        <f t="shared" si="282"/>
        <v>0</v>
      </c>
      <c r="AC686">
        <f t="shared" si="271"/>
        <v>251642.16458641033</v>
      </c>
      <c r="AD686">
        <f t="shared" si="272"/>
        <v>251084.64964283095</v>
      </c>
      <c r="AE686">
        <f t="shared" si="273"/>
        <v>249575.14415533171</v>
      </c>
      <c r="AF686">
        <f t="shared" si="274"/>
        <v>249284.00759372456</v>
      </c>
      <c r="AG686">
        <f t="shared" si="275"/>
        <v>248299.86334653944</v>
      </c>
      <c r="AH686">
        <f t="shared" si="276"/>
        <v>246545.9361420371</v>
      </c>
      <c r="AI686">
        <f t="shared" si="289"/>
        <v>251642.16458641033</v>
      </c>
    </row>
    <row r="687" spans="2:35" x14ac:dyDescent="0.3">
      <c r="B687">
        <v>644</v>
      </c>
      <c r="C687">
        <v>75071.980899999995</v>
      </c>
      <c r="D687">
        <v>73850.234700000001</v>
      </c>
      <c r="E687">
        <v>74151.373099999997</v>
      </c>
      <c r="F687">
        <v>73943.634399999995</v>
      </c>
      <c r="G687">
        <v>73940.704199999993</v>
      </c>
      <c r="H687">
        <v>74065.733800000002</v>
      </c>
      <c r="I687">
        <v>9.6224726608617264</v>
      </c>
      <c r="J687">
        <v>9.5813556256146448</v>
      </c>
      <c r="K687">
        <v>9.5596416975118323</v>
      </c>
      <c r="L687">
        <v>9.5446810976917185</v>
      </c>
      <c r="M687">
        <v>9.5149630755472749</v>
      </c>
      <c r="N687">
        <v>9.4881944695455651</v>
      </c>
      <c r="P687">
        <f t="shared" si="249"/>
        <v>213602.19892585182</v>
      </c>
      <c r="Q687">
        <f t="shared" si="250"/>
        <v>213590.43406843932</v>
      </c>
      <c r="R687">
        <f t="shared" si="251"/>
        <v>212637.87782535495</v>
      </c>
      <c r="S687">
        <f t="shared" si="252"/>
        <v>212396.79853075155</v>
      </c>
      <c r="T687">
        <f t="shared" si="253"/>
        <v>211508.18806641828</v>
      </c>
      <c r="U687">
        <f t="shared" si="254"/>
        <v>210580.10028636694</v>
      </c>
      <c r="V687">
        <f t="shared" si="278"/>
        <v>1</v>
      </c>
      <c r="W687">
        <f t="shared" si="279"/>
        <v>0</v>
      </c>
      <c r="X687">
        <f t="shared" si="280"/>
        <v>0</v>
      </c>
      <c r="Y687">
        <f t="shared" si="281"/>
        <v>0</v>
      </c>
      <c r="Z687">
        <f t="shared" si="282"/>
        <v>0</v>
      </c>
      <c r="AA687">
        <f t="shared" ref="AA687" si="290">IF(MAX(P687:U687)=U687, 1, 0)</f>
        <v>0</v>
      </c>
      <c r="AC687">
        <f t="shared" si="271"/>
        <v>213602.19892585182</v>
      </c>
      <c r="AD687">
        <f t="shared" si="272"/>
        <v>213590.43406843932</v>
      </c>
      <c r="AE687">
        <f t="shared" si="273"/>
        <v>212637.87782535495</v>
      </c>
      <c r="AF687">
        <f t="shared" si="274"/>
        <v>212396.79853075155</v>
      </c>
      <c r="AG687">
        <f t="shared" si="275"/>
        <v>211508.18806641828</v>
      </c>
      <c r="AH687">
        <f t="shared" si="276"/>
        <v>210580.10028636694</v>
      </c>
      <c r="AI687">
        <f t="shared" si="289"/>
        <v>213602.19892585182</v>
      </c>
    </row>
    <row r="688" spans="2:35" x14ac:dyDescent="0.3">
      <c r="B688">
        <v>645</v>
      </c>
      <c r="C688">
        <v>71753.888600000006</v>
      </c>
      <c r="D688">
        <v>71099.516699999993</v>
      </c>
      <c r="E688">
        <v>71460.501000000004</v>
      </c>
      <c r="F688">
        <v>71177.605800000005</v>
      </c>
      <c r="G688">
        <v>71640.477799999993</v>
      </c>
      <c r="H688">
        <v>72194.176699999996</v>
      </c>
      <c r="I688">
        <v>8.6867913739400286</v>
      </c>
      <c r="J688">
        <v>8.6586087180916884</v>
      </c>
      <c r="K688">
        <v>8.6372217386662342</v>
      </c>
      <c r="L688">
        <v>8.6287434291427267</v>
      </c>
      <c r="M688">
        <v>8.6101582823877028</v>
      </c>
      <c r="N688">
        <v>8.5817983864732081</v>
      </c>
      <c r="P688">
        <f t="shared" si="249"/>
        <v>188849.85261820085</v>
      </c>
      <c r="Q688">
        <f t="shared" si="250"/>
        <v>188658.74484275066</v>
      </c>
      <c r="R688">
        <f t="shared" si="251"/>
        <v>187656.15115998703</v>
      </c>
      <c r="S688">
        <f t="shared" si="252"/>
        <v>187684.69707428181</v>
      </c>
      <c r="T688">
        <f t="shared" si="253"/>
        <v>186664.27067163109</v>
      </c>
      <c r="U688">
        <f t="shared" si="254"/>
        <v>185259.77489419625</v>
      </c>
      <c r="V688">
        <f t="shared" si="278"/>
        <v>1</v>
      </c>
      <c r="W688">
        <f t="shared" si="279"/>
        <v>0</v>
      </c>
      <c r="X688">
        <f t="shared" si="280"/>
        <v>0</v>
      </c>
      <c r="Y688">
        <f t="shared" si="281"/>
        <v>0</v>
      </c>
      <c r="Z688">
        <f t="shared" si="282"/>
        <v>0</v>
      </c>
      <c r="AC688">
        <f t="shared" si="271"/>
        <v>188849.85261820085</v>
      </c>
      <c r="AD688">
        <f t="shared" si="272"/>
        <v>188658.74484275066</v>
      </c>
      <c r="AE688">
        <f t="shared" si="273"/>
        <v>187656.15115998703</v>
      </c>
      <c r="AF688">
        <f t="shared" si="274"/>
        <v>187684.69707428181</v>
      </c>
      <c r="AG688">
        <f t="shared" si="275"/>
        <v>186664.27067163109</v>
      </c>
      <c r="AH688">
        <f t="shared" si="276"/>
        <v>185259.77489419625</v>
      </c>
      <c r="AI688">
        <f t="shared" si="289"/>
        <v>188849.85261820085</v>
      </c>
    </row>
    <row r="689" spans="2:35" x14ac:dyDescent="0.3">
      <c r="B689">
        <v>646</v>
      </c>
      <c r="C689">
        <v>76174.4038</v>
      </c>
      <c r="D689">
        <v>75363.804699999993</v>
      </c>
      <c r="E689">
        <v>75839.019</v>
      </c>
      <c r="F689">
        <v>75669.239100000006</v>
      </c>
      <c r="G689">
        <v>76161.217300000004</v>
      </c>
      <c r="H689">
        <v>76647.1253</v>
      </c>
      <c r="I689">
        <v>10.991207174501913</v>
      </c>
      <c r="J689">
        <v>10.991307336269392</v>
      </c>
      <c r="K689">
        <v>10.991399222199611</v>
      </c>
      <c r="L689">
        <v>10.991418841422576</v>
      </c>
      <c r="M689">
        <v>10.991566395634761</v>
      </c>
      <c r="N689">
        <v>10.991631371005177</v>
      </c>
      <c r="P689">
        <f t="shared" si="249"/>
        <v>253561.8114350574</v>
      </c>
      <c r="Q689">
        <f t="shared" si="250"/>
        <v>254375.4153880818</v>
      </c>
      <c r="R689">
        <f t="shared" si="251"/>
        <v>253902.95766598833</v>
      </c>
      <c r="S689">
        <f t="shared" si="252"/>
        <v>254073.32614267728</v>
      </c>
      <c r="T689">
        <f t="shared" si="253"/>
        <v>253585.77456904284</v>
      </c>
      <c r="U689">
        <f t="shared" si="254"/>
        <v>253101.81583015528</v>
      </c>
      <c r="V689">
        <f t="shared" si="278"/>
        <v>0</v>
      </c>
      <c r="W689">
        <f t="shared" si="279"/>
        <v>1</v>
      </c>
      <c r="X689">
        <f t="shared" si="280"/>
        <v>0</v>
      </c>
      <c r="Y689">
        <f t="shared" si="281"/>
        <v>0</v>
      </c>
      <c r="Z689">
        <f t="shared" si="282"/>
        <v>0</v>
      </c>
      <c r="AA689">
        <f t="shared" ref="AA689" si="291">IF(MAX(P689:U689)=U689, 1, 0)</f>
        <v>0</v>
      </c>
      <c r="AC689">
        <f t="shared" si="271"/>
        <v>253561.8114350574</v>
      </c>
      <c r="AD689">
        <f t="shared" si="272"/>
        <v>254375.4153880818</v>
      </c>
      <c r="AE689">
        <f t="shared" si="273"/>
        <v>253902.95766598833</v>
      </c>
      <c r="AF689">
        <f t="shared" si="274"/>
        <v>254073.32614267728</v>
      </c>
      <c r="AG689">
        <f t="shared" si="275"/>
        <v>253585.77456904284</v>
      </c>
      <c r="AH689">
        <f t="shared" si="276"/>
        <v>253101.81583015528</v>
      </c>
      <c r="AI689">
        <f t="shared" si="289"/>
        <v>254375.4153880818</v>
      </c>
    </row>
    <row r="690" spans="2:35" x14ac:dyDescent="0.3">
      <c r="B690">
        <v>647</v>
      </c>
      <c r="C690">
        <v>77831.676500000001</v>
      </c>
      <c r="D690">
        <v>76965.415200000003</v>
      </c>
      <c r="E690">
        <v>77785.983900000007</v>
      </c>
      <c r="F690">
        <v>77859.914300000004</v>
      </c>
      <c r="G690">
        <v>78183.5052</v>
      </c>
      <c r="H690">
        <v>78996.224499999997</v>
      </c>
      <c r="I690">
        <v>10.099449061970496</v>
      </c>
      <c r="J690">
        <v>10.050936863786884</v>
      </c>
      <c r="K690">
        <v>9.9962224391131027</v>
      </c>
      <c r="L690">
        <v>9.9881105985736021</v>
      </c>
      <c r="M690">
        <v>9.9604474276521646</v>
      </c>
      <c r="N690">
        <v>9.9084701640735098</v>
      </c>
      <c r="P690">
        <f t="shared" si="249"/>
        <v>225151.79535911488</v>
      </c>
      <c r="Q690">
        <f t="shared" si="250"/>
        <v>224562.69071360654</v>
      </c>
      <c r="R690">
        <f t="shared" si="251"/>
        <v>222100.68927339307</v>
      </c>
      <c r="S690">
        <f t="shared" si="252"/>
        <v>221783.40365720808</v>
      </c>
      <c r="T690">
        <f t="shared" si="253"/>
        <v>220629.91762956494</v>
      </c>
      <c r="U690">
        <f t="shared" si="254"/>
        <v>218257.88042220526</v>
      </c>
      <c r="V690">
        <f t="shared" si="278"/>
        <v>1</v>
      </c>
      <c r="W690">
        <f t="shared" si="279"/>
        <v>0</v>
      </c>
      <c r="X690">
        <f t="shared" si="280"/>
        <v>0</v>
      </c>
      <c r="Y690">
        <f t="shared" si="281"/>
        <v>0</v>
      </c>
      <c r="Z690">
        <f t="shared" si="282"/>
        <v>0</v>
      </c>
      <c r="AC690">
        <f t="shared" si="271"/>
        <v>225151.79535911488</v>
      </c>
      <c r="AD690">
        <f t="shared" si="272"/>
        <v>224562.69071360654</v>
      </c>
      <c r="AE690">
        <f t="shared" si="273"/>
        <v>222100.68927339307</v>
      </c>
      <c r="AF690">
        <f t="shared" si="274"/>
        <v>221783.40365720808</v>
      </c>
      <c r="AG690">
        <f t="shared" si="275"/>
        <v>220629.91762956494</v>
      </c>
      <c r="AH690">
        <f t="shared" si="276"/>
        <v>218257.88042220526</v>
      </c>
      <c r="AI690">
        <f t="shared" si="289"/>
        <v>225151.79535911488</v>
      </c>
    </row>
    <row r="691" spans="2:35" x14ac:dyDescent="0.3">
      <c r="B691">
        <v>648</v>
      </c>
      <c r="C691">
        <v>76092.204899999997</v>
      </c>
      <c r="D691">
        <v>74737.895000000004</v>
      </c>
      <c r="E691">
        <v>74655.914600000004</v>
      </c>
      <c r="F691">
        <v>74471.477299999999</v>
      </c>
      <c r="G691">
        <v>74288.381800000003</v>
      </c>
      <c r="H691">
        <v>74310.089300000007</v>
      </c>
      <c r="I691">
        <v>11.099106727048598</v>
      </c>
      <c r="J691">
        <v>11.062927850952887</v>
      </c>
      <c r="K691">
        <v>11.040307973821132</v>
      </c>
      <c r="L691">
        <v>11.026688757737901</v>
      </c>
      <c r="M691">
        <v>10.993897276918895</v>
      </c>
      <c r="N691">
        <v>10.978684150992464</v>
      </c>
      <c r="P691">
        <f t="shared" si="249"/>
        <v>256880.99691145791</v>
      </c>
      <c r="Q691">
        <f t="shared" si="250"/>
        <v>257149.94052858657</v>
      </c>
      <c r="R691">
        <f t="shared" si="251"/>
        <v>256553.32461463398</v>
      </c>
      <c r="S691">
        <f t="shared" si="252"/>
        <v>256329.18543213702</v>
      </c>
      <c r="T691">
        <f t="shared" si="253"/>
        <v>255528.53650756684</v>
      </c>
      <c r="U691">
        <f t="shared" si="254"/>
        <v>255050.43522977392</v>
      </c>
      <c r="V691">
        <f t="shared" si="278"/>
        <v>0</v>
      </c>
      <c r="W691">
        <f t="shared" si="279"/>
        <v>1</v>
      </c>
      <c r="X691">
        <f t="shared" si="280"/>
        <v>0</v>
      </c>
      <c r="Y691">
        <f t="shared" si="281"/>
        <v>0</v>
      </c>
      <c r="Z691">
        <f t="shared" si="282"/>
        <v>0</v>
      </c>
      <c r="AA691">
        <f t="shared" ref="AA691" si="292">IF(MAX(P691:U691)=U691, 1, 0)</f>
        <v>0</v>
      </c>
      <c r="AC691">
        <f t="shared" si="271"/>
        <v>256880.99691145791</v>
      </c>
      <c r="AD691">
        <f t="shared" si="272"/>
        <v>257149.94052858657</v>
      </c>
      <c r="AE691">
        <f t="shared" si="273"/>
        <v>256553.32461463398</v>
      </c>
      <c r="AF691">
        <f t="shared" si="274"/>
        <v>256329.18543213702</v>
      </c>
      <c r="AG691">
        <f t="shared" si="275"/>
        <v>255528.53650756684</v>
      </c>
      <c r="AH691">
        <f t="shared" si="276"/>
        <v>255050.43522977392</v>
      </c>
      <c r="AI691">
        <f t="shared" si="289"/>
        <v>257149.94052858657</v>
      </c>
    </row>
    <row r="692" spans="2:35" x14ac:dyDescent="0.3">
      <c r="B692">
        <v>649</v>
      </c>
      <c r="C692">
        <v>74932.72</v>
      </c>
      <c r="D692">
        <v>74880.245599999995</v>
      </c>
      <c r="E692">
        <v>75652.627500000002</v>
      </c>
      <c r="F692">
        <v>75653.067999999999</v>
      </c>
      <c r="G692">
        <v>76537.560500000007</v>
      </c>
      <c r="H692">
        <v>77568.734899999996</v>
      </c>
      <c r="I692">
        <v>9.1339184385713761</v>
      </c>
      <c r="J692">
        <v>9.0944878643927076</v>
      </c>
      <c r="K692">
        <v>9.0673820602216075</v>
      </c>
      <c r="L692">
        <v>9.0613203587457694</v>
      </c>
      <c r="M692">
        <v>9.0340299427931559</v>
      </c>
      <c r="N692">
        <v>9.0038712466028308</v>
      </c>
      <c r="P692">
        <f t="shared" si="249"/>
        <v>199084.83315714126</v>
      </c>
      <c r="Q692">
        <f t="shared" si="250"/>
        <v>197954.39033178121</v>
      </c>
      <c r="R692">
        <f t="shared" si="251"/>
        <v>196368.83430664823</v>
      </c>
      <c r="S692">
        <f t="shared" si="252"/>
        <v>196186.54276237308</v>
      </c>
      <c r="T692">
        <f t="shared" si="253"/>
        <v>194483.33778379468</v>
      </c>
      <c r="U692">
        <f t="shared" si="254"/>
        <v>192547.40249808494</v>
      </c>
      <c r="V692">
        <f t="shared" si="278"/>
        <v>1</v>
      </c>
      <c r="W692">
        <f t="shared" si="279"/>
        <v>0</v>
      </c>
      <c r="X692">
        <f t="shared" si="280"/>
        <v>0</v>
      </c>
      <c r="Y692">
        <f t="shared" si="281"/>
        <v>0</v>
      </c>
      <c r="Z692">
        <f t="shared" si="282"/>
        <v>0</v>
      </c>
      <c r="AC692">
        <f t="shared" si="271"/>
        <v>199084.83315714126</v>
      </c>
      <c r="AD692">
        <f t="shared" si="272"/>
        <v>197954.39033178121</v>
      </c>
      <c r="AE692">
        <f t="shared" si="273"/>
        <v>196368.83430664823</v>
      </c>
      <c r="AF692">
        <f t="shared" si="274"/>
        <v>196186.54276237308</v>
      </c>
      <c r="AG692">
        <f t="shared" si="275"/>
        <v>194483.33778379468</v>
      </c>
      <c r="AH692">
        <f t="shared" si="276"/>
        <v>192547.40249808494</v>
      </c>
      <c r="AI692">
        <f t="shared" si="289"/>
        <v>199084.83315714126</v>
      </c>
    </row>
    <row r="693" spans="2:35" x14ac:dyDescent="0.3">
      <c r="B693">
        <v>650</v>
      </c>
      <c r="C693">
        <v>89450.949800000002</v>
      </c>
      <c r="D693">
        <v>88547.176600000006</v>
      </c>
      <c r="E693">
        <v>88842.498200000002</v>
      </c>
      <c r="F693">
        <v>88691.072199999995</v>
      </c>
      <c r="G693">
        <v>88874.833899999998</v>
      </c>
      <c r="H693">
        <v>89100.231</v>
      </c>
      <c r="I693">
        <v>11.574765078948214</v>
      </c>
      <c r="J693">
        <v>11.556656908202221</v>
      </c>
      <c r="K693">
        <v>11.546804630594826</v>
      </c>
      <c r="L693">
        <v>11.53514895685066</v>
      </c>
      <c r="M693">
        <v>11.524080817895872</v>
      </c>
      <c r="N693">
        <v>11.50901843102989</v>
      </c>
      <c r="P693">
        <f t="shared" si="249"/>
        <v>257792.00256844645</v>
      </c>
      <c r="Q693">
        <f t="shared" si="250"/>
        <v>258152.53064606665</v>
      </c>
      <c r="R693">
        <f t="shared" si="251"/>
        <v>257561.6407178448</v>
      </c>
      <c r="S693">
        <f t="shared" si="252"/>
        <v>257363.39650551981</v>
      </c>
      <c r="T693">
        <f t="shared" si="253"/>
        <v>256847.59063687615</v>
      </c>
      <c r="U693">
        <f t="shared" si="254"/>
        <v>256170.32193089669</v>
      </c>
      <c r="V693">
        <f t="shared" si="278"/>
        <v>0</v>
      </c>
      <c r="W693">
        <f t="shared" si="279"/>
        <v>1</v>
      </c>
      <c r="X693">
        <f t="shared" si="280"/>
        <v>0</v>
      </c>
      <c r="Y693">
        <f t="shared" si="281"/>
        <v>0</v>
      </c>
      <c r="Z693">
        <f t="shared" si="282"/>
        <v>0</v>
      </c>
      <c r="AA693">
        <f t="shared" ref="AA693" si="293">IF(MAX(P693:U693)=U693, 1, 0)</f>
        <v>0</v>
      </c>
      <c r="AC693">
        <f t="shared" si="271"/>
        <v>257792.00256844645</v>
      </c>
      <c r="AD693">
        <f t="shared" si="272"/>
        <v>258152.53064606665</v>
      </c>
      <c r="AE693">
        <f t="shared" si="273"/>
        <v>257561.6407178448</v>
      </c>
      <c r="AF693">
        <f t="shared" si="274"/>
        <v>257363.39650551981</v>
      </c>
      <c r="AG693">
        <f t="shared" si="275"/>
        <v>256847.59063687615</v>
      </c>
      <c r="AH693">
        <f t="shared" si="276"/>
        <v>256170.32193089669</v>
      </c>
      <c r="AI693">
        <f t="shared" si="289"/>
        <v>258152.53064606665</v>
      </c>
    </row>
    <row r="694" spans="2:35" x14ac:dyDescent="0.3">
      <c r="B694">
        <v>651</v>
      </c>
      <c r="C694">
        <v>80553.366500000004</v>
      </c>
      <c r="D694">
        <v>79419.482199999999</v>
      </c>
      <c r="E694">
        <v>79585.041400000002</v>
      </c>
      <c r="F694">
        <v>79380.653300000005</v>
      </c>
      <c r="G694">
        <v>79598.026800000007</v>
      </c>
      <c r="H694">
        <v>79630.486799999999</v>
      </c>
      <c r="I694">
        <v>9.1290819220314425</v>
      </c>
      <c r="J694">
        <v>9.0936801489035162</v>
      </c>
      <c r="K694">
        <v>9.0592766555432434</v>
      </c>
      <c r="L694">
        <v>9.0502105392761418</v>
      </c>
      <c r="M694">
        <v>9.0157695447904125</v>
      </c>
      <c r="N694">
        <v>8.9925843270523202</v>
      </c>
      <c r="P694">
        <f t="shared" si="249"/>
        <v>193319.09116094327</v>
      </c>
      <c r="Q694">
        <f t="shared" si="250"/>
        <v>193390.92226710546</v>
      </c>
      <c r="R694">
        <f t="shared" si="251"/>
        <v>192193.25826629729</v>
      </c>
      <c r="S694">
        <f t="shared" si="252"/>
        <v>192125.66287828423</v>
      </c>
      <c r="T694">
        <f t="shared" si="253"/>
        <v>190875.05954371236</v>
      </c>
      <c r="U694">
        <f t="shared" si="254"/>
        <v>190147.04301156959</v>
      </c>
      <c r="V694">
        <f t="shared" si="278"/>
        <v>0</v>
      </c>
      <c r="W694">
        <f t="shared" si="279"/>
        <v>1</v>
      </c>
      <c r="X694">
        <f t="shared" si="280"/>
        <v>0</v>
      </c>
      <c r="Y694">
        <f t="shared" si="281"/>
        <v>0</v>
      </c>
      <c r="Z694">
        <f t="shared" si="282"/>
        <v>0</v>
      </c>
      <c r="AC694">
        <f t="shared" si="271"/>
        <v>193319.09116094327</v>
      </c>
      <c r="AD694">
        <f t="shared" si="272"/>
        <v>193390.92226710546</v>
      </c>
      <c r="AE694">
        <f t="shared" si="273"/>
        <v>192193.25826629729</v>
      </c>
      <c r="AF694">
        <f t="shared" si="274"/>
        <v>192125.66287828423</v>
      </c>
      <c r="AG694">
        <f t="shared" si="275"/>
        <v>190875.05954371236</v>
      </c>
      <c r="AH694">
        <f t="shared" si="276"/>
        <v>190147.04301156959</v>
      </c>
      <c r="AI694">
        <f t="shared" si="289"/>
        <v>193390.92226710546</v>
      </c>
    </row>
    <row r="695" spans="2:35" x14ac:dyDescent="0.3">
      <c r="B695">
        <v>652</v>
      </c>
      <c r="C695">
        <v>70885.317299999995</v>
      </c>
      <c r="D695">
        <v>70294.123699999996</v>
      </c>
      <c r="E695">
        <v>70719.394400000005</v>
      </c>
      <c r="F695">
        <v>70806.522400000002</v>
      </c>
      <c r="G695">
        <v>71467.128599999996</v>
      </c>
      <c r="H695">
        <v>71985.176300000006</v>
      </c>
      <c r="I695">
        <v>11.458714270186487</v>
      </c>
      <c r="J695">
        <v>11.41507767322228</v>
      </c>
      <c r="K695">
        <v>11.386129916024963</v>
      </c>
      <c r="L695">
        <v>11.370494212599322</v>
      </c>
      <c r="M695">
        <v>11.331484163939303</v>
      </c>
      <c r="N695">
        <v>11.305144373074556</v>
      </c>
      <c r="P695">
        <f t="shared" si="249"/>
        <v>272876.1108055946</v>
      </c>
      <c r="Q695">
        <f t="shared" si="250"/>
        <v>272158.2064966684</v>
      </c>
      <c r="R695">
        <f t="shared" si="251"/>
        <v>270864.50308074889</v>
      </c>
      <c r="S695">
        <f t="shared" si="252"/>
        <v>270308.30397797964</v>
      </c>
      <c r="T695">
        <f t="shared" si="253"/>
        <v>268477.39631817909</v>
      </c>
      <c r="U695">
        <f t="shared" si="254"/>
        <v>267169.15489223669</v>
      </c>
      <c r="V695">
        <f t="shared" si="278"/>
        <v>1</v>
      </c>
      <c r="W695">
        <f t="shared" si="279"/>
        <v>0</v>
      </c>
      <c r="X695">
        <f t="shared" si="280"/>
        <v>0</v>
      </c>
      <c r="Y695">
        <f t="shared" si="281"/>
        <v>0</v>
      </c>
      <c r="Z695">
        <f t="shared" si="282"/>
        <v>0</v>
      </c>
      <c r="AA695">
        <f t="shared" ref="AA695" si="294">IF(MAX(P695:U695)=U695, 1, 0)</f>
        <v>0</v>
      </c>
      <c r="AC695">
        <f t="shared" si="271"/>
        <v>272876.1108055946</v>
      </c>
      <c r="AD695">
        <f t="shared" si="272"/>
        <v>272158.2064966684</v>
      </c>
      <c r="AE695">
        <f t="shared" si="273"/>
        <v>270864.50308074889</v>
      </c>
      <c r="AF695">
        <f t="shared" si="274"/>
        <v>270308.30397797964</v>
      </c>
      <c r="AG695">
        <f t="shared" si="275"/>
        <v>268477.39631817909</v>
      </c>
      <c r="AH695">
        <f t="shared" si="276"/>
        <v>267169.15489223669</v>
      </c>
      <c r="AI695">
        <f t="shared" si="289"/>
        <v>272876.1108055946</v>
      </c>
    </row>
    <row r="696" spans="2:35" x14ac:dyDescent="0.3">
      <c r="B696">
        <v>653</v>
      </c>
      <c r="C696">
        <v>67491.5867</v>
      </c>
      <c r="D696">
        <v>67042.180900000007</v>
      </c>
      <c r="E696">
        <v>67860.5723</v>
      </c>
      <c r="F696">
        <v>67986.905799999993</v>
      </c>
      <c r="G696">
        <v>68879.981</v>
      </c>
      <c r="H696">
        <v>69452.098199999993</v>
      </c>
      <c r="I696">
        <v>10.330472669250348</v>
      </c>
      <c r="J696">
        <v>10.300792124335189</v>
      </c>
      <c r="K696">
        <v>10.291650445603189</v>
      </c>
      <c r="L696">
        <v>10.280256899253986</v>
      </c>
      <c r="M696">
        <v>10.265483139087875</v>
      </c>
      <c r="N696">
        <v>10.245027740103984</v>
      </c>
      <c r="P696">
        <f t="shared" si="249"/>
        <v>242422.59337751043</v>
      </c>
      <c r="Q696">
        <f t="shared" si="250"/>
        <v>241981.58283005565</v>
      </c>
      <c r="R696">
        <f t="shared" si="251"/>
        <v>240888.94106809568</v>
      </c>
      <c r="S696">
        <f t="shared" si="252"/>
        <v>240420.80117761961</v>
      </c>
      <c r="T696">
        <f t="shared" si="253"/>
        <v>239084.51317263625</v>
      </c>
      <c r="U696">
        <f t="shared" si="254"/>
        <v>237898.73400311952</v>
      </c>
      <c r="V696">
        <f t="shared" si="278"/>
        <v>1</v>
      </c>
      <c r="W696">
        <f t="shared" si="279"/>
        <v>0</v>
      </c>
      <c r="X696">
        <f t="shared" si="280"/>
        <v>0</v>
      </c>
      <c r="Y696">
        <f t="shared" si="281"/>
        <v>0</v>
      </c>
      <c r="Z696">
        <f t="shared" si="282"/>
        <v>0</v>
      </c>
      <c r="AC696">
        <f t="shared" si="271"/>
        <v>242422.59337751043</v>
      </c>
      <c r="AD696">
        <f t="shared" si="272"/>
        <v>241981.58283005565</v>
      </c>
      <c r="AE696">
        <f t="shared" si="273"/>
        <v>240888.94106809568</v>
      </c>
      <c r="AF696">
        <f t="shared" si="274"/>
        <v>240420.80117761961</v>
      </c>
      <c r="AG696">
        <f t="shared" si="275"/>
        <v>239084.51317263625</v>
      </c>
      <c r="AH696">
        <f t="shared" si="276"/>
        <v>237898.73400311952</v>
      </c>
      <c r="AI696">
        <f t="shared" si="289"/>
        <v>242422.59337751043</v>
      </c>
    </row>
    <row r="697" spans="2:35" x14ac:dyDescent="0.3">
      <c r="B697">
        <v>654</v>
      </c>
      <c r="C697">
        <v>79564.563099999999</v>
      </c>
      <c r="D697">
        <v>78914.508799999996</v>
      </c>
      <c r="E697">
        <v>79772.525999999998</v>
      </c>
      <c r="F697">
        <v>79557.2549</v>
      </c>
      <c r="G697">
        <v>80218.264599999995</v>
      </c>
      <c r="H697">
        <v>80873.744699999996</v>
      </c>
      <c r="I697">
        <v>9.6458146396807205</v>
      </c>
      <c r="J697">
        <v>9.6259686515812604</v>
      </c>
      <c r="K697">
        <v>9.6076439777434093</v>
      </c>
      <c r="L697">
        <v>9.6014407814455875</v>
      </c>
      <c r="M697">
        <v>9.5803275652851507</v>
      </c>
      <c r="N697">
        <v>9.5658654678907755</v>
      </c>
      <c r="P697">
        <f t="shared" si="249"/>
        <v>209809.8760904216</v>
      </c>
      <c r="Q697">
        <f t="shared" si="250"/>
        <v>209864.55074743781</v>
      </c>
      <c r="R697">
        <f t="shared" si="251"/>
        <v>208456.79333230224</v>
      </c>
      <c r="S697">
        <f t="shared" si="252"/>
        <v>208485.96854336763</v>
      </c>
      <c r="T697">
        <f t="shared" si="253"/>
        <v>207191.56235855451</v>
      </c>
      <c r="U697">
        <f t="shared" si="254"/>
        <v>206102.21933672327</v>
      </c>
      <c r="V697">
        <f t="shared" si="278"/>
        <v>0</v>
      </c>
      <c r="W697">
        <f t="shared" si="279"/>
        <v>1</v>
      </c>
      <c r="X697">
        <f t="shared" si="280"/>
        <v>0</v>
      </c>
      <c r="Y697">
        <f t="shared" si="281"/>
        <v>0</v>
      </c>
      <c r="Z697">
        <f t="shared" si="282"/>
        <v>0</v>
      </c>
      <c r="AA697">
        <f t="shared" ref="AA697" si="295">IF(MAX(P697:U697)=U697, 1, 0)</f>
        <v>0</v>
      </c>
      <c r="AC697">
        <f t="shared" si="271"/>
        <v>209809.8760904216</v>
      </c>
      <c r="AD697">
        <f t="shared" si="272"/>
        <v>209864.55074743781</v>
      </c>
      <c r="AE697">
        <f t="shared" si="273"/>
        <v>208456.79333230224</v>
      </c>
      <c r="AF697">
        <f t="shared" si="274"/>
        <v>208485.96854336763</v>
      </c>
      <c r="AG697">
        <f t="shared" si="275"/>
        <v>207191.56235855451</v>
      </c>
      <c r="AH697">
        <f t="shared" si="276"/>
        <v>206102.21933672327</v>
      </c>
      <c r="AI697">
        <f t="shared" si="289"/>
        <v>209864.55074743781</v>
      </c>
    </row>
    <row r="698" spans="2:35" x14ac:dyDescent="0.3">
      <c r="B698">
        <v>655</v>
      </c>
      <c r="C698">
        <v>71065.491299999994</v>
      </c>
      <c r="D698">
        <v>70509.077600000004</v>
      </c>
      <c r="E698">
        <v>70897.840599999996</v>
      </c>
      <c r="F698">
        <v>70801.003400000001</v>
      </c>
      <c r="G698">
        <v>71393.614000000001</v>
      </c>
      <c r="H698">
        <v>71692.331000000006</v>
      </c>
      <c r="I698">
        <v>10.183437863914792</v>
      </c>
      <c r="J698">
        <v>10.147907014356617</v>
      </c>
      <c r="K698">
        <v>10.123817172237647</v>
      </c>
      <c r="L698">
        <v>10.116051077728878</v>
      </c>
      <c r="M698">
        <v>10.082736943383571</v>
      </c>
      <c r="N698">
        <v>10.063652505756558</v>
      </c>
      <c r="P698">
        <f t="shared" si="249"/>
        <v>234437.64461744379</v>
      </c>
      <c r="Q698">
        <f t="shared" si="250"/>
        <v>233928.13283069851</v>
      </c>
      <c r="R698">
        <f t="shared" si="251"/>
        <v>232816.6745671294</v>
      </c>
      <c r="S698">
        <f t="shared" si="252"/>
        <v>232680.52893186634</v>
      </c>
      <c r="T698">
        <f t="shared" si="253"/>
        <v>231088.49430150713</v>
      </c>
      <c r="U698">
        <f t="shared" si="254"/>
        <v>230217.24417269672</v>
      </c>
      <c r="V698">
        <f t="shared" si="278"/>
        <v>1</v>
      </c>
      <c r="W698">
        <f t="shared" si="279"/>
        <v>0</v>
      </c>
      <c r="X698">
        <f t="shared" si="280"/>
        <v>0</v>
      </c>
      <c r="Y698">
        <f t="shared" si="281"/>
        <v>0</v>
      </c>
      <c r="Z698">
        <f t="shared" si="282"/>
        <v>0</v>
      </c>
      <c r="AC698">
        <f t="shared" si="271"/>
        <v>234437.64461744379</v>
      </c>
      <c r="AD698">
        <f t="shared" si="272"/>
        <v>233928.13283069851</v>
      </c>
      <c r="AE698">
        <f t="shared" si="273"/>
        <v>232816.6745671294</v>
      </c>
      <c r="AF698">
        <f t="shared" si="274"/>
        <v>232680.52893186634</v>
      </c>
      <c r="AG698">
        <f t="shared" si="275"/>
        <v>231088.49430150713</v>
      </c>
      <c r="AH698">
        <f t="shared" si="276"/>
        <v>230217.24417269672</v>
      </c>
      <c r="AI698">
        <f t="shared" si="289"/>
        <v>234437.64461744379</v>
      </c>
    </row>
    <row r="699" spans="2:35" x14ac:dyDescent="0.3">
      <c r="B699">
        <v>656</v>
      </c>
      <c r="C699">
        <v>79513.771900000007</v>
      </c>
      <c r="D699">
        <v>79010.953200000004</v>
      </c>
      <c r="E699">
        <v>79810.293399999995</v>
      </c>
      <c r="F699">
        <v>79822.659199999995</v>
      </c>
      <c r="G699">
        <v>80385.941800000001</v>
      </c>
      <c r="H699">
        <v>81262.965299999996</v>
      </c>
      <c r="I699">
        <v>10.738929959381972</v>
      </c>
      <c r="J699">
        <v>10.711773405740795</v>
      </c>
      <c r="K699">
        <v>10.683359814374644</v>
      </c>
      <c r="L699">
        <v>10.678191570385339</v>
      </c>
      <c r="M699">
        <v>10.653149608602574</v>
      </c>
      <c r="N699">
        <v>10.629635887042053</v>
      </c>
      <c r="P699">
        <f t="shared" si="249"/>
        <v>242654.12688145915</v>
      </c>
      <c r="Q699">
        <f t="shared" si="250"/>
        <v>242342.24897222384</v>
      </c>
      <c r="R699">
        <f t="shared" si="251"/>
        <v>240690.50103123931</v>
      </c>
      <c r="S699">
        <f t="shared" si="252"/>
        <v>240523.0879115602</v>
      </c>
      <c r="T699">
        <f t="shared" si="253"/>
        <v>239208.54645807718</v>
      </c>
      <c r="U699">
        <f t="shared" si="254"/>
        <v>237626.1113112616</v>
      </c>
      <c r="V699">
        <f t="shared" si="278"/>
        <v>1</v>
      </c>
      <c r="W699">
        <f t="shared" si="279"/>
        <v>0</v>
      </c>
      <c r="X699">
        <f t="shared" si="280"/>
        <v>0</v>
      </c>
      <c r="Y699">
        <f t="shared" si="281"/>
        <v>0</v>
      </c>
      <c r="Z699">
        <f t="shared" si="282"/>
        <v>0</v>
      </c>
      <c r="AA699">
        <f t="shared" ref="AA699" si="296">IF(MAX(P699:U699)=U699, 1, 0)</f>
        <v>0</v>
      </c>
      <c r="AC699">
        <f t="shared" si="271"/>
        <v>242654.12688145915</v>
      </c>
      <c r="AD699">
        <f t="shared" si="272"/>
        <v>242342.24897222384</v>
      </c>
      <c r="AE699">
        <f t="shared" si="273"/>
        <v>240690.50103123931</v>
      </c>
      <c r="AF699">
        <f t="shared" si="274"/>
        <v>240523.0879115602</v>
      </c>
      <c r="AG699">
        <f t="shared" si="275"/>
        <v>239208.54645807718</v>
      </c>
      <c r="AH699">
        <f t="shared" si="276"/>
        <v>237626.1113112616</v>
      </c>
      <c r="AI699">
        <f t="shared" si="289"/>
        <v>242654.12688145915</v>
      </c>
    </row>
    <row r="700" spans="2:35" x14ac:dyDescent="0.3">
      <c r="B700">
        <v>657</v>
      </c>
      <c r="C700">
        <v>83680.585200000001</v>
      </c>
      <c r="D700">
        <v>83799.810100000002</v>
      </c>
      <c r="E700">
        <v>85145.701799999995</v>
      </c>
      <c r="F700">
        <v>85344.236999999994</v>
      </c>
      <c r="G700">
        <v>86141.980599999995</v>
      </c>
      <c r="H700">
        <v>87161.311900000001</v>
      </c>
      <c r="I700">
        <v>10.134095796949842</v>
      </c>
      <c r="J700">
        <v>10.097771457328262</v>
      </c>
      <c r="K700">
        <v>10.084896554649418</v>
      </c>
      <c r="L700">
        <v>10.071344774038129</v>
      </c>
      <c r="M700">
        <v>10.059324814703507</v>
      </c>
      <c r="N700">
        <v>10.029285512360227</v>
      </c>
      <c r="P700">
        <f t="shared" si="249"/>
        <v>220342.28870849524</v>
      </c>
      <c r="Q700">
        <f t="shared" si="250"/>
        <v>219133.33361984784</v>
      </c>
      <c r="R700">
        <f t="shared" si="251"/>
        <v>217401.19483948254</v>
      </c>
      <c r="S700">
        <f t="shared" si="252"/>
        <v>216796.10622114388</v>
      </c>
      <c r="T700">
        <f t="shared" si="253"/>
        <v>215637.76384110516</v>
      </c>
      <c r="U700">
        <f t="shared" si="254"/>
        <v>213717.25347080678</v>
      </c>
      <c r="V700">
        <f t="shared" si="278"/>
        <v>1</v>
      </c>
      <c r="W700">
        <f t="shared" si="279"/>
        <v>0</v>
      </c>
      <c r="X700">
        <f t="shared" si="280"/>
        <v>0</v>
      </c>
      <c r="Y700">
        <f t="shared" si="281"/>
        <v>0</v>
      </c>
      <c r="Z700">
        <f t="shared" si="282"/>
        <v>0</v>
      </c>
      <c r="AC700">
        <f t="shared" si="271"/>
        <v>220342.28870849524</v>
      </c>
      <c r="AD700">
        <f t="shared" si="272"/>
        <v>219133.33361984784</v>
      </c>
      <c r="AE700">
        <f t="shared" si="273"/>
        <v>217401.19483948254</v>
      </c>
      <c r="AF700">
        <f t="shared" si="274"/>
        <v>216796.10622114388</v>
      </c>
      <c r="AG700">
        <f t="shared" si="275"/>
        <v>215637.76384110516</v>
      </c>
      <c r="AH700">
        <f t="shared" si="276"/>
        <v>213717.25347080678</v>
      </c>
      <c r="AI700">
        <f t="shared" si="289"/>
        <v>220342.28870849524</v>
      </c>
    </row>
    <row r="701" spans="2:35" x14ac:dyDescent="0.3">
      <c r="B701">
        <v>658</v>
      </c>
      <c r="C701">
        <v>84261.262799999997</v>
      </c>
      <c r="D701">
        <v>82571.376199999999</v>
      </c>
      <c r="E701">
        <v>82460.413400000005</v>
      </c>
      <c r="F701">
        <v>82152.596799999999</v>
      </c>
      <c r="G701">
        <v>82053.910999999993</v>
      </c>
      <c r="H701">
        <v>81583.2405</v>
      </c>
      <c r="I701">
        <v>9.6852016485834849</v>
      </c>
      <c r="J701">
        <v>9.6442491789350147</v>
      </c>
      <c r="K701">
        <v>9.6161227414743262</v>
      </c>
      <c r="L701">
        <v>9.6089113503934342</v>
      </c>
      <c r="M701">
        <v>9.580436608111528</v>
      </c>
      <c r="N701">
        <v>9.5351826975090823</v>
      </c>
      <c r="P701">
        <f t="shared" si="249"/>
        <v>206294.78665750453</v>
      </c>
      <c r="Q701">
        <f t="shared" si="250"/>
        <v>206756.09916805045</v>
      </c>
      <c r="R701">
        <f t="shared" si="251"/>
        <v>206023.26884422975</v>
      </c>
      <c r="S701">
        <f t="shared" si="252"/>
        <v>206114.74371180305</v>
      </c>
      <c r="T701">
        <f t="shared" si="253"/>
        <v>205359.18724334586</v>
      </c>
      <c r="U701">
        <f t="shared" si="254"/>
        <v>204472.24042527244</v>
      </c>
      <c r="V701">
        <f t="shared" si="278"/>
        <v>0</v>
      </c>
      <c r="W701">
        <f t="shared" si="279"/>
        <v>1</v>
      </c>
      <c r="X701">
        <f t="shared" si="280"/>
        <v>0</v>
      </c>
      <c r="Y701">
        <f t="shared" si="281"/>
        <v>0</v>
      </c>
      <c r="Z701">
        <f t="shared" si="282"/>
        <v>0</v>
      </c>
      <c r="AA701">
        <f t="shared" ref="AA701" si="297">IF(MAX(P701:U701)=U701, 1, 0)</f>
        <v>0</v>
      </c>
      <c r="AC701">
        <f t="shared" si="271"/>
        <v>206294.78665750453</v>
      </c>
      <c r="AD701">
        <f t="shared" si="272"/>
        <v>206756.09916805045</v>
      </c>
      <c r="AE701">
        <f t="shared" si="273"/>
        <v>206023.26884422975</v>
      </c>
      <c r="AF701">
        <f t="shared" si="274"/>
        <v>206114.74371180305</v>
      </c>
      <c r="AG701">
        <f t="shared" si="275"/>
        <v>205359.18724334586</v>
      </c>
      <c r="AH701">
        <f t="shared" si="276"/>
        <v>204472.24042527244</v>
      </c>
      <c r="AI701">
        <f t="shared" si="289"/>
        <v>206756.09916805045</v>
      </c>
    </row>
    <row r="702" spans="2:35" x14ac:dyDescent="0.3">
      <c r="B702">
        <v>659</v>
      </c>
      <c r="C702">
        <v>81385.039799999999</v>
      </c>
      <c r="D702">
        <v>80954.288799999995</v>
      </c>
      <c r="E702">
        <v>81886.610799999995</v>
      </c>
      <c r="F702">
        <v>81801.767600000006</v>
      </c>
      <c r="G702">
        <v>82461.282500000001</v>
      </c>
      <c r="H702">
        <v>83093.566399999996</v>
      </c>
      <c r="I702">
        <v>10.472119114376909</v>
      </c>
      <c r="J702">
        <v>10.443450993107989</v>
      </c>
      <c r="K702">
        <v>10.415082843557926</v>
      </c>
      <c r="L702">
        <v>10.40818250929679</v>
      </c>
      <c r="M702">
        <v>10.385519550130294</v>
      </c>
      <c r="N702">
        <v>10.364945435042829</v>
      </c>
      <c r="P702">
        <f t="shared" si="249"/>
        <v>232778.53363130728</v>
      </c>
      <c r="Q702">
        <f t="shared" si="250"/>
        <v>232349.24099323968</v>
      </c>
      <c r="R702">
        <f t="shared" si="251"/>
        <v>230565.87450673777</v>
      </c>
      <c r="S702">
        <f t="shared" si="252"/>
        <v>230443.70767890365</v>
      </c>
      <c r="T702">
        <f t="shared" si="253"/>
        <v>229104.30400390879</v>
      </c>
      <c r="U702">
        <f t="shared" si="254"/>
        <v>227854.79665128485</v>
      </c>
      <c r="V702">
        <f t="shared" si="278"/>
        <v>1</v>
      </c>
      <c r="W702">
        <f t="shared" si="279"/>
        <v>0</v>
      </c>
      <c r="X702">
        <f t="shared" si="280"/>
        <v>0</v>
      </c>
      <c r="Y702">
        <f t="shared" si="281"/>
        <v>0</v>
      </c>
      <c r="Z702">
        <f t="shared" si="282"/>
        <v>0</v>
      </c>
      <c r="AC702">
        <f t="shared" si="271"/>
        <v>232778.53363130728</v>
      </c>
      <c r="AD702">
        <f t="shared" si="272"/>
        <v>232349.24099323968</v>
      </c>
      <c r="AE702">
        <f t="shared" si="273"/>
        <v>230565.87450673777</v>
      </c>
      <c r="AF702">
        <f t="shared" si="274"/>
        <v>230443.70767890365</v>
      </c>
      <c r="AG702">
        <f t="shared" si="275"/>
        <v>229104.30400390879</v>
      </c>
      <c r="AH702">
        <f t="shared" si="276"/>
        <v>227854.79665128485</v>
      </c>
      <c r="AI702">
        <f t="shared" si="289"/>
        <v>232778.53363130728</v>
      </c>
    </row>
    <row r="703" spans="2:35" x14ac:dyDescent="0.3">
      <c r="B703">
        <v>660</v>
      </c>
      <c r="C703">
        <v>72009.246899999998</v>
      </c>
      <c r="D703">
        <v>71909.383100000006</v>
      </c>
      <c r="E703">
        <v>72952.958599999998</v>
      </c>
      <c r="F703">
        <v>72906.481899999999</v>
      </c>
      <c r="G703">
        <v>73676.318299999999</v>
      </c>
      <c r="H703">
        <v>75046.220100000006</v>
      </c>
      <c r="I703">
        <v>10.441511024061336</v>
      </c>
      <c r="J703">
        <v>10.412336223991652</v>
      </c>
      <c r="K703">
        <v>10.384705237909834</v>
      </c>
      <c r="L703">
        <v>10.379900405084687</v>
      </c>
      <c r="M703">
        <v>10.35089116580887</v>
      </c>
      <c r="N703">
        <v>10.326835345894441</v>
      </c>
      <c r="P703">
        <f t="shared" si="249"/>
        <v>241236.08382184009</v>
      </c>
      <c r="Q703">
        <f t="shared" si="250"/>
        <v>240460.70361974955</v>
      </c>
      <c r="R703">
        <f t="shared" si="251"/>
        <v>238588.19853729504</v>
      </c>
      <c r="S703">
        <f t="shared" si="252"/>
        <v>238490.5302525406</v>
      </c>
      <c r="T703">
        <f t="shared" si="253"/>
        <v>236850.4166742661</v>
      </c>
      <c r="U703">
        <f t="shared" si="254"/>
        <v>234758.84027683325</v>
      </c>
      <c r="V703">
        <f t="shared" si="278"/>
        <v>1</v>
      </c>
      <c r="W703">
        <f t="shared" si="279"/>
        <v>0</v>
      </c>
      <c r="X703">
        <f t="shared" si="280"/>
        <v>0</v>
      </c>
      <c r="Y703">
        <f t="shared" si="281"/>
        <v>0</v>
      </c>
      <c r="Z703">
        <f t="shared" si="282"/>
        <v>0</v>
      </c>
      <c r="AA703">
        <f t="shared" ref="AA703" si="298">IF(MAX(P703:U703)=U703, 1, 0)</f>
        <v>0</v>
      </c>
      <c r="AC703">
        <f t="shared" si="271"/>
        <v>241236.08382184009</v>
      </c>
      <c r="AD703">
        <f t="shared" si="272"/>
        <v>240460.70361974955</v>
      </c>
      <c r="AE703">
        <f t="shared" si="273"/>
        <v>238588.19853729504</v>
      </c>
      <c r="AF703">
        <f t="shared" si="274"/>
        <v>238490.5302525406</v>
      </c>
      <c r="AG703">
        <f t="shared" si="275"/>
        <v>236850.4166742661</v>
      </c>
      <c r="AH703">
        <f t="shared" si="276"/>
        <v>234758.84027683325</v>
      </c>
      <c r="AI703">
        <f t="shared" si="289"/>
        <v>241236.08382184009</v>
      </c>
    </row>
    <row r="704" spans="2:35" x14ac:dyDescent="0.3">
      <c r="B704">
        <v>661</v>
      </c>
      <c r="C704">
        <v>75114.099000000002</v>
      </c>
      <c r="D704">
        <v>75003.306700000001</v>
      </c>
      <c r="E704">
        <v>75879.959700000007</v>
      </c>
      <c r="F704">
        <v>76200.108099999998</v>
      </c>
      <c r="G704">
        <v>76939.2399</v>
      </c>
      <c r="H704">
        <v>77997.301300000006</v>
      </c>
      <c r="I704">
        <v>9.4914028972361937</v>
      </c>
      <c r="J704">
        <v>9.4680997886063789</v>
      </c>
      <c r="K704">
        <v>9.4434914210753593</v>
      </c>
      <c r="L704">
        <v>9.4325281825111436</v>
      </c>
      <c r="M704">
        <v>9.4159953432905414</v>
      </c>
      <c r="N704">
        <v>9.3923378240961117</v>
      </c>
      <c r="P704">
        <f t="shared" si="249"/>
        <v>209627.98791708582</v>
      </c>
      <c r="Q704">
        <f t="shared" si="250"/>
        <v>209039.68695819133</v>
      </c>
      <c r="R704">
        <f t="shared" si="251"/>
        <v>207424.78293226077</v>
      </c>
      <c r="S704">
        <f t="shared" si="252"/>
        <v>206775.73737533431</v>
      </c>
      <c r="T704">
        <f t="shared" si="253"/>
        <v>205540.62039871624</v>
      </c>
      <c r="U704">
        <f t="shared" si="254"/>
        <v>203772.83342288336</v>
      </c>
      <c r="V704">
        <f t="shared" si="278"/>
        <v>1</v>
      </c>
      <c r="W704">
        <f t="shared" si="279"/>
        <v>0</v>
      </c>
      <c r="X704">
        <f t="shared" si="280"/>
        <v>0</v>
      </c>
      <c r="Y704">
        <f t="shared" si="281"/>
        <v>0</v>
      </c>
      <c r="Z704">
        <f t="shared" si="282"/>
        <v>0</v>
      </c>
      <c r="AC704">
        <f t="shared" si="271"/>
        <v>209627.98791708582</v>
      </c>
      <c r="AD704">
        <f t="shared" si="272"/>
        <v>209039.68695819133</v>
      </c>
      <c r="AE704">
        <f t="shared" si="273"/>
        <v>207424.78293226077</v>
      </c>
      <c r="AF704">
        <f t="shared" si="274"/>
        <v>206775.73737533431</v>
      </c>
      <c r="AG704">
        <f t="shared" si="275"/>
        <v>205540.62039871624</v>
      </c>
      <c r="AH704">
        <f t="shared" si="276"/>
        <v>203772.83342288336</v>
      </c>
      <c r="AI704">
        <f t="shared" si="289"/>
        <v>209627.98791708582</v>
      </c>
    </row>
    <row r="705" spans="2:35" x14ac:dyDescent="0.3">
      <c r="B705">
        <v>662</v>
      </c>
      <c r="C705">
        <v>72311.429999999993</v>
      </c>
      <c r="D705">
        <v>71188.781000000003</v>
      </c>
      <c r="E705">
        <v>71527.817200000005</v>
      </c>
      <c r="F705">
        <v>71341.111000000004</v>
      </c>
      <c r="G705">
        <v>71488.607600000003</v>
      </c>
      <c r="H705">
        <v>71734.600999999995</v>
      </c>
      <c r="I705">
        <v>9.8665785131031338</v>
      </c>
      <c r="J705">
        <v>9.8520259233786103</v>
      </c>
      <c r="K705">
        <v>9.846990989893742</v>
      </c>
      <c r="L705">
        <v>9.8398083321502696</v>
      </c>
      <c r="M705">
        <v>9.8314678876758705</v>
      </c>
      <c r="N705">
        <v>9.8195254439830428</v>
      </c>
      <c r="P705">
        <f t="shared" ref="P705:P768" si="299">Threshold*I705-C705</f>
        <v>223685.92539309402</v>
      </c>
      <c r="Q705">
        <f t="shared" ref="Q705:Q768" si="300">Threshold*J705-D705</f>
        <v>224371.99670135829</v>
      </c>
      <c r="R705">
        <f t="shared" ref="R705:R768" si="301">Threshold*K705-E705</f>
        <v>223881.91249681229</v>
      </c>
      <c r="S705">
        <f t="shared" ref="S705:S768" si="302">Threshold*L705-F705</f>
        <v>223853.13896450811</v>
      </c>
      <c r="T705">
        <f t="shared" ref="T705:T768" si="303">Threshold*M705-G705</f>
        <v>223455.42903027614</v>
      </c>
      <c r="U705">
        <f t="shared" ref="U705:U768" si="304">Threshold*N705-H705</f>
        <v>222851.1623194913</v>
      </c>
      <c r="V705">
        <f t="shared" si="278"/>
        <v>0</v>
      </c>
      <c r="W705">
        <f t="shared" si="279"/>
        <v>1</v>
      </c>
      <c r="X705">
        <f t="shared" si="280"/>
        <v>0</v>
      </c>
      <c r="Y705">
        <f t="shared" si="281"/>
        <v>0</v>
      </c>
      <c r="Z705">
        <f t="shared" si="282"/>
        <v>0</v>
      </c>
      <c r="AA705">
        <f t="shared" ref="AA705" si="305">IF(MAX(P705:U705)=U705, 1, 0)</f>
        <v>0</v>
      </c>
      <c r="AC705">
        <f t="shared" si="271"/>
        <v>223685.92539309402</v>
      </c>
      <c r="AD705">
        <f t="shared" si="272"/>
        <v>224371.99670135829</v>
      </c>
      <c r="AE705">
        <f t="shared" si="273"/>
        <v>223881.91249681229</v>
      </c>
      <c r="AF705">
        <f t="shared" si="274"/>
        <v>223853.13896450811</v>
      </c>
      <c r="AG705">
        <f t="shared" si="275"/>
        <v>223455.42903027614</v>
      </c>
      <c r="AH705">
        <f t="shared" si="276"/>
        <v>222851.1623194913</v>
      </c>
      <c r="AI705">
        <f t="shared" si="289"/>
        <v>224371.99670135829</v>
      </c>
    </row>
    <row r="706" spans="2:35" x14ac:dyDescent="0.3">
      <c r="B706">
        <v>663</v>
      </c>
      <c r="C706">
        <v>74314.310599999997</v>
      </c>
      <c r="D706">
        <v>73133.302100000001</v>
      </c>
      <c r="E706">
        <v>73256.184399999998</v>
      </c>
      <c r="F706">
        <v>73167.116099999999</v>
      </c>
      <c r="G706">
        <v>73140.738299999997</v>
      </c>
      <c r="H706">
        <v>73307.670100000003</v>
      </c>
      <c r="I706">
        <v>8.4208812737813137</v>
      </c>
      <c r="J706">
        <v>8.4006433214974283</v>
      </c>
      <c r="K706">
        <v>8.3833780728730076</v>
      </c>
      <c r="L706">
        <v>8.3811643097917496</v>
      </c>
      <c r="M706">
        <v>8.3665413647741307</v>
      </c>
      <c r="N706">
        <v>8.3492004037972638</v>
      </c>
      <c r="P706">
        <f t="shared" si="299"/>
        <v>178312.1276134394</v>
      </c>
      <c r="Q706">
        <f t="shared" si="300"/>
        <v>178885.99754492284</v>
      </c>
      <c r="R706">
        <f t="shared" si="301"/>
        <v>178245.15778619022</v>
      </c>
      <c r="S706">
        <f t="shared" si="302"/>
        <v>178267.81319375249</v>
      </c>
      <c r="T706">
        <f t="shared" si="303"/>
        <v>177855.50264322391</v>
      </c>
      <c r="U706">
        <f t="shared" si="304"/>
        <v>177168.34201391792</v>
      </c>
      <c r="V706">
        <f t="shared" si="278"/>
        <v>0</v>
      </c>
      <c r="W706">
        <f t="shared" si="279"/>
        <v>1</v>
      </c>
      <c r="X706">
        <f t="shared" si="280"/>
        <v>0</v>
      </c>
      <c r="Y706">
        <f t="shared" si="281"/>
        <v>0</v>
      </c>
      <c r="Z706">
        <f t="shared" si="282"/>
        <v>0</v>
      </c>
      <c r="AC706">
        <f t="shared" si="271"/>
        <v>178312.1276134394</v>
      </c>
      <c r="AD706">
        <f t="shared" si="272"/>
        <v>178885.99754492284</v>
      </c>
      <c r="AE706">
        <f t="shared" si="273"/>
        <v>178245.15778619022</v>
      </c>
      <c r="AF706">
        <f t="shared" si="274"/>
        <v>178267.81319375249</v>
      </c>
      <c r="AG706">
        <f t="shared" si="275"/>
        <v>177855.50264322391</v>
      </c>
      <c r="AH706">
        <f t="shared" si="276"/>
        <v>177168.34201391792</v>
      </c>
      <c r="AI706">
        <f t="shared" si="289"/>
        <v>178885.99754492284</v>
      </c>
    </row>
    <row r="707" spans="2:35" x14ac:dyDescent="0.3">
      <c r="B707">
        <v>664</v>
      </c>
      <c r="C707">
        <v>80142.3514</v>
      </c>
      <c r="D707">
        <v>78944.054499999998</v>
      </c>
      <c r="E707">
        <v>79124.005000000005</v>
      </c>
      <c r="F707">
        <v>78918.495299999995</v>
      </c>
      <c r="G707">
        <v>79081.896200000003</v>
      </c>
      <c r="H707">
        <v>79109.245200000005</v>
      </c>
      <c r="I707">
        <v>10.850985702636359</v>
      </c>
      <c r="J707">
        <v>10.798043583304398</v>
      </c>
      <c r="K707">
        <v>10.771126243780067</v>
      </c>
      <c r="L707">
        <v>10.757705032059565</v>
      </c>
      <c r="M707">
        <v>10.724406590293952</v>
      </c>
      <c r="N707">
        <v>10.688677784793768</v>
      </c>
      <c r="P707">
        <f t="shared" si="299"/>
        <v>245387.21967909078</v>
      </c>
      <c r="Q707">
        <f t="shared" si="300"/>
        <v>244997.25299913195</v>
      </c>
      <c r="R707">
        <f t="shared" si="301"/>
        <v>244009.78231340199</v>
      </c>
      <c r="S707">
        <f t="shared" si="302"/>
        <v>243812.65566178696</v>
      </c>
      <c r="T707">
        <f t="shared" si="303"/>
        <v>242650.30150881858</v>
      </c>
      <c r="U707">
        <f t="shared" si="304"/>
        <v>241551.08834381303</v>
      </c>
      <c r="V707">
        <f t="shared" si="278"/>
        <v>1</v>
      </c>
      <c r="W707">
        <f t="shared" si="279"/>
        <v>0</v>
      </c>
      <c r="X707">
        <f t="shared" si="280"/>
        <v>0</v>
      </c>
      <c r="Y707">
        <f t="shared" si="281"/>
        <v>0</v>
      </c>
      <c r="Z707">
        <f t="shared" si="282"/>
        <v>0</v>
      </c>
      <c r="AA707">
        <f t="shared" ref="AA707" si="306">IF(MAX(P707:U707)=U707, 1, 0)</f>
        <v>0</v>
      </c>
      <c r="AC707">
        <f t="shared" si="271"/>
        <v>245387.21967909078</v>
      </c>
      <c r="AD707">
        <f t="shared" si="272"/>
        <v>244997.25299913195</v>
      </c>
      <c r="AE707">
        <f t="shared" si="273"/>
        <v>244009.78231340199</v>
      </c>
      <c r="AF707">
        <f t="shared" si="274"/>
        <v>243812.65566178696</v>
      </c>
      <c r="AG707">
        <f t="shared" si="275"/>
        <v>242650.30150881858</v>
      </c>
      <c r="AH707">
        <f t="shared" si="276"/>
        <v>241551.08834381303</v>
      </c>
      <c r="AI707">
        <f t="shared" si="289"/>
        <v>245387.21967909078</v>
      </c>
    </row>
    <row r="708" spans="2:35" x14ac:dyDescent="0.3">
      <c r="B708">
        <v>665</v>
      </c>
      <c r="C708">
        <v>84423.722099999999</v>
      </c>
      <c r="D708">
        <v>83461.190100000007</v>
      </c>
      <c r="E708">
        <v>83488.9853</v>
      </c>
      <c r="F708">
        <v>83299.176500000001</v>
      </c>
      <c r="G708">
        <v>83506.382899999997</v>
      </c>
      <c r="H708">
        <v>83643.838600000003</v>
      </c>
      <c r="I708">
        <v>11.149040189521333</v>
      </c>
      <c r="J708">
        <v>11.122510836165928</v>
      </c>
      <c r="K708">
        <v>11.104739426076264</v>
      </c>
      <c r="L708">
        <v>11.097706316258913</v>
      </c>
      <c r="M708">
        <v>11.072732084060521</v>
      </c>
      <c r="N708">
        <v>11.057655240597413</v>
      </c>
      <c r="P708">
        <f t="shared" si="299"/>
        <v>250047.48358563997</v>
      </c>
      <c r="Q708">
        <f t="shared" si="300"/>
        <v>250214.13498497783</v>
      </c>
      <c r="R708">
        <f t="shared" si="301"/>
        <v>249653.19748228794</v>
      </c>
      <c r="S708">
        <f t="shared" si="302"/>
        <v>249632.0129877674</v>
      </c>
      <c r="T708">
        <f t="shared" si="303"/>
        <v>248675.57962181562</v>
      </c>
      <c r="U708">
        <f t="shared" si="304"/>
        <v>248085.81861792237</v>
      </c>
      <c r="V708">
        <f t="shared" si="278"/>
        <v>0</v>
      </c>
      <c r="W708">
        <f t="shared" si="279"/>
        <v>1</v>
      </c>
      <c r="X708">
        <f t="shared" si="280"/>
        <v>0</v>
      </c>
      <c r="Y708">
        <f t="shared" si="281"/>
        <v>0</v>
      </c>
      <c r="Z708">
        <f t="shared" si="282"/>
        <v>0</v>
      </c>
      <c r="AC708">
        <f t="shared" si="271"/>
        <v>250047.48358563997</v>
      </c>
      <c r="AD708">
        <f t="shared" si="272"/>
        <v>250214.13498497783</v>
      </c>
      <c r="AE708">
        <f t="shared" si="273"/>
        <v>249653.19748228794</v>
      </c>
      <c r="AF708">
        <f t="shared" si="274"/>
        <v>249632.0129877674</v>
      </c>
      <c r="AG708">
        <f t="shared" si="275"/>
        <v>248675.57962181562</v>
      </c>
      <c r="AH708">
        <f t="shared" si="276"/>
        <v>248085.81861792237</v>
      </c>
      <c r="AI708">
        <f t="shared" si="289"/>
        <v>250214.13498497783</v>
      </c>
    </row>
    <row r="709" spans="2:35" x14ac:dyDescent="0.3">
      <c r="B709">
        <v>666</v>
      </c>
      <c r="C709">
        <v>69940.367700000003</v>
      </c>
      <c r="D709">
        <v>69204.6345</v>
      </c>
      <c r="E709">
        <v>69604.110400000005</v>
      </c>
      <c r="F709">
        <v>69484.5435</v>
      </c>
      <c r="G709">
        <v>69663.964200000002</v>
      </c>
      <c r="H709">
        <v>70129.767600000006</v>
      </c>
      <c r="I709">
        <v>8.3454097931135554</v>
      </c>
      <c r="J709">
        <v>8.3325086509276822</v>
      </c>
      <c r="K709">
        <v>8.3238168061768611</v>
      </c>
      <c r="L709">
        <v>8.3184005270162462</v>
      </c>
      <c r="M709">
        <v>8.3123758536410115</v>
      </c>
      <c r="N709">
        <v>8.2983092741080409</v>
      </c>
      <c r="P709">
        <f t="shared" si="299"/>
        <v>180421.92609340666</v>
      </c>
      <c r="Q709">
        <f t="shared" si="300"/>
        <v>180770.62502783048</v>
      </c>
      <c r="R709">
        <f t="shared" si="301"/>
        <v>180110.39378530582</v>
      </c>
      <c r="S709">
        <f t="shared" si="302"/>
        <v>180067.47231048738</v>
      </c>
      <c r="T709">
        <f t="shared" si="303"/>
        <v>179707.31140923034</v>
      </c>
      <c r="U709">
        <f t="shared" si="304"/>
        <v>178819.51062324119</v>
      </c>
      <c r="V709">
        <f t="shared" si="278"/>
        <v>0</v>
      </c>
      <c r="W709">
        <f t="shared" si="279"/>
        <v>1</v>
      </c>
      <c r="X709">
        <f t="shared" si="280"/>
        <v>0</v>
      </c>
      <c r="Y709">
        <f t="shared" si="281"/>
        <v>0</v>
      </c>
      <c r="Z709">
        <f t="shared" si="282"/>
        <v>0</v>
      </c>
      <c r="AA709">
        <f t="shared" ref="AA709" si="307">IF(MAX(P709:U709)=U709, 1, 0)</f>
        <v>0</v>
      </c>
      <c r="AC709">
        <f t="shared" si="271"/>
        <v>180421.92609340666</v>
      </c>
      <c r="AD709">
        <f t="shared" si="272"/>
        <v>180770.62502783048</v>
      </c>
      <c r="AE709">
        <f t="shared" si="273"/>
        <v>180110.39378530582</v>
      </c>
      <c r="AF709">
        <f t="shared" si="274"/>
        <v>180067.47231048738</v>
      </c>
      <c r="AG709">
        <f t="shared" si="275"/>
        <v>179707.31140923034</v>
      </c>
      <c r="AH709">
        <f t="shared" si="276"/>
        <v>178819.51062324119</v>
      </c>
      <c r="AI709">
        <f t="shared" si="289"/>
        <v>180770.62502783048</v>
      </c>
    </row>
    <row r="710" spans="2:35" x14ac:dyDescent="0.3">
      <c r="B710">
        <v>667</v>
      </c>
      <c r="C710">
        <v>73308.202300000004</v>
      </c>
      <c r="D710">
        <v>72582.232600000003</v>
      </c>
      <c r="E710">
        <v>72898.549100000004</v>
      </c>
      <c r="F710">
        <v>72630.2552</v>
      </c>
      <c r="G710">
        <v>73029.260500000004</v>
      </c>
      <c r="H710">
        <v>73392.367599999998</v>
      </c>
      <c r="I710">
        <v>9.9342869714734938</v>
      </c>
      <c r="J710">
        <v>9.9013671124269962</v>
      </c>
      <c r="K710">
        <v>9.8782300046970573</v>
      </c>
      <c r="L710">
        <v>9.8680595558356003</v>
      </c>
      <c r="M710">
        <v>9.8469509468336334</v>
      </c>
      <c r="N710">
        <v>9.8167262265725892</v>
      </c>
      <c r="P710">
        <f t="shared" si="299"/>
        <v>224720.40684420482</v>
      </c>
      <c r="Q710">
        <f t="shared" si="300"/>
        <v>224458.78077280987</v>
      </c>
      <c r="R710">
        <f t="shared" si="301"/>
        <v>223448.35104091169</v>
      </c>
      <c r="S710">
        <f t="shared" si="302"/>
        <v>223411.53147506801</v>
      </c>
      <c r="T710">
        <f t="shared" si="303"/>
        <v>222379.26790500901</v>
      </c>
      <c r="U710">
        <f t="shared" si="304"/>
        <v>221109.41919717769</v>
      </c>
      <c r="V710">
        <f t="shared" si="278"/>
        <v>1</v>
      </c>
      <c r="W710">
        <f t="shared" si="279"/>
        <v>0</v>
      </c>
      <c r="X710">
        <f t="shared" si="280"/>
        <v>0</v>
      </c>
      <c r="Y710">
        <f t="shared" si="281"/>
        <v>0</v>
      </c>
      <c r="Z710">
        <f t="shared" si="282"/>
        <v>0</v>
      </c>
      <c r="AC710">
        <f t="shared" si="271"/>
        <v>224720.40684420482</v>
      </c>
      <c r="AD710">
        <f t="shared" si="272"/>
        <v>224458.78077280987</v>
      </c>
      <c r="AE710">
        <f t="shared" si="273"/>
        <v>223448.35104091169</v>
      </c>
      <c r="AF710">
        <f t="shared" si="274"/>
        <v>223411.53147506801</v>
      </c>
      <c r="AG710">
        <f t="shared" si="275"/>
        <v>222379.26790500901</v>
      </c>
      <c r="AH710">
        <f t="shared" si="276"/>
        <v>221109.41919717769</v>
      </c>
      <c r="AI710">
        <f t="shared" si="289"/>
        <v>224720.40684420482</v>
      </c>
    </row>
    <row r="711" spans="2:35" x14ac:dyDescent="0.3">
      <c r="B711">
        <v>668</v>
      </c>
      <c r="C711">
        <v>69526.841100000005</v>
      </c>
      <c r="D711">
        <v>69405.701700000005</v>
      </c>
      <c r="E711">
        <v>69894.693899999998</v>
      </c>
      <c r="F711">
        <v>70113.020399999994</v>
      </c>
      <c r="G711">
        <v>70866.138699999996</v>
      </c>
      <c r="H711">
        <v>71745.4908</v>
      </c>
      <c r="I711">
        <v>11.371808441857377</v>
      </c>
      <c r="J711">
        <v>11.343359025593884</v>
      </c>
      <c r="K711">
        <v>11.326041436371243</v>
      </c>
      <c r="L711">
        <v>11.315922047945403</v>
      </c>
      <c r="M711">
        <v>11.290707300725327</v>
      </c>
      <c r="N711">
        <v>11.272474422623885</v>
      </c>
      <c r="P711">
        <f t="shared" si="299"/>
        <v>271627.41215572128</v>
      </c>
      <c r="Q711">
        <f t="shared" si="300"/>
        <v>270895.06906781648</v>
      </c>
      <c r="R711">
        <f t="shared" si="301"/>
        <v>269886.54919113731</v>
      </c>
      <c r="S711">
        <f t="shared" si="302"/>
        <v>269364.64103836211</v>
      </c>
      <c r="T711">
        <f t="shared" si="303"/>
        <v>267855.0803217598</v>
      </c>
      <c r="U711">
        <f t="shared" si="304"/>
        <v>266428.74187871651</v>
      </c>
      <c r="V711">
        <f t="shared" si="278"/>
        <v>1</v>
      </c>
      <c r="W711">
        <f t="shared" si="279"/>
        <v>0</v>
      </c>
      <c r="X711">
        <f t="shared" si="280"/>
        <v>0</v>
      </c>
      <c r="Y711">
        <f t="shared" si="281"/>
        <v>0</v>
      </c>
      <c r="Z711">
        <f t="shared" si="282"/>
        <v>0</v>
      </c>
      <c r="AA711">
        <f t="shared" ref="AA711" si="308">IF(MAX(P711:U711)=U711, 1, 0)</f>
        <v>0</v>
      </c>
      <c r="AC711">
        <f t="shared" si="271"/>
        <v>271627.41215572128</v>
      </c>
      <c r="AD711">
        <f t="shared" si="272"/>
        <v>270895.06906781648</v>
      </c>
      <c r="AE711">
        <f t="shared" si="273"/>
        <v>269886.54919113731</v>
      </c>
      <c r="AF711">
        <f t="shared" si="274"/>
        <v>269364.64103836211</v>
      </c>
      <c r="AG711">
        <f t="shared" si="275"/>
        <v>267855.0803217598</v>
      </c>
      <c r="AH711">
        <f t="shared" si="276"/>
        <v>266428.74187871651</v>
      </c>
      <c r="AI711">
        <f t="shared" si="289"/>
        <v>271627.41215572128</v>
      </c>
    </row>
    <row r="712" spans="2:35" x14ac:dyDescent="0.3">
      <c r="B712">
        <v>669</v>
      </c>
      <c r="C712">
        <v>78400.931500000006</v>
      </c>
      <c r="D712">
        <v>76981.552500000005</v>
      </c>
      <c r="E712">
        <v>76904.213099999994</v>
      </c>
      <c r="F712">
        <v>76713.308499999999</v>
      </c>
      <c r="G712">
        <v>76352.813599999994</v>
      </c>
      <c r="H712">
        <v>76458.362099999998</v>
      </c>
      <c r="I712">
        <v>9.6399685400759942</v>
      </c>
      <c r="J712">
        <v>9.6264925705707558</v>
      </c>
      <c r="K712">
        <v>9.6158113295740879</v>
      </c>
      <c r="L712">
        <v>9.6108056664505579</v>
      </c>
      <c r="M712">
        <v>9.595126716770654</v>
      </c>
      <c r="N712">
        <v>9.5851102884880639</v>
      </c>
      <c r="P712">
        <f t="shared" si="299"/>
        <v>210798.12470227981</v>
      </c>
      <c r="Q712">
        <f t="shared" si="300"/>
        <v>211813.22461712267</v>
      </c>
      <c r="R712">
        <f t="shared" si="301"/>
        <v>211570.12678722263</v>
      </c>
      <c r="S712">
        <f t="shared" si="302"/>
        <v>211610.86149351677</v>
      </c>
      <c r="T712">
        <f t="shared" si="303"/>
        <v>211500.98790311965</v>
      </c>
      <c r="U712">
        <f t="shared" si="304"/>
        <v>211094.94655464191</v>
      </c>
      <c r="V712">
        <f t="shared" si="278"/>
        <v>0</v>
      </c>
      <c r="W712">
        <f t="shared" si="279"/>
        <v>1</v>
      </c>
      <c r="X712">
        <f t="shared" si="280"/>
        <v>0</v>
      </c>
      <c r="Y712">
        <f t="shared" si="281"/>
        <v>0</v>
      </c>
      <c r="Z712">
        <f t="shared" si="282"/>
        <v>0</v>
      </c>
      <c r="AC712">
        <f t="shared" si="271"/>
        <v>210798.12470227981</v>
      </c>
      <c r="AD712">
        <f t="shared" si="272"/>
        <v>211813.22461712267</v>
      </c>
      <c r="AE712">
        <f t="shared" si="273"/>
        <v>211570.12678722263</v>
      </c>
      <c r="AF712">
        <f t="shared" si="274"/>
        <v>211610.86149351677</v>
      </c>
      <c r="AG712">
        <f t="shared" si="275"/>
        <v>211500.98790311965</v>
      </c>
      <c r="AH712">
        <f t="shared" si="276"/>
        <v>211094.94655464191</v>
      </c>
      <c r="AI712">
        <f t="shared" si="289"/>
        <v>211813.22461712267</v>
      </c>
    </row>
    <row r="713" spans="2:35" x14ac:dyDescent="0.3">
      <c r="B713">
        <v>670</v>
      </c>
      <c r="C713">
        <v>77809.679600000003</v>
      </c>
      <c r="D713">
        <v>76771.240699999995</v>
      </c>
      <c r="E713">
        <v>76867.999299999996</v>
      </c>
      <c r="F713">
        <v>76853.168600000005</v>
      </c>
      <c r="G713">
        <v>76988.527100000007</v>
      </c>
      <c r="H713">
        <v>77329.591100000005</v>
      </c>
      <c r="I713">
        <v>10.522846019734352</v>
      </c>
      <c r="J713">
        <v>10.515743569213875</v>
      </c>
      <c r="K713">
        <v>10.507427608936338</v>
      </c>
      <c r="L713">
        <v>10.504654472537235</v>
      </c>
      <c r="M713">
        <v>10.495912102603368</v>
      </c>
      <c r="N713">
        <v>10.49054928055971</v>
      </c>
      <c r="P713">
        <f t="shared" si="299"/>
        <v>237875.70099203059</v>
      </c>
      <c r="Q713">
        <f t="shared" si="300"/>
        <v>238701.06637641627</v>
      </c>
      <c r="R713">
        <f t="shared" si="301"/>
        <v>238354.82896809015</v>
      </c>
      <c r="S713">
        <f t="shared" si="302"/>
        <v>238286.46557611701</v>
      </c>
      <c r="T713">
        <f t="shared" si="303"/>
        <v>237888.83597810107</v>
      </c>
      <c r="U713">
        <f t="shared" si="304"/>
        <v>237386.88731679128</v>
      </c>
      <c r="V713">
        <f t="shared" si="278"/>
        <v>0</v>
      </c>
      <c r="W713">
        <f t="shared" si="279"/>
        <v>1</v>
      </c>
      <c r="X713">
        <f t="shared" si="280"/>
        <v>0</v>
      </c>
      <c r="Y713">
        <f t="shared" si="281"/>
        <v>0</v>
      </c>
      <c r="Z713">
        <f t="shared" si="282"/>
        <v>0</v>
      </c>
      <c r="AA713">
        <f t="shared" ref="AA713" si="309">IF(MAX(P713:U713)=U713, 1, 0)</f>
        <v>0</v>
      </c>
      <c r="AC713">
        <f t="shared" si="271"/>
        <v>237875.70099203059</v>
      </c>
      <c r="AD713">
        <f t="shared" si="272"/>
        <v>238701.06637641627</v>
      </c>
      <c r="AE713">
        <f t="shared" si="273"/>
        <v>238354.82896809015</v>
      </c>
      <c r="AF713">
        <f t="shared" si="274"/>
        <v>238286.46557611701</v>
      </c>
      <c r="AG713">
        <f t="shared" si="275"/>
        <v>237888.83597810107</v>
      </c>
      <c r="AH713">
        <f t="shared" si="276"/>
        <v>237386.88731679128</v>
      </c>
      <c r="AI713">
        <f t="shared" si="289"/>
        <v>238701.06637641627</v>
      </c>
    </row>
    <row r="714" spans="2:35" x14ac:dyDescent="0.3">
      <c r="B714">
        <v>671</v>
      </c>
      <c r="C714">
        <v>86436.010999999999</v>
      </c>
      <c r="D714">
        <v>85518.110100000005</v>
      </c>
      <c r="E714">
        <v>85695.2978</v>
      </c>
      <c r="F714">
        <v>85601.486699999994</v>
      </c>
      <c r="G714">
        <v>85739.298599999995</v>
      </c>
      <c r="H714">
        <v>85825.056700000001</v>
      </c>
      <c r="I714">
        <v>11.698716377671371</v>
      </c>
      <c r="J714">
        <v>11.663966670080749</v>
      </c>
      <c r="K714">
        <v>11.643636187021922</v>
      </c>
      <c r="L714">
        <v>11.621854499336633</v>
      </c>
      <c r="M714">
        <v>11.595583973928889</v>
      </c>
      <c r="N714">
        <v>11.569924743122362</v>
      </c>
      <c r="P714">
        <f t="shared" si="299"/>
        <v>264525.48033014114</v>
      </c>
      <c r="Q714">
        <f t="shared" si="300"/>
        <v>264400.89000242244</v>
      </c>
      <c r="R714">
        <f t="shared" si="301"/>
        <v>263613.78781065764</v>
      </c>
      <c r="S714">
        <f t="shared" si="302"/>
        <v>263054.14828009898</v>
      </c>
      <c r="T714">
        <f t="shared" si="303"/>
        <v>262128.22061786667</v>
      </c>
      <c r="U714">
        <f t="shared" si="304"/>
        <v>261272.68559367087</v>
      </c>
      <c r="V714">
        <f t="shared" si="278"/>
        <v>1</v>
      </c>
      <c r="W714">
        <f t="shared" si="279"/>
        <v>0</v>
      </c>
      <c r="X714">
        <f t="shared" si="280"/>
        <v>0</v>
      </c>
      <c r="Y714">
        <f t="shared" si="281"/>
        <v>0</v>
      </c>
      <c r="Z714">
        <f t="shared" si="282"/>
        <v>0</v>
      </c>
      <c r="AC714">
        <f t="shared" si="271"/>
        <v>264525.48033014114</v>
      </c>
      <c r="AD714">
        <f t="shared" si="272"/>
        <v>264400.89000242244</v>
      </c>
      <c r="AE714">
        <f t="shared" si="273"/>
        <v>263613.78781065764</v>
      </c>
      <c r="AF714">
        <f t="shared" si="274"/>
        <v>263054.14828009898</v>
      </c>
      <c r="AG714">
        <f t="shared" si="275"/>
        <v>262128.22061786667</v>
      </c>
      <c r="AH714">
        <f t="shared" si="276"/>
        <v>261272.68559367087</v>
      </c>
      <c r="AI714">
        <f t="shared" si="289"/>
        <v>264525.48033014114</v>
      </c>
    </row>
    <row r="715" spans="2:35" x14ac:dyDescent="0.3">
      <c r="B715">
        <v>672</v>
      </c>
      <c r="C715">
        <v>69660.181100000002</v>
      </c>
      <c r="D715">
        <v>68162.323000000004</v>
      </c>
      <c r="E715">
        <v>68026.795299999998</v>
      </c>
      <c r="F715">
        <v>67490.020399999994</v>
      </c>
      <c r="G715">
        <v>67286.056299999997</v>
      </c>
      <c r="H715">
        <v>67218.866299999994</v>
      </c>
      <c r="I715">
        <v>9.3545919216792885</v>
      </c>
      <c r="J715">
        <v>9.3310406378839073</v>
      </c>
      <c r="K715">
        <v>9.3203014380992304</v>
      </c>
      <c r="L715">
        <v>9.309990772754702</v>
      </c>
      <c r="M715">
        <v>9.2917992314982438</v>
      </c>
      <c r="N715">
        <v>9.2758549847949752</v>
      </c>
      <c r="P715">
        <f t="shared" si="299"/>
        <v>210977.5765503787</v>
      </c>
      <c r="Q715">
        <f t="shared" si="300"/>
        <v>211768.8961365172</v>
      </c>
      <c r="R715">
        <f t="shared" si="301"/>
        <v>211582.24784297694</v>
      </c>
      <c r="S715">
        <f t="shared" si="302"/>
        <v>211809.70278264111</v>
      </c>
      <c r="T715">
        <f t="shared" si="303"/>
        <v>211467.92064494733</v>
      </c>
      <c r="U715">
        <f t="shared" si="304"/>
        <v>211056.78324384923</v>
      </c>
      <c r="V715">
        <f t="shared" si="278"/>
        <v>0</v>
      </c>
      <c r="W715">
        <f t="shared" si="279"/>
        <v>0</v>
      </c>
      <c r="X715">
        <f t="shared" si="280"/>
        <v>0</v>
      </c>
      <c r="Y715">
        <f t="shared" si="281"/>
        <v>1</v>
      </c>
      <c r="Z715">
        <f t="shared" si="282"/>
        <v>0</v>
      </c>
      <c r="AA715">
        <f t="shared" ref="AA715" si="310">IF(MAX(P715:U715)=U715, 1, 0)</f>
        <v>0</v>
      </c>
      <c r="AC715">
        <f t="shared" si="271"/>
        <v>210977.5765503787</v>
      </c>
      <c r="AD715">
        <f t="shared" si="272"/>
        <v>211768.8961365172</v>
      </c>
      <c r="AE715">
        <f t="shared" si="273"/>
        <v>211582.24784297694</v>
      </c>
      <c r="AF715">
        <f t="shared" si="274"/>
        <v>211809.70278264111</v>
      </c>
      <c r="AG715">
        <f t="shared" si="275"/>
        <v>211467.92064494733</v>
      </c>
      <c r="AH715">
        <f t="shared" si="276"/>
        <v>211056.78324384923</v>
      </c>
      <c r="AI715">
        <f t="shared" si="289"/>
        <v>211809.70278264111</v>
      </c>
    </row>
    <row r="716" spans="2:35" x14ac:dyDescent="0.3">
      <c r="B716">
        <v>673</v>
      </c>
      <c r="C716">
        <v>70023.026199999993</v>
      </c>
      <c r="D716">
        <v>70352.994600000005</v>
      </c>
      <c r="E716">
        <v>71207.838900000002</v>
      </c>
      <c r="F716">
        <v>71076.623200000002</v>
      </c>
      <c r="G716">
        <v>72207.595400000006</v>
      </c>
      <c r="H716">
        <v>73295.304099999994</v>
      </c>
      <c r="I716">
        <v>11.276194242847604</v>
      </c>
      <c r="J716">
        <v>11.203418855218617</v>
      </c>
      <c r="K716">
        <v>11.157046653282016</v>
      </c>
      <c r="L716">
        <v>11.154330447157228</v>
      </c>
      <c r="M716">
        <v>11.094791753262498</v>
      </c>
      <c r="N716">
        <v>11.048743923821412</v>
      </c>
      <c r="P716">
        <f t="shared" si="299"/>
        <v>268262.8010854281</v>
      </c>
      <c r="Q716">
        <f t="shared" si="300"/>
        <v>265749.57105655852</v>
      </c>
      <c r="R716">
        <f t="shared" si="301"/>
        <v>263503.56069846044</v>
      </c>
      <c r="S716">
        <f t="shared" si="302"/>
        <v>263553.29021471681</v>
      </c>
      <c r="T716">
        <f t="shared" si="303"/>
        <v>260636.15719787497</v>
      </c>
      <c r="U716">
        <f t="shared" si="304"/>
        <v>258167.01361464238</v>
      </c>
      <c r="V716">
        <f t="shared" si="278"/>
        <v>1</v>
      </c>
      <c r="W716">
        <f t="shared" si="279"/>
        <v>0</v>
      </c>
      <c r="X716">
        <f t="shared" si="280"/>
        <v>0</v>
      </c>
      <c r="Y716">
        <f t="shared" si="281"/>
        <v>0</v>
      </c>
      <c r="Z716">
        <f t="shared" si="282"/>
        <v>0</v>
      </c>
      <c r="AC716">
        <f t="shared" si="271"/>
        <v>268262.8010854281</v>
      </c>
      <c r="AD716">
        <f t="shared" si="272"/>
        <v>265749.57105655852</v>
      </c>
      <c r="AE716">
        <f t="shared" si="273"/>
        <v>263503.56069846044</v>
      </c>
      <c r="AF716">
        <f t="shared" si="274"/>
        <v>263553.29021471681</v>
      </c>
      <c r="AG716">
        <f t="shared" si="275"/>
        <v>260636.15719787497</v>
      </c>
      <c r="AH716">
        <f t="shared" si="276"/>
        <v>258167.01361464238</v>
      </c>
      <c r="AI716">
        <f t="shared" si="289"/>
        <v>268262.8010854281</v>
      </c>
    </row>
    <row r="717" spans="2:35" x14ac:dyDescent="0.3">
      <c r="B717">
        <v>674</v>
      </c>
      <c r="C717">
        <v>66932.256999999998</v>
      </c>
      <c r="D717">
        <v>65993.604500000001</v>
      </c>
      <c r="E717">
        <v>66178.857000000004</v>
      </c>
      <c r="F717">
        <v>66086.0769</v>
      </c>
      <c r="G717">
        <v>66255.251499999998</v>
      </c>
      <c r="H717">
        <v>66626.710200000001</v>
      </c>
      <c r="I717">
        <v>9.6026604115450649</v>
      </c>
      <c r="J717">
        <v>9.5633392154186385</v>
      </c>
      <c r="K717">
        <v>9.5432305191422433</v>
      </c>
      <c r="L717">
        <v>9.5228753356308768</v>
      </c>
      <c r="M717">
        <v>9.5069948539142235</v>
      </c>
      <c r="N717">
        <v>9.466604934866977</v>
      </c>
      <c r="P717">
        <f t="shared" si="299"/>
        <v>221147.55534635199</v>
      </c>
      <c r="Q717">
        <f t="shared" si="300"/>
        <v>220906.57196255913</v>
      </c>
      <c r="R717">
        <f t="shared" si="301"/>
        <v>220118.05857426726</v>
      </c>
      <c r="S717">
        <f t="shared" si="302"/>
        <v>219600.18316892633</v>
      </c>
      <c r="T717">
        <f t="shared" si="303"/>
        <v>218954.59411742672</v>
      </c>
      <c r="U717">
        <f t="shared" si="304"/>
        <v>217371.4378460093</v>
      </c>
      <c r="V717">
        <f t="shared" si="278"/>
        <v>1</v>
      </c>
      <c r="W717">
        <f t="shared" si="279"/>
        <v>0</v>
      </c>
      <c r="X717">
        <f t="shared" si="280"/>
        <v>0</v>
      </c>
      <c r="Y717">
        <f t="shared" si="281"/>
        <v>0</v>
      </c>
      <c r="Z717">
        <f t="shared" si="282"/>
        <v>0</v>
      </c>
      <c r="AA717">
        <f t="shared" ref="AA717" si="311">IF(MAX(P717:U717)=U717, 1, 0)</f>
        <v>0</v>
      </c>
      <c r="AC717">
        <f t="shared" si="271"/>
        <v>221147.55534635199</v>
      </c>
      <c r="AD717">
        <f t="shared" si="272"/>
        <v>220906.57196255913</v>
      </c>
      <c r="AE717">
        <f t="shared" si="273"/>
        <v>220118.05857426726</v>
      </c>
      <c r="AF717">
        <f t="shared" si="274"/>
        <v>219600.18316892633</v>
      </c>
      <c r="AG717">
        <f t="shared" si="275"/>
        <v>218954.59411742672</v>
      </c>
      <c r="AH717">
        <f t="shared" si="276"/>
        <v>217371.4378460093</v>
      </c>
      <c r="AI717">
        <f t="shared" si="289"/>
        <v>221147.55534635199</v>
      </c>
    </row>
    <row r="718" spans="2:35" x14ac:dyDescent="0.3">
      <c r="B718">
        <v>675</v>
      </c>
      <c r="C718">
        <v>97163.034599999999</v>
      </c>
      <c r="D718">
        <v>95855.130600000004</v>
      </c>
      <c r="E718">
        <v>95654.046499999997</v>
      </c>
      <c r="F718">
        <v>95440.955600000001</v>
      </c>
      <c r="G718">
        <v>95506.731899999999</v>
      </c>
      <c r="H718">
        <v>95545.142800000001</v>
      </c>
      <c r="I718">
        <v>10.865437207950349</v>
      </c>
      <c r="J718">
        <v>10.815131328975863</v>
      </c>
      <c r="K718">
        <v>10.771773450293185</v>
      </c>
      <c r="L718">
        <v>10.763306659234095</v>
      </c>
      <c r="M718">
        <v>10.721286334211074</v>
      </c>
      <c r="N718">
        <v>10.686178258024118</v>
      </c>
      <c r="P718">
        <f t="shared" si="299"/>
        <v>228800.08163851046</v>
      </c>
      <c r="Q718">
        <f t="shared" si="300"/>
        <v>228598.80926927589</v>
      </c>
      <c r="R718">
        <f t="shared" si="301"/>
        <v>227499.15700879559</v>
      </c>
      <c r="S718">
        <f t="shared" si="302"/>
        <v>227458.24417702283</v>
      </c>
      <c r="T718">
        <f t="shared" si="303"/>
        <v>226131.85812633223</v>
      </c>
      <c r="U718">
        <f t="shared" si="304"/>
        <v>225040.20494072352</v>
      </c>
      <c r="V718">
        <f t="shared" si="278"/>
        <v>1</v>
      </c>
      <c r="W718">
        <f t="shared" si="279"/>
        <v>0</v>
      </c>
      <c r="X718">
        <f t="shared" si="280"/>
        <v>0</v>
      </c>
      <c r="Y718">
        <f t="shared" si="281"/>
        <v>0</v>
      </c>
      <c r="Z718">
        <f t="shared" si="282"/>
        <v>0</v>
      </c>
      <c r="AC718">
        <f t="shared" si="271"/>
        <v>228800.08163851046</v>
      </c>
      <c r="AD718">
        <f t="shared" si="272"/>
        <v>228598.80926927589</v>
      </c>
      <c r="AE718">
        <f t="shared" si="273"/>
        <v>227499.15700879559</v>
      </c>
      <c r="AF718">
        <f t="shared" si="274"/>
        <v>227458.24417702283</v>
      </c>
      <c r="AG718">
        <f t="shared" si="275"/>
        <v>226131.85812633223</v>
      </c>
      <c r="AH718">
        <f t="shared" si="276"/>
        <v>225040.20494072352</v>
      </c>
      <c r="AI718">
        <f t="shared" si="289"/>
        <v>228800.08163851046</v>
      </c>
    </row>
    <row r="719" spans="2:35" x14ac:dyDescent="0.3">
      <c r="B719">
        <v>676</v>
      </c>
      <c r="C719">
        <v>71599.055399999997</v>
      </c>
      <c r="D719">
        <v>71504.194099999993</v>
      </c>
      <c r="E719">
        <v>72197.14</v>
      </c>
      <c r="F719">
        <v>72393.2261</v>
      </c>
      <c r="G719">
        <v>73131.654500000004</v>
      </c>
      <c r="H719">
        <v>73832.349799999996</v>
      </c>
      <c r="I719">
        <v>11.40355623342821</v>
      </c>
      <c r="J719">
        <v>11.372819889364671</v>
      </c>
      <c r="K719">
        <v>11.35282332999358</v>
      </c>
      <c r="L719">
        <v>11.338320571547198</v>
      </c>
      <c r="M719">
        <v>11.320564455433441</v>
      </c>
      <c r="N719">
        <v>11.300455317928408</v>
      </c>
      <c r="P719">
        <f t="shared" si="299"/>
        <v>270507.63160284632</v>
      </c>
      <c r="Q719">
        <f t="shared" si="300"/>
        <v>269680.40258094016</v>
      </c>
      <c r="R719">
        <f t="shared" si="301"/>
        <v>268387.55989980738</v>
      </c>
      <c r="S719">
        <f t="shared" si="302"/>
        <v>267756.3910464159</v>
      </c>
      <c r="T719">
        <f t="shared" si="303"/>
        <v>266485.27916300326</v>
      </c>
      <c r="U719">
        <f t="shared" si="304"/>
        <v>265181.30973785231</v>
      </c>
      <c r="V719">
        <f t="shared" si="278"/>
        <v>1</v>
      </c>
      <c r="W719">
        <f t="shared" si="279"/>
        <v>0</v>
      </c>
      <c r="X719">
        <f t="shared" si="280"/>
        <v>0</v>
      </c>
      <c r="Y719">
        <f t="shared" si="281"/>
        <v>0</v>
      </c>
      <c r="Z719">
        <f t="shared" si="282"/>
        <v>0</v>
      </c>
      <c r="AA719">
        <f t="shared" ref="AA719" si="312">IF(MAX(P719:U719)=U719, 1, 0)</f>
        <v>0</v>
      </c>
      <c r="AC719">
        <f t="shared" si="271"/>
        <v>270507.63160284632</v>
      </c>
      <c r="AD719">
        <f t="shared" si="272"/>
        <v>269680.40258094016</v>
      </c>
      <c r="AE719">
        <f t="shared" si="273"/>
        <v>268387.55989980738</v>
      </c>
      <c r="AF719">
        <f t="shared" si="274"/>
        <v>267756.3910464159</v>
      </c>
      <c r="AG719">
        <f t="shared" si="275"/>
        <v>266485.27916300326</v>
      </c>
      <c r="AH719">
        <f t="shared" si="276"/>
        <v>265181.30973785231</v>
      </c>
      <c r="AI719">
        <f t="shared" si="289"/>
        <v>270507.63160284632</v>
      </c>
    </row>
    <row r="720" spans="2:35" x14ac:dyDescent="0.3">
      <c r="B720">
        <v>677</v>
      </c>
      <c r="C720">
        <v>83424.871899999998</v>
      </c>
      <c r="D720">
        <v>82940.691900000005</v>
      </c>
      <c r="E720">
        <v>83576.106</v>
      </c>
      <c r="F720">
        <v>83559.400699999998</v>
      </c>
      <c r="G720">
        <v>84212.435899999997</v>
      </c>
      <c r="H720">
        <v>84883.315499999997</v>
      </c>
      <c r="I720">
        <v>8.4244178699878205</v>
      </c>
      <c r="J720">
        <v>8.4002060604736766</v>
      </c>
      <c r="K720">
        <v>8.3881895715113082</v>
      </c>
      <c r="L720">
        <v>8.3783188545256255</v>
      </c>
      <c r="M720">
        <v>8.3619387867957116</v>
      </c>
      <c r="N720">
        <v>8.3451728659655409</v>
      </c>
      <c r="P720">
        <f t="shared" si="299"/>
        <v>169307.66419963463</v>
      </c>
      <c r="Q720">
        <f t="shared" si="300"/>
        <v>169065.48991421028</v>
      </c>
      <c r="R720">
        <f t="shared" si="301"/>
        <v>168069.58114533924</v>
      </c>
      <c r="S720">
        <f t="shared" si="302"/>
        <v>167790.16493576876</v>
      </c>
      <c r="T720">
        <f t="shared" si="303"/>
        <v>166645.72770387132</v>
      </c>
      <c r="U720">
        <f t="shared" si="304"/>
        <v>165471.87047896622</v>
      </c>
      <c r="V720">
        <f t="shared" si="278"/>
        <v>1</v>
      </c>
      <c r="W720">
        <f t="shared" si="279"/>
        <v>0</v>
      </c>
      <c r="X720">
        <f t="shared" si="280"/>
        <v>0</v>
      </c>
      <c r="Y720">
        <f t="shared" si="281"/>
        <v>0</v>
      </c>
      <c r="Z720">
        <f t="shared" si="282"/>
        <v>0</v>
      </c>
      <c r="AC720">
        <f t="shared" si="271"/>
        <v>169307.66419963463</v>
      </c>
      <c r="AD720">
        <f t="shared" si="272"/>
        <v>169065.48991421028</v>
      </c>
      <c r="AE720">
        <f t="shared" si="273"/>
        <v>168069.58114533924</v>
      </c>
      <c r="AF720">
        <f t="shared" si="274"/>
        <v>167790.16493576876</v>
      </c>
      <c r="AG720">
        <f t="shared" si="275"/>
        <v>166645.72770387132</v>
      </c>
      <c r="AH720">
        <f t="shared" si="276"/>
        <v>165471.87047896622</v>
      </c>
      <c r="AI720">
        <f t="shared" si="289"/>
        <v>169307.66419963463</v>
      </c>
    </row>
    <row r="721" spans="2:35" x14ac:dyDescent="0.3">
      <c r="B721">
        <v>678</v>
      </c>
      <c r="C721">
        <v>77228.005900000004</v>
      </c>
      <c r="D721">
        <v>76302.3986</v>
      </c>
      <c r="E721">
        <v>76534.618499999997</v>
      </c>
      <c r="F721">
        <v>76485.946800000005</v>
      </c>
      <c r="G721">
        <v>76733.906799999997</v>
      </c>
      <c r="H721">
        <v>77052.001499999998</v>
      </c>
      <c r="I721">
        <v>10.978468895287307</v>
      </c>
      <c r="J721">
        <v>10.941534182003412</v>
      </c>
      <c r="K721">
        <v>10.915895104204514</v>
      </c>
      <c r="L721">
        <v>10.905614269103305</v>
      </c>
      <c r="M721">
        <v>10.882580900083815</v>
      </c>
      <c r="N721">
        <v>10.84471057552306</v>
      </c>
      <c r="P721">
        <f t="shared" si="299"/>
        <v>252126.06095861923</v>
      </c>
      <c r="Q721">
        <f t="shared" si="300"/>
        <v>251943.62686010235</v>
      </c>
      <c r="R721">
        <f t="shared" si="301"/>
        <v>250942.23462613544</v>
      </c>
      <c r="S721">
        <f t="shared" si="302"/>
        <v>250682.48127309917</v>
      </c>
      <c r="T721">
        <f t="shared" si="303"/>
        <v>249743.52020251442</v>
      </c>
      <c r="U721">
        <f t="shared" si="304"/>
        <v>248289.31576569175</v>
      </c>
      <c r="V721">
        <f t="shared" si="278"/>
        <v>1</v>
      </c>
      <c r="W721">
        <f t="shared" si="279"/>
        <v>0</v>
      </c>
      <c r="X721">
        <f t="shared" si="280"/>
        <v>0</v>
      </c>
      <c r="Y721">
        <f t="shared" si="281"/>
        <v>0</v>
      </c>
      <c r="Z721">
        <f t="shared" si="282"/>
        <v>0</v>
      </c>
      <c r="AA721">
        <f t="shared" ref="AA721" si="313">IF(MAX(P721:U721)=U721, 1, 0)</f>
        <v>0</v>
      </c>
      <c r="AC721">
        <f t="shared" si="271"/>
        <v>252126.06095861923</v>
      </c>
      <c r="AD721">
        <f t="shared" si="272"/>
        <v>251943.62686010235</v>
      </c>
      <c r="AE721">
        <f t="shared" si="273"/>
        <v>250942.23462613544</v>
      </c>
      <c r="AF721">
        <f t="shared" si="274"/>
        <v>250682.48127309917</v>
      </c>
      <c r="AG721">
        <f t="shared" si="275"/>
        <v>249743.52020251442</v>
      </c>
      <c r="AH721">
        <f t="shared" si="276"/>
        <v>248289.31576569175</v>
      </c>
      <c r="AI721">
        <f t="shared" si="289"/>
        <v>252126.06095861923</v>
      </c>
    </row>
    <row r="722" spans="2:35" x14ac:dyDescent="0.3">
      <c r="B722">
        <v>679</v>
      </c>
      <c r="C722">
        <v>78557.251699999993</v>
      </c>
      <c r="D722">
        <v>78357.316800000001</v>
      </c>
      <c r="E722">
        <v>78916.763800000001</v>
      </c>
      <c r="F722">
        <v>79325.917400000006</v>
      </c>
      <c r="G722">
        <v>79966.205700000006</v>
      </c>
      <c r="H722">
        <v>80704.809599999993</v>
      </c>
      <c r="I722">
        <v>10.564914189032734</v>
      </c>
      <c r="J722">
        <v>10.5328992563668</v>
      </c>
      <c r="K722">
        <v>10.511451708068117</v>
      </c>
      <c r="L722">
        <v>10.49907511848296</v>
      </c>
      <c r="M722">
        <v>10.482998331192919</v>
      </c>
      <c r="N722">
        <v>10.456092843724752</v>
      </c>
      <c r="P722">
        <f t="shared" si="299"/>
        <v>238390.17397098205</v>
      </c>
      <c r="Q722">
        <f t="shared" si="300"/>
        <v>237629.66089100399</v>
      </c>
      <c r="R722">
        <f t="shared" si="301"/>
        <v>236426.78744204348</v>
      </c>
      <c r="S722">
        <f t="shared" si="302"/>
        <v>235646.33615448882</v>
      </c>
      <c r="T722">
        <f t="shared" si="303"/>
        <v>234523.74423578754</v>
      </c>
      <c r="U722">
        <f t="shared" si="304"/>
        <v>232977.97571174259</v>
      </c>
      <c r="V722">
        <f t="shared" si="278"/>
        <v>1</v>
      </c>
      <c r="W722">
        <f t="shared" si="279"/>
        <v>0</v>
      </c>
      <c r="X722">
        <f t="shared" si="280"/>
        <v>0</v>
      </c>
      <c r="Y722">
        <f t="shared" si="281"/>
        <v>0</v>
      </c>
      <c r="Z722">
        <f t="shared" si="282"/>
        <v>0</v>
      </c>
      <c r="AC722">
        <f t="shared" si="271"/>
        <v>238390.17397098205</v>
      </c>
      <c r="AD722">
        <f t="shared" si="272"/>
        <v>237629.66089100399</v>
      </c>
      <c r="AE722">
        <f t="shared" si="273"/>
        <v>236426.78744204348</v>
      </c>
      <c r="AF722">
        <f t="shared" si="274"/>
        <v>235646.33615448882</v>
      </c>
      <c r="AG722">
        <f t="shared" si="275"/>
        <v>234523.74423578754</v>
      </c>
      <c r="AH722">
        <f t="shared" si="276"/>
        <v>232977.97571174259</v>
      </c>
      <c r="AI722">
        <f t="shared" si="289"/>
        <v>238390.17397098205</v>
      </c>
    </row>
    <row r="723" spans="2:35" x14ac:dyDescent="0.3">
      <c r="B723">
        <v>680</v>
      </c>
      <c r="C723">
        <v>81051.402700000006</v>
      </c>
      <c r="D723">
        <v>80884.501199999999</v>
      </c>
      <c r="E723">
        <v>81336.472800000003</v>
      </c>
      <c r="F723">
        <v>81561.310500000007</v>
      </c>
      <c r="G723">
        <v>82191.411300000007</v>
      </c>
      <c r="H723">
        <v>82915.229699999996</v>
      </c>
      <c r="I723">
        <v>8.532952747849988</v>
      </c>
      <c r="J723">
        <v>8.5126463581368643</v>
      </c>
      <c r="K723">
        <v>8.506258104983953</v>
      </c>
      <c r="L723">
        <v>8.4955893658681614</v>
      </c>
      <c r="M723">
        <v>8.4826485252972805</v>
      </c>
      <c r="N723">
        <v>8.4711654130805698</v>
      </c>
      <c r="P723">
        <f t="shared" si="299"/>
        <v>174937.17973549964</v>
      </c>
      <c r="Q723">
        <f t="shared" si="300"/>
        <v>174494.88954410594</v>
      </c>
      <c r="R723">
        <f t="shared" si="301"/>
        <v>173851.27034951857</v>
      </c>
      <c r="S723">
        <f t="shared" si="302"/>
        <v>173306.37047604483</v>
      </c>
      <c r="T723">
        <f t="shared" si="303"/>
        <v>172288.04445891842</v>
      </c>
      <c r="U723">
        <f t="shared" si="304"/>
        <v>171219.73269241711</v>
      </c>
      <c r="V723">
        <f t="shared" si="278"/>
        <v>1</v>
      </c>
      <c r="W723">
        <f t="shared" si="279"/>
        <v>0</v>
      </c>
      <c r="X723">
        <f t="shared" si="280"/>
        <v>0</v>
      </c>
      <c r="Y723">
        <f t="shared" si="281"/>
        <v>0</v>
      </c>
      <c r="Z723">
        <f t="shared" si="282"/>
        <v>0</v>
      </c>
      <c r="AA723">
        <f t="shared" ref="AA723" si="314">IF(MAX(P723:U723)=U723, 1, 0)</f>
        <v>0</v>
      </c>
      <c r="AC723">
        <f t="shared" si="271"/>
        <v>174937.17973549964</v>
      </c>
      <c r="AD723">
        <f t="shared" si="272"/>
        <v>174494.88954410594</v>
      </c>
      <c r="AE723">
        <f t="shared" si="273"/>
        <v>173851.27034951857</v>
      </c>
      <c r="AF723">
        <f t="shared" si="274"/>
        <v>173306.37047604483</v>
      </c>
      <c r="AG723">
        <f t="shared" si="275"/>
        <v>172288.04445891842</v>
      </c>
      <c r="AH723">
        <f t="shared" si="276"/>
        <v>171219.73269241711</v>
      </c>
      <c r="AI723">
        <f t="shared" si="289"/>
        <v>174937.17973549964</v>
      </c>
    </row>
    <row r="724" spans="2:35" x14ac:dyDescent="0.3">
      <c r="B724">
        <v>681</v>
      </c>
      <c r="C724">
        <v>80524.236900000004</v>
      </c>
      <c r="D724">
        <v>80336.6446</v>
      </c>
      <c r="E724">
        <v>81511.933900000004</v>
      </c>
      <c r="F724">
        <v>81586.917600000001</v>
      </c>
      <c r="G724">
        <v>82022.258600000001</v>
      </c>
      <c r="H724">
        <v>82936.935700000002</v>
      </c>
      <c r="I724">
        <v>9.6690856245575816</v>
      </c>
      <c r="J724">
        <v>9.6168189704501774</v>
      </c>
      <c r="K724">
        <v>9.5696009123965258</v>
      </c>
      <c r="L724">
        <v>9.5471388332686029</v>
      </c>
      <c r="M724">
        <v>9.5163758889002423</v>
      </c>
      <c r="N724">
        <v>9.460967939333468</v>
      </c>
      <c r="P724">
        <f t="shared" si="299"/>
        <v>209548.33183672745</v>
      </c>
      <c r="Q724">
        <f t="shared" si="300"/>
        <v>208167.92451350531</v>
      </c>
      <c r="R724">
        <f t="shared" si="301"/>
        <v>205576.09347189579</v>
      </c>
      <c r="S724">
        <f t="shared" si="302"/>
        <v>204827.24739805813</v>
      </c>
      <c r="T724">
        <f t="shared" si="303"/>
        <v>203469.01806700724</v>
      </c>
      <c r="U724">
        <f t="shared" si="304"/>
        <v>200892.10248000405</v>
      </c>
      <c r="V724">
        <f t="shared" si="278"/>
        <v>1</v>
      </c>
      <c r="W724">
        <f t="shared" si="279"/>
        <v>0</v>
      </c>
      <c r="X724">
        <f t="shared" si="280"/>
        <v>0</v>
      </c>
      <c r="Y724">
        <f t="shared" si="281"/>
        <v>0</v>
      </c>
      <c r="Z724">
        <f t="shared" si="282"/>
        <v>0</v>
      </c>
      <c r="AC724">
        <f t="shared" si="271"/>
        <v>209548.33183672745</v>
      </c>
      <c r="AD724">
        <f t="shared" si="272"/>
        <v>208167.92451350531</v>
      </c>
      <c r="AE724">
        <f t="shared" si="273"/>
        <v>205576.09347189579</v>
      </c>
      <c r="AF724">
        <f t="shared" si="274"/>
        <v>204827.24739805813</v>
      </c>
      <c r="AG724">
        <f t="shared" si="275"/>
        <v>203469.01806700724</v>
      </c>
      <c r="AH724">
        <f t="shared" si="276"/>
        <v>200892.10248000405</v>
      </c>
      <c r="AI724">
        <f t="shared" si="289"/>
        <v>209548.33183672745</v>
      </c>
    </row>
    <row r="725" spans="2:35" x14ac:dyDescent="0.3">
      <c r="B725">
        <v>682</v>
      </c>
      <c r="C725">
        <v>94933.459700000007</v>
      </c>
      <c r="D725">
        <v>94213.462700000004</v>
      </c>
      <c r="E725">
        <v>94931.528000000006</v>
      </c>
      <c r="F725">
        <v>94719.584000000003</v>
      </c>
      <c r="G725">
        <v>95434.566500000001</v>
      </c>
      <c r="H725">
        <v>95898.676900000006</v>
      </c>
      <c r="I725">
        <v>10.587376680053607</v>
      </c>
      <c r="J725">
        <v>10.557148280205038</v>
      </c>
      <c r="K725">
        <v>10.530152747508017</v>
      </c>
      <c r="L725">
        <v>10.521513865551695</v>
      </c>
      <c r="M725">
        <v>10.505299938266585</v>
      </c>
      <c r="N725">
        <v>10.466079057984683</v>
      </c>
      <c r="P725">
        <f t="shared" si="299"/>
        <v>222687.84070160822</v>
      </c>
      <c r="Q725">
        <f t="shared" si="300"/>
        <v>222500.98570615114</v>
      </c>
      <c r="R725">
        <f t="shared" si="301"/>
        <v>220973.05442524055</v>
      </c>
      <c r="S725">
        <f t="shared" si="302"/>
        <v>220925.83196655082</v>
      </c>
      <c r="T725">
        <f t="shared" si="303"/>
        <v>219724.43164799752</v>
      </c>
      <c r="U725">
        <f t="shared" si="304"/>
        <v>218083.69483954046</v>
      </c>
      <c r="V725">
        <f t="shared" si="278"/>
        <v>1</v>
      </c>
      <c r="W725">
        <f t="shared" si="279"/>
        <v>0</v>
      </c>
      <c r="X725">
        <f t="shared" si="280"/>
        <v>0</v>
      </c>
      <c r="Y725">
        <f t="shared" si="281"/>
        <v>0</v>
      </c>
      <c r="Z725">
        <f t="shared" si="282"/>
        <v>0</v>
      </c>
      <c r="AA725">
        <f t="shared" ref="AA725" si="315">IF(MAX(P725:U725)=U725, 1, 0)</f>
        <v>0</v>
      </c>
      <c r="AC725">
        <f t="shared" si="271"/>
        <v>222687.84070160822</v>
      </c>
      <c r="AD725">
        <f t="shared" si="272"/>
        <v>222500.98570615114</v>
      </c>
      <c r="AE725">
        <f t="shared" si="273"/>
        <v>220973.05442524055</v>
      </c>
      <c r="AF725">
        <f t="shared" si="274"/>
        <v>220925.83196655082</v>
      </c>
      <c r="AG725">
        <f t="shared" si="275"/>
        <v>219724.43164799752</v>
      </c>
      <c r="AH725">
        <f t="shared" si="276"/>
        <v>218083.69483954046</v>
      </c>
      <c r="AI725">
        <f t="shared" si="289"/>
        <v>222687.84070160822</v>
      </c>
    </row>
    <row r="726" spans="2:35" x14ac:dyDescent="0.3">
      <c r="B726">
        <v>683</v>
      </c>
      <c r="C726">
        <v>82459.400599999994</v>
      </c>
      <c r="D726">
        <v>82212.611000000004</v>
      </c>
      <c r="E726">
        <v>82786.313599999994</v>
      </c>
      <c r="F726">
        <v>82796.574999999997</v>
      </c>
      <c r="G726">
        <v>83508.897299999997</v>
      </c>
      <c r="H726">
        <v>84215.349700000006</v>
      </c>
      <c r="I726">
        <v>10.281802991082824</v>
      </c>
      <c r="J726">
        <v>10.250324474963035</v>
      </c>
      <c r="K726">
        <v>10.225760179403201</v>
      </c>
      <c r="L726">
        <v>10.215788911991453</v>
      </c>
      <c r="M726">
        <v>10.187343385379922</v>
      </c>
      <c r="N726">
        <v>10.165465894381491</v>
      </c>
      <c r="P726">
        <f t="shared" si="299"/>
        <v>225994.68913248472</v>
      </c>
      <c r="Q726">
        <f t="shared" si="300"/>
        <v>225297.12324889106</v>
      </c>
      <c r="R726">
        <f t="shared" si="301"/>
        <v>223986.49178209604</v>
      </c>
      <c r="S726">
        <f t="shared" si="302"/>
        <v>223677.09235974355</v>
      </c>
      <c r="T726">
        <f t="shared" si="303"/>
        <v>222111.40426139766</v>
      </c>
      <c r="U726">
        <f t="shared" si="304"/>
        <v>220748.62713144469</v>
      </c>
      <c r="V726">
        <f t="shared" si="278"/>
        <v>1</v>
      </c>
      <c r="W726">
        <f t="shared" si="279"/>
        <v>0</v>
      </c>
      <c r="X726">
        <f t="shared" si="280"/>
        <v>0</v>
      </c>
      <c r="Y726">
        <f t="shared" si="281"/>
        <v>0</v>
      </c>
      <c r="Z726">
        <f t="shared" si="282"/>
        <v>0</v>
      </c>
      <c r="AC726">
        <f t="shared" si="271"/>
        <v>225994.68913248472</v>
      </c>
      <c r="AD726">
        <f t="shared" si="272"/>
        <v>225297.12324889106</v>
      </c>
      <c r="AE726">
        <f t="shared" si="273"/>
        <v>223986.49178209604</v>
      </c>
      <c r="AF726">
        <f t="shared" si="274"/>
        <v>223677.09235974355</v>
      </c>
      <c r="AG726">
        <f t="shared" si="275"/>
        <v>222111.40426139766</v>
      </c>
      <c r="AH726">
        <f t="shared" si="276"/>
        <v>220748.62713144469</v>
      </c>
      <c r="AI726">
        <f t="shared" si="289"/>
        <v>225994.68913248472</v>
      </c>
    </row>
    <row r="727" spans="2:35" x14ac:dyDescent="0.3">
      <c r="B727">
        <v>684</v>
      </c>
      <c r="C727">
        <v>70051.418000000005</v>
      </c>
      <c r="D727">
        <v>69917.080400000006</v>
      </c>
      <c r="E727">
        <v>70782.488500000007</v>
      </c>
      <c r="F727">
        <v>70946.632800000007</v>
      </c>
      <c r="G727">
        <v>71639.0815</v>
      </c>
      <c r="H727">
        <v>72497.654599999994</v>
      </c>
      <c r="I727">
        <v>10.066743886448712</v>
      </c>
      <c r="J727">
        <v>10.038102588960962</v>
      </c>
      <c r="K727">
        <v>10.018104360302729</v>
      </c>
      <c r="L727">
        <v>10.004301674932659</v>
      </c>
      <c r="M727">
        <v>9.9819949390221367</v>
      </c>
      <c r="N727">
        <v>9.9627348748606668</v>
      </c>
      <c r="P727">
        <f t="shared" si="299"/>
        <v>231950.89859346137</v>
      </c>
      <c r="Q727">
        <f t="shared" si="300"/>
        <v>231225.99726882888</v>
      </c>
      <c r="R727">
        <f t="shared" si="301"/>
        <v>229760.64230908189</v>
      </c>
      <c r="S727">
        <f t="shared" si="302"/>
        <v>229182.41744797974</v>
      </c>
      <c r="T727">
        <f t="shared" si="303"/>
        <v>227820.7666706641</v>
      </c>
      <c r="U727">
        <f t="shared" si="304"/>
        <v>226384.39164582</v>
      </c>
      <c r="V727">
        <f t="shared" si="278"/>
        <v>1</v>
      </c>
      <c r="W727">
        <f t="shared" si="279"/>
        <v>0</v>
      </c>
      <c r="X727">
        <f t="shared" si="280"/>
        <v>0</v>
      </c>
      <c r="Y727">
        <f t="shared" si="281"/>
        <v>0</v>
      </c>
      <c r="Z727">
        <f t="shared" si="282"/>
        <v>0</v>
      </c>
      <c r="AA727">
        <f t="shared" ref="AA727" si="316">IF(MAX(P727:U727)=U727, 1, 0)</f>
        <v>0</v>
      </c>
      <c r="AC727">
        <f t="shared" si="271"/>
        <v>231950.89859346137</v>
      </c>
      <c r="AD727">
        <f t="shared" si="272"/>
        <v>231225.99726882888</v>
      </c>
      <c r="AE727">
        <f t="shared" si="273"/>
        <v>229760.64230908189</v>
      </c>
      <c r="AF727">
        <f t="shared" si="274"/>
        <v>229182.41744797974</v>
      </c>
      <c r="AG727">
        <f t="shared" si="275"/>
        <v>227820.7666706641</v>
      </c>
      <c r="AH727">
        <f t="shared" si="276"/>
        <v>226384.39164582</v>
      </c>
      <c r="AI727">
        <f t="shared" si="289"/>
        <v>231950.89859346137</v>
      </c>
    </row>
    <row r="728" spans="2:35" x14ac:dyDescent="0.3">
      <c r="B728">
        <v>685</v>
      </c>
      <c r="C728">
        <v>72476.555600000007</v>
      </c>
      <c r="D728">
        <v>71861.818499999994</v>
      </c>
      <c r="E728">
        <v>72469.230899999995</v>
      </c>
      <c r="F728">
        <v>72369.796199999997</v>
      </c>
      <c r="G728">
        <v>72682.688999999998</v>
      </c>
      <c r="H728">
        <v>73208.497600000002</v>
      </c>
      <c r="I728">
        <v>10.050094888686399</v>
      </c>
      <c r="J728">
        <v>10.034412308383164</v>
      </c>
      <c r="K728">
        <v>10.021092380377445</v>
      </c>
      <c r="L728">
        <v>10.01758310309271</v>
      </c>
      <c r="M728">
        <v>10.008755622072016</v>
      </c>
      <c r="N728">
        <v>9.9957833357500316</v>
      </c>
      <c r="P728">
        <f t="shared" si="299"/>
        <v>229026.29106059193</v>
      </c>
      <c r="Q728">
        <f t="shared" si="300"/>
        <v>229170.55075149494</v>
      </c>
      <c r="R728">
        <f t="shared" si="301"/>
        <v>228163.54051132334</v>
      </c>
      <c r="S728">
        <f t="shared" si="302"/>
        <v>228157.6968927813</v>
      </c>
      <c r="T728">
        <f t="shared" si="303"/>
        <v>227579.97966216045</v>
      </c>
      <c r="U728">
        <f t="shared" si="304"/>
        <v>226665.00247250096</v>
      </c>
      <c r="V728">
        <f t="shared" si="278"/>
        <v>0</v>
      </c>
      <c r="W728">
        <f t="shared" si="279"/>
        <v>1</v>
      </c>
      <c r="X728">
        <f t="shared" si="280"/>
        <v>0</v>
      </c>
      <c r="Y728">
        <f t="shared" si="281"/>
        <v>0</v>
      </c>
      <c r="Z728">
        <f t="shared" si="282"/>
        <v>0</v>
      </c>
      <c r="AC728">
        <f t="shared" si="271"/>
        <v>229026.29106059193</v>
      </c>
      <c r="AD728">
        <f t="shared" si="272"/>
        <v>229170.55075149494</v>
      </c>
      <c r="AE728">
        <f t="shared" si="273"/>
        <v>228163.54051132334</v>
      </c>
      <c r="AF728">
        <f t="shared" si="274"/>
        <v>228157.6968927813</v>
      </c>
      <c r="AG728">
        <f t="shared" si="275"/>
        <v>227579.97966216045</v>
      </c>
      <c r="AH728">
        <f t="shared" si="276"/>
        <v>226665.00247250096</v>
      </c>
      <c r="AI728">
        <f t="shared" si="289"/>
        <v>229170.55075149494</v>
      </c>
    </row>
    <row r="729" spans="2:35" x14ac:dyDescent="0.3">
      <c r="B729">
        <v>686</v>
      </c>
      <c r="C729">
        <v>76044.426699999996</v>
      </c>
      <c r="D729">
        <v>75522.310400000002</v>
      </c>
      <c r="E729">
        <v>75686.931899999996</v>
      </c>
      <c r="F729">
        <v>75792.1783</v>
      </c>
      <c r="G729">
        <v>76261.258700000006</v>
      </c>
      <c r="H729">
        <v>76540.415200000003</v>
      </c>
      <c r="I729">
        <v>9.5996991624137582</v>
      </c>
      <c r="J729">
        <v>9.5613856552642353</v>
      </c>
      <c r="K729">
        <v>9.5417498701737973</v>
      </c>
      <c r="L729">
        <v>9.5251891511478082</v>
      </c>
      <c r="M729">
        <v>9.4971891559054455</v>
      </c>
      <c r="N729">
        <v>9.4664171781814428</v>
      </c>
      <c r="P729">
        <f t="shared" si="299"/>
        <v>211946.54817241273</v>
      </c>
      <c r="Q729">
        <f t="shared" si="300"/>
        <v>211319.25925792707</v>
      </c>
      <c r="R729">
        <f t="shared" si="301"/>
        <v>210565.56420521394</v>
      </c>
      <c r="S729">
        <f t="shared" si="302"/>
        <v>209963.49623443422</v>
      </c>
      <c r="T729">
        <f t="shared" si="303"/>
        <v>208654.41597716336</v>
      </c>
      <c r="U729">
        <f t="shared" si="304"/>
        <v>207452.10014544328</v>
      </c>
      <c r="V729">
        <f t="shared" si="278"/>
        <v>1</v>
      </c>
      <c r="W729">
        <f t="shared" si="279"/>
        <v>0</v>
      </c>
      <c r="X729">
        <f t="shared" si="280"/>
        <v>0</v>
      </c>
      <c r="Y729">
        <f t="shared" si="281"/>
        <v>0</v>
      </c>
      <c r="Z729">
        <f t="shared" si="282"/>
        <v>0</v>
      </c>
      <c r="AA729">
        <f t="shared" ref="AA729" si="317">IF(MAX(P729:U729)=U729, 1, 0)</f>
        <v>0</v>
      </c>
      <c r="AC729">
        <f t="shared" si="271"/>
        <v>211946.54817241273</v>
      </c>
      <c r="AD729">
        <f t="shared" si="272"/>
        <v>211319.25925792707</v>
      </c>
      <c r="AE729">
        <f t="shared" si="273"/>
        <v>210565.56420521394</v>
      </c>
      <c r="AF729">
        <f t="shared" si="274"/>
        <v>209963.49623443422</v>
      </c>
      <c r="AG729">
        <f t="shared" si="275"/>
        <v>208654.41597716336</v>
      </c>
      <c r="AH729">
        <f t="shared" si="276"/>
        <v>207452.10014544328</v>
      </c>
      <c r="AI729">
        <f t="shared" si="289"/>
        <v>211946.54817241273</v>
      </c>
    </row>
    <row r="730" spans="2:35" x14ac:dyDescent="0.3">
      <c r="B730">
        <v>687</v>
      </c>
      <c r="C730">
        <v>84247.409700000004</v>
      </c>
      <c r="D730">
        <v>83382.410900000003</v>
      </c>
      <c r="E730">
        <v>83745.351999999999</v>
      </c>
      <c r="F730">
        <v>83765.412400000001</v>
      </c>
      <c r="G730">
        <v>84015.162500000006</v>
      </c>
      <c r="H730">
        <v>84293.344599999997</v>
      </c>
      <c r="I730">
        <v>8.8698192497177235</v>
      </c>
      <c r="J730">
        <v>8.8406768132852402</v>
      </c>
      <c r="K730">
        <v>8.8150681218966316</v>
      </c>
      <c r="L730">
        <v>8.8076751283093486</v>
      </c>
      <c r="M730">
        <v>8.7874623724011922</v>
      </c>
      <c r="N730">
        <v>8.7562859700421622</v>
      </c>
      <c r="P730">
        <f t="shared" si="299"/>
        <v>181847.16779153171</v>
      </c>
      <c r="Q730">
        <f t="shared" si="300"/>
        <v>181837.89349855721</v>
      </c>
      <c r="R730">
        <f t="shared" si="301"/>
        <v>180706.69165689894</v>
      </c>
      <c r="S730">
        <f t="shared" si="302"/>
        <v>180464.84144928047</v>
      </c>
      <c r="T730">
        <f t="shared" si="303"/>
        <v>179608.70867203575</v>
      </c>
      <c r="U730">
        <f t="shared" si="304"/>
        <v>178395.23450126487</v>
      </c>
      <c r="V730">
        <f t="shared" si="278"/>
        <v>1</v>
      </c>
      <c r="W730">
        <f t="shared" si="279"/>
        <v>0</v>
      </c>
      <c r="X730">
        <f t="shared" si="280"/>
        <v>0</v>
      </c>
      <c r="Y730">
        <f t="shared" si="281"/>
        <v>0</v>
      </c>
      <c r="Z730">
        <f t="shared" si="282"/>
        <v>0</v>
      </c>
      <c r="AC730">
        <f t="shared" si="271"/>
        <v>181847.16779153171</v>
      </c>
      <c r="AD730">
        <f t="shared" si="272"/>
        <v>181837.89349855721</v>
      </c>
      <c r="AE730">
        <f t="shared" si="273"/>
        <v>180706.69165689894</v>
      </c>
      <c r="AF730">
        <f t="shared" si="274"/>
        <v>180464.84144928047</v>
      </c>
      <c r="AG730">
        <f t="shared" si="275"/>
        <v>179608.70867203575</v>
      </c>
      <c r="AH730">
        <f t="shared" si="276"/>
        <v>178395.23450126487</v>
      </c>
      <c r="AI730">
        <f t="shared" si="289"/>
        <v>181847.16779153171</v>
      </c>
    </row>
    <row r="731" spans="2:35" x14ac:dyDescent="0.3">
      <c r="B731">
        <v>688</v>
      </c>
      <c r="C731">
        <v>78938.750700000004</v>
      </c>
      <c r="D731">
        <v>78568.023000000001</v>
      </c>
      <c r="E731">
        <v>79043.800900000002</v>
      </c>
      <c r="F731">
        <v>79100.955199999997</v>
      </c>
      <c r="G731">
        <v>79853.138399999996</v>
      </c>
      <c r="H731">
        <v>80469.393899999995</v>
      </c>
      <c r="I731">
        <v>10.605095877163897</v>
      </c>
      <c r="J731">
        <v>10.58749563381549</v>
      </c>
      <c r="K731">
        <v>10.580127274416851</v>
      </c>
      <c r="L731">
        <v>10.576873474078795</v>
      </c>
      <c r="M731">
        <v>10.564676034082508</v>
      </c>
      <c r="N731">
        <v>10.552947435555412</v>
      </c>
      <c r="P731">
        <f t="shared" si="299"/>
        <v>239214.12561491693</v>
      </c>
      <c r="Q731">
        <f t="shared" si="300"/>
        <v>239056.84601446468</v>
      </c>
      <c r="R731">
        <f t="shared" si="301"/>
        <v>238360.01733250552</v>
      </c>
      <c r="S731">
        <f t="shared" si="302"/>
        <v>238205.24902236383</v>
      </c>
      <c r="T731">
        <f t="shared" si="303"/>
        <v>237087.14262247522</v>
      </c>
      <c r="U731">
        <f t="shared" si="304"/>
        <v>236119.02916666234</v>
      </c>
      <c r="V731">
        <f t="shared" si="278"/>
        <v>1</v>
      </c>
      <c r="W731">
        <f t="shared" si="279"/>
        <v>0</v>
      </c>
      <c r="X731">
        <f t="shared" si="280"/>
        <v>0</v>
      </c>
      <c r="Y731">
        <f t="shared" si="281"/>
        <v>0</v>
      </c>
      <c r="Z731">
        <f t="shared" si="282"/>
        <v>0</v>
      </c>
      <c r="AA731">
        <f t="shared" ref="AA731" si="318">IF(MAX(P731:U731)=U731, 1, 0)</f>
        <v>0</v>
      </c>
      <c r="AC731">
        <f t="shared" si="271"/>
        <v>239214.12561491693</v>
      </c>
      <c r="AD731">
        <f t="shared" si="272"/>
        <v>239056.84601446468</v>
      </c>
      <c r="AE731">
        <f t="shared" si="273"/>
        <v>238360.01733250552</v>
      </c>
      <c r="AF731">
        <f t="shared" si="274"/>
        <v>238205.24902236383</v>
      </c>
      <c r="AG731">
        <f t="shared" si="275"/>
        <v>237087.14262247522</v>
      </c>
      <c r="AH731">
        <f t="shared" si="276"/>
        <v>236119.02916666234</v>
      </c>
      <c r="AI731">
        <f t="shared" si="289"/>
        <v>239214.12561491693</v>
      </c>
    </row>
    <row r="732" spans="2:35" x14ac:dyDescent="0.3">
      <c r="B732">
        <v>689</v>
      </c>
      <c r="C732">
        <v>75330.898799999995</v>
      </c>
      <c r="D732">
        <v>74313.574999999997</v>
      </c>
      <c r="E732">
        <v>74641.844800000006</v>
      </c>
      <c r="F732">
        <v>74575.072700000004</v>
      </c>
      <c r="G732">
        <v>74681.780599999998</v>
      </c>
      <c r="H732">
        <v>74832.364600000001</v>
      </c>
      <c r="I732">
        <v>9.9194318290295929</v>
      </c>
      <c r="J732">
        <v>9.9040740779713943</v>
      </c>
      <c r="K732">
        <v>9.8915692275167828</v>
      </c>
      <c r="L732">
        <v>9.8862156443102176</v>
      </c>
      <c r="M732">
        <v>9.8750850929245306</v>
      </c>
      <c r="N732">
        <v>9.8623833292114043</v>
      </c>
      <c r="P732">
        <f t="shared" si="299"/>
        <v>222252.0560708878</v>
      </c>
      <c r="Q732">
        <f t="shared" si="300"/>
        <v>222808.64733914181</v>
      </c>
      <c r="R732">
        <f t="shared" si="301"/>
        <v>222105.23202550347</v>
      </c>
      <c r="S732">
        <f t="shared" si="302"/>
        <v>222011.39662930649</v>
      </c>
      <c r="T732">
        <f t="shared" si="303"/>
        <v>221570.77218773594</v>
      </c>
      <c r="U732">
        <f t="shared" si="304"/>
        <v>221039.13527634213</v>
      </c>
      <c r="V732">
        <f t="shared" si="278"/>
        <v>0</v>
      </c>
      <c r="W732">
        <f t="shared" si="279"/>
        <v>1</v>
      </c>
      <c r="X732">
        <f t="shared" si="280"/>
        <v>0</v>
      </c>
      <c r="Y732">
        <f t="shared" si="281"/>
        <v>0</v>
      </c>
      <c r="Z732">
        <f t="shared" si="282"/>
        <v>0</v>
      </c>
      <c r="AC732">
        <f t="shared" si="271"/>
        <v>222252.0560708878</v>
      </c>
      <c r="AD732">
        <f t="shared" si="272"/>
        <v>222808.64733914181</v>
      </c>
      <c r="AE732">
        <f t="shared" si="273"/>
        <v>222105.23202550347</v>
      </c>
      <c r="AF732">
        <f t="shared" si="274"/>
        <v>222011.39662930649</v>
      </c>
      <c r="AG732">
        <f t="shared" si="275"/>
        <v>221570.77218773594</v>
      </c>
      <c r="AH732">
        <f t="shared" si="276"/>
        <v>221039.13527634213</v>
      </c>
      <c r="AI732">
        <f t="shared" si="289"/>
        <v>222808.64733914181</v>
      </c>
    </row>
    <row r="733" spans="2:35" x14ac:dyDescent="0.3">
      <c r="B733">
        <v>690</v>
      </c>
      <c r="C733">
        <v>81362.196400000001</v>
      </c>
      <c r="D733">
        <v>80519.655700000003</v>
      </c>
      <c r="E733">
        <v>80717.523499999996</v>
      </c>
      <c r="F733">
        <v>80495.083400000003</v>
      </c>
      <c r="G733">
        <v>80886.503200000006</v>
      </c>
      <c r="H733">
        <v>80965.110199999996</v>
      </c>
      <c r="I733">
        <v>9.3047739664103322</v>
      </c>
      <c r="J733">
        <v>9.2571154889024054</v>
      </c>
      <c r="K733">
        <v>9.2413304893999353</v>
      </c>
      <c r="L733">
        <v>9.2281431877250224</v>
      </c>
      <c r="M733">
        <v>9.19216162865035</v>
      </c>
      <c r="N733">
        <v>9.1608988140973935</v>
      </c>
      <c r="P733">
        <f t="shared" si="299"/>
        <v>197781.02259230992</v>
      </c>
      <c r="Q733">
        <f t="shared" si="300"/>
        <v>197193.80896707217</v>
      </c>
      <c r="R733">
        <f t="shared" si="301"/>
        <v>196522.39118199807</v>
      </c>
      <c r="S733">
        <f t="shared" si="302"/>
        <v>196349.21223175066</v>
      </c>
      <c r="T733">
        <f t="shared" si="303"/>
        <v>194878.34565951049</v>
      </c>
      <c r="U733">
        <f t="shared" si="304"/>
        <v>193861.85422292183</v>
      </c>
      <c r="V733">
        <f t="shared" si="278"/>
        <v>1</v>
      </c>
      <c r="W733">
        <f t="shared" si="279"/>
        <v>0</v>
      </c>
      <c r="X733">
        <f t="shared" si="280"/>
        <v>0</v>
      </c>
      <c r="Y733">
        <f t="shared" si="281"/>
        <v>0</v>
      </c>
      <c r="Z733">
        <f t="shared" si="282"/>
        <v>0</v>
      </c>
      <c r="AA733">
        <f t="shared" ref="AA733" si="319">IF(MAX(P733:U733)=U733, 1, 0)</f>
        <v>0</v>
      </c>
      <c r="AC733">
        <f t="shared" si="271"/>
        <v>197781.02259230992</v>
      </c>
      <c r="AD733">
        <f t="shared" si="272"/>
        <v>197193.80896707217</v>
      </c>
      <c r="AE733">
        <f t="shared" si="273"/>
        <v>196522.39118199807</v>
      </c>
      <c r="AF733">
        <f t="shared" si="274"/>
        <v>196349.21223175066</v>
      </c>
      <c r="AG733">
        <f t="shared" si="275"/>
        <v>194878.34565951049</v>
      </c>
      <c r="AH733">
        <f t="shared" si="276"/>
        <v>193861.85422292183</v>
      </c>
      <c r="AI733">
        <f t="shared" si="289"/>
        <v>197781.02259230992</v>
      </c>
    </row>
    <row r="734" spans="2:35" x14ac:dyDescent="0.3">
      <c r="B734">
        <v>691</v>
      </c>
      <c r="C734">
        <v>82939.143200000006</v>
      </c>
      <c r="D734">
        <v>82182.880699999994</v>
      </c>
      <c r="E734">
        <v>82455.012100000007</v>
      </c>
      <c r="F734">
        <v>82462.810500000007</v>
      </c>
      <c r="G734">
        <v>83035.566600000006</v>
      </c>
      <c r="H734">
        <v>83249.2601</v>
      </c>
      <c r="I734">
        <v>10.384062118148696</v>
      </c>
      <c r="J734">
        <v>10.329379825297725</v>
      </c>
      <c r="K734">
        <v>10.294903751091631</v>
      </c>
      <c r="L734">
        <v>10.274978983600551</v>
      </c>
      <c r="M734">
        <v>10.226126166575387</v>
      </c>
      <c r="N734">
        <v>10.187244827019315</v>
      </c>
      <c r="P734">
        <f t="shared" si="299"/>
        <v>228582.72034446092</v>
      </c>
      <c r="Q734">
        <f t="shared" si="300"/>
        <v>227698.51405893179</v>
      </c>
      <c r="R734">
        <f t="shared" si="301"/>
        <v>226392.10043274896</v>
      </c>
      <c r="S734">
        <f t="shared" si="302"/>
        <v>225786.55900801654</v>
      </c>
      <c r="T734">
        <f t="shared" si="303"/>
        <v>223748.21839726157</v>
      </c>
      <c r="U734">
        <f t="shared" si="304"/>
        <v>222368.08471057942</v>
      </c>
      <c r="V734">
        <f t="shared" si="278"/>
        <v>1</v>
      </c>
      <c r="W734">
        <f t="shared" si="279"/>
        <v>0</v>
      </c>
      <c r="X734">
        <f t="shared" si="280"/>
        <v>0</v>
      </c>
      <c r="Y734">
        <f t="shared" si="281"/>
        <v>0</v>
      </c>
      <c r="Z734">
        <f t="shared" si="282"/>
        <v>0</v>
      </c>
      <c r="AC734">
        <f t="shared" si="271"/>
        <v>228582.72034446092</v>
      </c>
      <c r="AD734">
        <f t="shared" si="272"/>
        <v>227698.51405893179</v>
      </c>
      <c r="AE734">
        <f t="shared" si="273"/>
        <v>226392.10043274896</v>
      </c>
      <c r="AF734">
        <f t="shared" si="274"/>
        <v>225786.55900801654</v>
      </c>
      <c r="AG734">
        <f t="shared" si="275"/>
        <v>223748.21839726157</v>
      </c>
      <c r="AH734">
        <f t="shared" si="276"/>
        <v>222368.08471057942</v>
      </c>
      <c r="AI734">
        <f t="shared" si="289"/>
        <v>228582.72034446092</v>
      </c>
    </row>
    <row r="735" spans="2:35" x14ac:dyDescent="0.3">
      <c r="B735">
        <v>692</v>
      </c>
      <c r="C735">
        <v>75965.480599999995</v>
      </c>
      <c r="D735">
        <v>74900.780400000003</v>
      </c>
      <c r="E735">
        <v>75039.089099999997</v>
      </c>
      <c r="F735">
        <v>74910.157999999996</v>
      </c>
      <c r="G735">
        <v>74979.129199999996</v>
      </c>
      <c r="H735">
        <v>75069.588499999998</v>
      </c>
      <c r="I735">
        <v>9.4129744108588564</v>
      </c>
      <c r="J735">
        <v>9.3868158344116672</v>
      </c>
      <c r="K735">
        <v>9.3712133245407294</v>
      </c>
      <c r="L735">
        <v>9.357444193324632</v>
      </c>
      <c r="M735">
        <v>9.3422028033953932</v>
      </c>
      <c r="N735">
        <v>9.3194356178047997</v>
      </c>
      <c r="P735">
        <f t="shared" si="299"/>
        <v>206423.7517257657</v>
      </c>
      <c r="Q735">
        <f t="shared" si="300"/>
        <v>206703.69463235</v>
      </c>
      <c r="R735">
        <f t="shared" si="301"/>
        <v>206097.3106362219</v>
      </c>
      <c r="S735">
        <f t="shared" si="302"/>
        <v>205813.16779973893</v>
      </c>
      <c r="T735">
        <f t="shared" si="303"/>
        <v>205286.95490186181</v>
      </c>
      <c r="U735">
        <f t="shared" si="304"/>
        <v>204513.48003414395</v>
      </c>
      <c r="V735">
        <f t="shared" si="278"/>
        <v>0</v>
      </c>
      <c r="W735">
        <f t="shared" si="279"/>
        <v>1</v>
      </c>
      <c r="X735">
        <f t="shared" si="280"/>
        <v>0</v>
      </c>
      <c r="Y735">
        <f t="shared" si="281"/>
        <v>0</v>
      </c>
      <c r="Z735">
        <f t="shared" si="282"/>
        <v>0</v>
      </c>
      <c r="AA735">
        <f t="shared" ref="AA735" si="320">IF(MAX(P735:U735)=U735, 1, 0)</f>
        <v>0</v>
      </c>
      <c r="AC735">
        <f t="shared" si="271"/>
        <v>206423.7517257657</v>
      </c>
      <c r="AD735">
        <f t="shared" si="272"/>
        <v>206703.69463235</v>
      </c>
      <c r="AE735">
        <f t="shared" si="273"/>
        <v>206097.3106362219</v>
      </c>
      <c r="AF735">
        <f t="shared" si="274"/>
        <v>205813.16779973893</v>
      </c>
      <c r="AG735">
        <f t="shared" si="275"/>
        <v>205286.95490186181</v>
      </c>
      <c r="AH735">
        <f t="shared" si="276"/>
        <v>204513.48003414395</v>
      </c>
      <c r="AI735">
        <f t="shared" si="289"/>
        <v>206703.69463235</v>
      </c>
    </row>
    <row r="736" spans="2:35" x14ac:dyDescent="0.3">
      <c r="B736">
        <v>693</v>
      </c>
      <c r="C736">
        <v>72241.415299999993</v>
      </c>
      <c r="D736">
        <v>71718.6391</v>
      </c>
      <c r="E736">
        <v>72234.658599999995</v>
      </c>
      <c r="F736">
        <v>71995.58</v>
      </c>
      <c r="G736">
        <v>72534.311400000006</v>
      </c>
      <c r="H736">
        <v>73082.905100000004</v>
      </c>
      <c r="I736">
        <v>10.898853994736649</v>
      </c>
      <c r="J736">
        <v>10.849098054075407</v>
      </c>
      <c r="K736">
        <v>10.816926316916398</v>
      </c>
      <c r="L736">
        <v>10.807065572971569</v>
      </c>
      <c r="M736">
        <v>10.766996686027868</v>
      </c>
      <c r="N736">
        <v>10.731177175316622</v>
      </c>
      <c r="P736">
        <f t="shared" si="299"/>
        <v>254724.2045420995</v>
      </c>
      <c r="Q736">
        <f t="shared" si="300"/>
        <v>253754.30252226218</v>
      </c>
      <c r="R736">
        <f t="shared" si="301"/>
        <v>252273.13090749193</v>
      </c>
      <c r="S736">
        <f t="shared" si="302"/>
        <v>252216.38718914706</v>
      </c>
      <c r="T736">
        <f t="shared" si="303"/>
        <v>250475.58918083605</v>
      </c>
      <c r="U736">
        <f t="shared" si="304"/>
        <v>248852.41015949866</v>
      </c>
      <c r="V736">
        <f t="shared" si="278"/>
        <v>1</v>
      </c>
      <c r="W736">
        <f t="shared" si="279"/>
        <v>0</v>
      </c>
      <c r="X736">
        <f t="shared" si="280"/>
        <v>0</v>
      </c>
      <c r="Y736">
        <f t="shared" si="281"/>
        <v>0</v>
      </c>
      <c r="Z736">
        <f t="shared" si="282"/>
        <v>0</v>
      </c>
      <c r="AC736">
        <f t="shared" ref="AC736:AC799" si="321">Threshold*I736-C736</f>
        <v>254724.2045420995</v>
      </c>
      <c r="AD736">
        <f t="shared" ref="AD736:AD799" si="322">Threshold*J736-D736</f>
        <v>253754.30252226218</v>
      </c>
      <c r="AE736">
        <f t="shared" ref="AE736:AE799" si="323">Threshold*K736-E736</f>
        <v>252273.13090749193</v>
      </c>
      <c r="AF736">
        <f t="shared" ref="AF736:AF799" si="324">Threshold*L736-F736</f>
        <v>252216.38718914706</v>
      </c>
      <c r="AG736">
        <f t="shared" ref="AG736:AG799" si="325">Threshold*M736-G736</f>
        <v>250475.58918083605</v>
      </c>
      <c r="AH736">
        <f t="shared" ref="AH736:AH799" si="326">Threshold*N736-H736</f>
        <v>248852.41015949866</v>
      </c>
      <c r="AI736">
        <f t="shared" si="289"/>
        <v>254724.2045420995</v>
      </c>
    </row>
    <row r="737" spans="2:35" x14ac:dyDescent="0.3">
      <c r="B737">
        <v>694</v>
      </c>
      <c r="C737">
        <v>81117.378599999996</v>
      </c>
      <c r="D737">
        <v>81214.635500000004</v>
      </c>
      <c r="E737">
        <v>82401.093599999993</v>
      </c>
      <c r="F737">
        <v>82302.239000000001</v>
      </c>
      <c r="G737">
        <v>83355.492899999997</v>
      </c>
      <c r="H737">
        <v>84583.065300000002</v>
      </c>
      <c r="I737">
        <v>10.620044967428433</v>
      </c>
      <c r="J737">
        <v>10.596305160504187</v>
      </c>
      <c r="K737">
        <v>10.574723514483944</v>
      </c>
      <c r="L737">
        <v>10.572165979497893</v>
      </c>
      <c r="M737">
        <v>10.554179182171898</v>
      </c>
      <c r="N737">
        <v>10.53416102071699</v>
      </c>
      <c r="P737">
        <f t="shared" si="299"/>
        <v>237483.97042285296</v>
      </c>
      <c r="Q737">
        <f t="shared" si="300"/>
        <v>236674.51931512562</v>
      </c>
      <c r="R737">
        <f t="shared" si="301"/>
        <v>234840.61183451835</v>
      </c>
      <c r="S737">
        <f t="shared" si="302"/>
        <v>234862.7403849368</v>
      </c>
      <c r="T737">
        <f t="shared" si="303"/>
        <v>233269.88256515696</v>
      </c>
      <c r="U737">
        <f t="shared" si="304"/>
        <v>231441.76532150968</v>
      </c>
      <c r="V737">
        <f t="shared" si="278"/>
        <v>1</v>
      </c>
      <c r="W737">
        <f t="shared" si="279"/>
        <v>0</v>
      </c>
      <c r="X737">
        <f t="shared" si="280"/>
        <v>0</v>
      </c>
      <c r="Y737">
        <f t="shared" si="281"/>
        <v>0</v>
      </c>
      <c r="Z737">
        <f t="shared" si="282"/>
        <v>0</v>
      </c>
      <c r="AA737">
        <f t="shared" ref="AA737" si="327">IF(MAX(P737:U737)=U737, 1, 0)</f>
        <v>0</v>
      </c>
      <c r="AC737">
        <f t="shared" si="321"/>
        <v>237483.97042285296</v>
      </c>
      <c r="AD737">
        <f t="shared" si="322"/>
        <v>236674.51931512562</v>
      </c>
      <c r="AE737">
        <f t="shared" si="323"/>
        <v>234840.61183451835</v>
      </c>
      <c r="AF737">
        <f t="shared" si="324"/>
        <v>234862.7403849368</v>
      </c>
      <c r="AG737">
        <f t="shared" si="325"/>
        <v>233269.88256515696</v>
      </c>
      <c r="AH737">
        <f t="shared" si="326"/>
        <v>231441.76532150968</v>
      </c>
      <c r="AI737">
        <f t="shared" si="289"/>
        <v>237483.97042285296</v>
      </c>
    </row>
    <row r="738" spans="2:35" x14ac:dyDescent="0.3">
      <c r="B738">
        <v>695</v>
      </c>
      <c r="C738">
        <v>75043.323999999993</v>
      </c>
      <c r="D738">
        <v>73899.767500000002</v>
      </c>
      <c r="E738">
        <v>73985.046900000001</v>
      </c>
      <c r="F738">
        <v>73897.395399999994</v>
      </c>
      <c r="G738">
        <v>73981.553799999994</v>
      </c>
      <c r="H738">
        <v>74084.819099999993</v>
      </c>
      <c r="I738">
        <v>10.22245108413564</v>
      </c>
      <c r="J738">
        <v>10.189235032572736</v>
      </c>
      <c r="K738">
        <v>10.168620086320523</v>
      </c>
      <c r="L738">
        <v>10.15500634589918</v>
      </c>
      <c r="M738">
        <v>10.131540020000797</v>
      </c>
      <c r="N738">
        <v>10.104030412678551</v>
      </c>
      <c r="P738">
        <f t="shared" si="299"/>
        <v>231630.2085240692</v>
      </c>
      <c r="Q738">
        <f t="shared" si="300"/>
        <v>231777.28347718203</v>
      </c>
      <c r="R738">
        <f t="shared" si="301"/>
        <v>231073.55568961566</v>
      </c>
      <c r="S738">
        <f t="shared" si="302"/>
        <v>230752.79497697542</v>
      </c>
      <c r="T738">
        <f t="shared" si="303"/>
        <v>229964.64680002391</v>
      </c>
      <c r="U738">
        <f t="shared" si="304"/>
        <v>229036.09328035652</v>
      </c>
      <c r="V738">
        <f t="shared" ref="V738:V801" si="328">IF(MAX(P738:U738)=P738, 1, 0)</f>
        <v>0</v>
      </c>
      <c r="W738">
        <f t="shared" ref="W738:W801" si="329">IF(MAX(P738:U738)=Q738, 1, 0)</f>
        <v>1</v>
      </c>
      <c r="X738">
        <f t="shared" ref="X738:X801" si="330">IF(MAX(P738:U738)=R738, 1, 0)</f>
        <v>0</v>
      </c>
      <c r="Y738">
        <f t="shared" ref="Y738:Y801" si="331">IF(MAX(P738:U738)=S738, 1, 0)</f>
        <v>0</v>
      </c>
      <c r="Z738">
        <f t="shared" ref="Z738:Z801" si="332">IF(MAX(P738:U738)=T738, 1, 0)</f>
        <v>0</v>
      </c>
      <c r="AC738">
        <f t="shared" si="321"/>
        <v>231630.2085240692</v>
      </c>
      <c r="AD738">
        <f t="shared" si="322"/>
        <v>231777.28347718203</v>
      </c>
      <c r="AE738">
        <f t="shared" si="323"/>
        <v>231073.55568961566</v>
      </c>
      <c r="AF738">
        <f t="shared" si="324"/>
        <v>230752.79497697542</v>
      </c>
      <c r="AG738">
        <f t="shared" si="325"/>
        <v>229964.64680002391</v>
      </c>
      <c r="AH738">
        <f t="shared" si="326"/>
        <v>229036.09328035652</v>
      </c>
      <c r="AI738">
        <f t="shared" si="289"/>
        <v>231777.28347718203</v>
      </c>
    </row>
    <row r="739" spans="2:35" x14ac:dyDescent="0.3">
      <c r="B739">
        <v>696</v>
      </c>
      <c r="C739">
        <v>78286.223199999993</v>
      </c>
      <c r="D739">
        <v>77981.257800000007</v>
      </c>
      <c r="E739">
        <v>78814.030599999998</v>
      </c>
      <c r="F739">
        <v>78617.202799999999</v>
      </c>
      <c r="G739">
        <v>79640.125400000004</v>
      </c>
      <c r="H739">
        <v>80584.646599999993</v>
      </c>
      <c r="I739">
        <v>10.892921469187455</v>
      </c>
      <c r="J739">
        <v>10.848862842389602</v>
      </c>
      <c r="K739">
        <v>10.817050326558755</v>
      </c>
      <c r="L739">
        <v>10.806989926699794</v>
      </c>
      <c r="M739">
        <v>10.761979391442946</v>
      </c>
      <c r="N739">
        <v>10.727746055063474</v>
      </c>
      <c r="P739">
        <f t="shared" si="299"/>
        <v>248501.42087562365</v>
      </c>
      <c r="Q739">
        <f t="shared" si="300"/>
        <v>247484.62747168803</v>
      </c>
      <c r="R739">
        <f t="shared" si="301"/>
        <v>245697.47919676267</v>
      </c>
      <c r="S739">
        <f t="shared" si="302"/>
        <v>245592.4950009938</v>
      </c>
      <c r="T739">
        <f t="shared" si="303"/>
        <v>243219.25634328835</v>
      </c>
      <c r="U739">
        <f t="shared" si="304"/>
        <v>241247.73505190422</v>
      </c>
      <c r="V739">
        <f t="shared" si="328"/>
        <v>1</v>
      </c>
      <c r="W739">
        <f t="shared" si="329"/>
        <v>0</v>
      </c>
      <c r="X739">
        <f t="shared" si="330"/>
        <v>0</v>
      </c>
      <c r="Y739">
        <f t="shared" si="331"/>
        <v>0</v>
      </c>
      <c r="Z739">
        <f t="shared" si="332"/>
        <v>0</v>
      </c>
      <c r="AA739">
        <f t="shared" ref="AA739" si="333">IF(MAX(P739:U739)=U739, 1, 0)</f>
        <v>0</v>
      </c>
      <c r="AC739">
        <f t="shared" si="321"/>
        <v>248501.42087562365</v>
      </c>
      <c r="AD739">
        <f t="shared" si="322"/>
        <v>247484.62747168803</v>
      </c>
      <c r="AE739">
        <f t="shared" si="323"/>
        <v>245697.47919676267</v>
      </c>
      <c r="AF739">
        <f t="shared" si="324"/>
        <v>245592.4950009938</v>
      </c>
      <c r="AG739">
        <f t="shared" si="325"/>
        <v>243219.25634328835</v>
      </c>
      <c r="AH739">
        <f t="shared" si="326"/>
        <v>241247.73505190422</v>
      </c>
      <c r="AI739">
        <f t="shared" si="289"/>
        <v>248501.42087562365</v>
      </c>
    </row>
    <row r="740" spans="2:35" x14ac:dyDescent="0.3">
      <c r="B740">
        <v>697</v>
      </c>
      <c r="C740">
        <v>80043.0579</v>
      </c>
      <c r="D740">
        <v>78958.082999999999</v>
      </c>
      <c r="E740">
        <v>79110.201100000006</v>
      </c>
      <c r="F740">
        <v>79053.9427</v>
      </c>
      <c r="G740">
        <v>79295.106400000004</v>
      </c>
      <c r="H740">
        <v>79330.252600000007</v>
      </c>
      <c r="I740">
        <v>10.172432339438695</v>
      </c>
      <c r="J740">
        <v>10.113973471483529</v>
      </c>
      <c r="K740">
        <v>10.082058638036557</v>
      </c>
      <c r="L740">
        <v>10.062698774589004</v>
      </c>
      <c r="M740">
        <v>10.027547027279963</v>
      </c>
      <c r="N740">
        <v>9.986737294920605</v>
      </c>
      <c r="P740">
        <f t="shared" si="299"/>
        <v>225129.91228316084</v>
      </c>
      <c r="Q740">
        <f t="shared" si="300"/>
        <v>224461.12114450592</v>
      </c>
      <c r="R740">
        <f t="shared" si="301"/>
        <v>223351.55804109672</v>
      </c>
      <c r="S740">
        <f t="shared" si="302"/>
        <v>222827.02053767012</v>
      </c>
      <c r="T740">
        <f t="shared" si="303"/>
        <v>221531.30441839894</v>
      </c>
      <c r="U740">
        <f t="shared" si="304"/>
        <v>220271.86624761816</v>
      </c>
      <c r="V740">
        <f t="shared" si="328"/>
        <v>1</v>
      </c>
      <c r="W740">
        <f t="shared" si="329"/>
        <v>0</v>
      </c>
      <c r="X740">
        <f t="shared" si="330"/>
        <v>0</v>
      </c>
      <c r="Y740">
        <f t="shared" si="331"/>
        <v>0</v>
      </c>
      <c r="Z740">
        <f t="shared" si="332"/>
        <v>0</v>
      </c>
      <c r="AC740">
        <f t="shared" si="321"/>
        <v>225129.91228316084</v>
      </c>
      <c r="AD740">
        <f t="shared" si="322"/>
        <v>224461.12114450592</v>
      </c>
      <c r="AE740">
        <f t="shared" si="323"/>
        <v>223351.55804109672</v>
      </c>
      <c r="AF740">
        <f t="shared" si="324"/>
        <v>222827.02053767012</v>
      </c>
      <c r="AG740">
        <f t="shared" si="325"/>
        <v>221531.30441839894</v>
      </c>
      <c r="AH740">
        <f t="shared" si="326"/>
        <v>220271.86624761816</v>
      </c>
      <c r="AI740">
        <f t="shared" si="289"/>
        <v>225129.91228316084</v>
      </c>
    </row>
    <row r="741" spans="2:35" x14ac:dyDescent="0.3">
      <c r="B741">
        <v>698</v>
      </c>
      <c r="C741">
        <v>81335.1639</v>
      </c>
      <c r="D741">
        <v>80897.916599999997</v>
      </c>
      <c r="E741">
        <v>81311.736499999999</v>
      </c>
      <c r="F741">
        <v>81533.401599999997</v>
      </c>
      <c r="G741">
        <v>81905.9761</v>
      </c>
      <c r="H741">
        <v>82594.453099999999</v>
      </c>
      <c r="I741">
        <v>10.604403882785373</v>
      </c>
      <c r="J741">
        <v>10.575182774432891</v>
      </c>
      <c r="K741">
        <v>10.561274181525219</v>
      </c>
      <c r="L741">
        <v>10.554818491953325</v>
      </c>
      <c r="M741">
        <v>10.533987216478144</v>
      </c>
      <c r="N741">
        <v>10.51106169793859</v>
      </c>
      <c r="P741">
        <f t="shared" si="299"/>
        <v>236796.95258356119</v>
      </c>
      <c r="Q741">
        <f t="shared" si="300"/>
        <v>236357.56663298671</v>
      </c>
      <c r="R741">
        <f t="shared" si="301"/>
        <v>235526.48894575657</v>
      </c>
      <c r="S741">
        <f t="shared" si="302"/>
        <v>235111.1531585998</v>
      </c>
      <c r="T741">
        <f t="shared" si="303"/>
        <v>234113.64039434431</v>
      </c>
      <c r="U741">
        <f t="shared" si="304"/>
        <v>232737.39783815772</v>
      </c>
      <c r="V741">
        <f t="shared" si="328"/>
        <v>1</v>
      </c>
      <c r="W741">
        <f t="shared" si="329"/>
        <v>0</v>
      </c>
      <c r="X741">
        <f t="shared" si="330"/>
        <v>0</v>
      </c>
      <c r="Y741">
        <f t="shared" si="331"/>
        <v>0</v>
      </c>
      <c r="Z741">
        <f t="shared" si="332"/>
        <v>0</v>
      </c>
      <c r="AA741">
        <f t="shared" ref="AA741" si="334">IF(MAX(P741:U741)=U741, 1, 0)</f>
        <v>0</v>
      </c>
      <c r="AC741">
        <f t="shared" si="321"/>
        <v>236796.95258356119</v>
      </c>
      <c r="AD741">
        <f t="shared" si="322"/>
        <v>236357.56663298671</v>
      </c>
      <c r="AE741">
        <f t="shared" si="323"/>
        <v>235526.48894575657</v>
      </c>
      <c r="AF741">
        <f t="shared" si="324"/>
        <v>235111.1531585998</v>
      </c>
      <c r="AG741">
        <f t="shared" si="325"/>
        <v>234113.64039434431</v>
      </c>
      <c r="AH741">
        <f t="shared" si="326"/>
        <v>232737.39783815772</v>
      </c>
      <c r="AI741">
        <f t="shared" si="289"/>
        <v>236796.95258356119</v>
      </c>
    </row>
    <row r="742" spans="2:35" x14ac:dyDescent="0.3">
      <c r="B742">
        <v>699</v>
      </c>
      <c r="C742">
        <v>69623.998099999997</v>
      </c>
      <c r="D742">
        <v>68449.193700000003</v>
      </c>
      <c r="E742">
        <v>68513.816200000001</v>
      </c>
      <c r="F742">
        <v>68153.132400000002</v>
      </c>
      <c r="G742">
        <v>68297.422399999996</v>
      </c>
      <c r="H742">
        <v>68276.6103</v>
      </c>
      <c r="I742">
        <v>10.633760718000428</v>
      </c>
      <c r="J742">
        <v>10.572292733161433</v>
      </c>
      <c r="K742">
        <v>10.536781597979534</v>
      </c>
      <c r="L742">
        <v>10.524483718019685</v>
      </c>
      <c r="M742">
        <v>10.485691126980582</v>
      </c>
      <c r="N742">
        <v>10.439206987359901</v>
      </c>
      <c r="P742">
        <f t="shared" si="299"/>
        <v>249388.82344001284</v>
      </c>
      <c r="Q742">
        <f t="shared" si="300"/>
        <v>248719.58829484298</v>
      </c>
      <c r="R742">
        <f t="shared" si="301"/>
        <v>247589.63173938601</v>
      </c>
      <c r="S742">
        <f t="shared" si="302"/>
        <v>247581.37914059055</v>
      </c>
      <c r="T742">
        <f t="shared" si="303"/>
        <v>246273.31140941748</v>
      </c>
      <c r="U742">
        <f t="shared" si="304"/>
        <v>244899.59932079702</v>
      </c>
      <c r="V742">
        <f t="shared" si="328"/>
        <v>1</v>
      </c>
      <c r="W742">
        <f t="shared" si="329"/>
        <v>0</v>
      </c>
      <c r="X742">
        <f t="shared" si="330"/>
        <v>0</v>
      </c>
      <c r="Y742">
        <f t="shared" si="331"/>
        <v>0</v>
      </c>
      <c r="Z742">
        <f t="shared" si="332"/>
        <v>0</v>
      </c>
      <c r="AC742">
        <f t="shared" si="321"/>
        <v>249388.82344001284</v>
      </c>
      <c r="AD742">
        <f t="shared" si="322"/>
        <v>248719.58829484298</v>
      </c>
      <c r="AE742">
        <f t="shared" si="323"/>
        <v>247589.63173938601</v>
      </c>
      <c r="AF742">
        <f t="shared" si="324"/>
        <v>247581.37914059055</v>
      </c>
      <c r="AG742">
        <f t="shared" si="325"/>
        <v>246273.31140941748</v>
      </c>
      <c r="AH742">
        <f t="shared" si="326"/>
        <v>244899.59932079702</v>
      </c>
      <c r="AI742">
        <f t="shared" si="289"/>
        <v>249388.82344001284</v>
      </c>
    </row>
    <row r="743" spans="2:35" x14ac:dyDescent="0.3">
      <c r="B743">
        <v>700</v>
      </c>
      <c r="C743">
        <v>82286.534700000004</v>
      </c>
      <c r="D743">
        <v>82524.716400000005</v>
      </c>
      <c r="E743">
        <v>83456.606599999999</v>
      </c>
      <c r="F743">
        <v>83983.032399999996</v>
      </c>
      <c r="G743">
        <v>84808.841899999999</v>
      </c>
      <c r="H743">
        <v>86011.022700000001</v>
      </c>
      <c r="I743">
        <v>9.2990782263551903</v>
      </c>
      <c r="J743">
        <v>9.264914443850925</v>
      </c>
      <c r="K743">
        <v>9.246730775441792</v>
      </c>
      <c r="L743">
        <v>9.2327880266591436</v>
      </c>
      <c r="M743">
        <v>9.208097483070512</v>
      </c>
      <c r="N743">
        <v>9.1823288034097796</v>
      </c>
      <c r="P743">
        <f t="shared" si="299"/>
        <v>196685.81209065567</v>
      </c>
      <c r="Q743">
        <f t="shared" si="300"/>
        <v>195422.71691552774</v>
      </c>
      <c r="R743">
        <f t="shared" si="301"/>
        <v>193945.31666325376</v>
      </c>
      <c r="S743">
        <f t="shared" si="302"/>
        <v>193000.60839977433</v>
      </c>
      <c r="T743">
        <f t="shared" si="303"/>
        <v>191434.08259211539</v>
      </c>
      <c r="U743">
        <f t="shared" si="304"/>
        <v>189458.84140229339</v>
      </c>
      <c r="V743">
        <f t="shared" si="328"/>
        <v>1</v>
      </c>
      <c r="W743">
        <f t="shared" si="329"/>
        <v>0</v>
      </c>
      <c r="X743">
        <f t="shared" si="330"/>
        <v>0</v>
      </c>
      <c r="Y743">
        <f t="shared" si="331"/>
        <v>0</v>
      </c>
      <c r="Z743">
        <f t="shared" si="332"/>
        <v>0</v>
      </c>
      <c r="AA743">
        <f t="shared" ref="AA743" si="335">IF(MAX(P743:U743)=U743, 1, 0)</f>
        <v>0</v>
      </c>
      <c r="AC743">
        <f t="shared" si="321"/>
        <v>196685.81209065567</v>
      </c>
      <c r="AD743">
        <f t="shared" si="322"/>
        <v>195422.71691552774</v>
      </c>
      <c r="AE743">
        <f t="shared" si="323"/>
        <v>193945.31666325376</v>
      </c>
      <c r="AF743">
        <f t="shared" si="324"/>
        <v>193000.60839977433</v>
      </c>
      <c r="AG743">
        <f t="shared" si="325"/>
        <v>191434.08259211539</v>
      </c>
      <c r="AH743">
        <f t="shared" si="326"/>
        <v>189458.84140229339</v>
      </c>
      <c r="AI743">
        <f t="shared" si="289"/>
        <v>196685.81209065567</v>
      </c>
    </row>
    <row r="744" spans="2:35" x14ac:dyDescent="0.3">
      <c r="B744">
        <v>701</v>
      </c>
      <c r="C744">
        <v>89728.628400000001</v>
      </c>
      <c r="D744">
        <v>88701.842000000004</v>
      </c>
      <c r="E744">
        <v>88878.277499999997</v>
      </c>
      <c r="F744">
        <v>88696.847899999993</v>
      </c>
      <c r="G744">
        <v>89008.751799999998</v>
      </c>
      <c r="H744">
        <v>89136.959400000007</v>
      </c>
      <c r="I744">
        <v>9.8042502366761006</v>
      </c>
      <c r="J744">
        <v>9.7700946786513772</v>
      </c>
      <c r="K744">
        <v>9.7598599888227611</v>
      </c>
      <c r="L744">
        <v>9.7484623735177021</v>
      </c>
      <c r="M744">
        <v>9.7256981985271054</v>
      </c>
      <c r="N744">
        <v>9.6978409580548828</v>
      </c>
      <c r="P744">
        <f t="shared" si="299"/>
        <v>204398.87870028301</v>
      </c>
      <c r="Q744">
        <f t="shared" si="300"/>
        <v>204400.99835954129</v>
      </c>
      <c r="R744">
        <f t="shared" si="301"/>
        <v>203917.52216468283</v>
      </c>
      <c r="S744">
        <f t="shared" si="302"/>
        <v>203757.02330553107</v>
      </c>
      <c r="T744">
        <f t="shared" si="303"/>
        <v>202762.19415581317</v>
      </c>
      <c r="U744">
        <f t="shared" si="304"/>
        <v>201798.26934164652</v>
      </c>
      <c r="V744">
        <f t="shared" si="328"/>
        <v>0</v>
      </c>
      <c r="W744">
        <f t="shared" si="329"/>
        <v>1</v>
      </c>
      <c r="X744">
        <f t="shared" si="330"/>
        <v>0</v>
      </c>
      <c r="Y744">
        <f t="shared" si="331"/>
        <v>0</v>
      </c>
      <c r="Z744">
        <f t="shared" si="332"/>
        <v>0</v>
      </c>
      <c r="AC744">
        <f t="shared" si="321"/>
        <v>204398.87870028301</v>
      </c>
      <c r="AD744">
        <f t="shared" si="322"/>
        <v>204400.99835954129</v>
      </c>
      <c r="AE744">
        <f t="shared" si="323"/>
        <v>203917.52216468283</v>
      </c>
      <c r="AF744">
        <f t="shared" si="324"/>
        <v>203757.02330553107</v>
      </c>
      <c r="AG744">
        <f t="shared" si="325"/>
        <v>202762.19415581317</v>
      </c>
      <c r="AH744">
        <f t="shared" si="326"/>
        <v>201798.26934164652</v>
      </c>
      <c r="AI744">
        <f t="shared" si="289"/>
        <v>204400.99835954129</v>
      </c>
    </row>
    <row r="745" spans="2:35" x14ac:dyDescent="0.3">
      <c r="B745">
        <v>702</v>
      </c>
      <c r="C745">
        <v>80131.367400000003</v>
      </c>
      <c r="D745">
        <v>79963.338199999998</v>
      </c>
      <c r="E745">
        <v>80651.496799999994</v>
      </c>
      <c r="F745">
        <v>81116.679000000004</v>
      </c>
      <c r="G745">
        <v>81568.416299999997</v>
      </c>
      <c r="H745">
        <v>82360.813999999998</v>
      </c>
      <c r="I745">
        <v>9.0290315482214378</v>
      </c>
      <c r="J745">
        <v>8.9906177641991185</v>
      </c>
      <c r="K745">
        <v>8.967688555826383</v>
      </c>
      <c r="L745">
        <v>8.9537535856880321</v>
      </c>
      <c r="M745">
        <v>8.9319286619374054</v>
      </c>
      <c r="N745">
        <v>8.9040553035127488</v>
      </c>
      <c r="P745">
        <f t="shared" si="299"/>
        <v>190739.57904664316</v>
      </c>
      <c r="Q745">
        <f t="shared" si="300"/>
        <v>189755.19472597353</v>
      </c>
      <c r="R745">
        <f t="shared" si="301"/>
        <v>188379.15987479148</v>
      </c>
      <c r="S745">
        <f t="shared" si="302"/>
        <v>187495.92857064097</v>
      </c>
      <c r="T745">
        <f t="shared" si="303"/>
        <v>186389.44355812221</v>
      </c>
      <c r="U745">
        <f t="shared" si="304"/>
        <v>184760.84510538244</v>
      </c>
      <c r="V745">
        <f t="shared" si="328"/>
        <v>1</v>
      </c>
      <c r="W745">
        <f t="shared" si="329"/>
        <v>0</v>
      </c>
      <c r="X745">
        <f t="shared" si="330"/>
        <v>0</v>
      </c>
      <c r="Y745">
        <f t="shared" si="331"/>
        <v>0</v>
      </c>
      <c r="Z745">
        <f t="shared" si="332"/>
        <v>0</v>
      </c>
      <c r="AA745">
        <f t="shared" ref="AA745" si="336">IF(MAX(P745:U745)=U745, 1, 0)</f>
        <v>0</v>
      </c>
      <c r="AC745">
        <f t="shared" si="321"/>
        <v>190739.57904664316</v>
      </c>
      <c r="AD745">
        <f t="shared" si="322"/>
        <v>189755.19472597353</v>
      </c>
      <c r="AE745">
        <f t="shared" si="323"/>
        <v>188379.15987479148</v>
      </c>
      <c r="AF745">
        <f t="shared" si="324"/>
        <v>187495.92857064097</v>
      </c>
      <c r="AG745">
        <f t="shared" si="325"/>
        <v>186389.44355812221</v>
      </c>
      <c r="AH745">
        <f t="shared" si="326"/>
        <v>184760.84510538244</v>
      </c>
      <c r="AI745">
        <f t="shared" si="289"/>
        <v>190739.57904664316</v>
      </c>
    </row>
    <row r="746" spans="2:35" x14ac:dyDescent="0.3">
      <c r="B746">
        <v>703</v>
      </c>
      <c r="C746">
        <v>77752.862999999998</v>
      </c>
      <c r="D746">
        <v>77027.775599999994</v>
      </c>
      <c r="E746">
        <v>77514.562699999995</v>
      </c>
      <c r="F746">
        <v>77302.882500000007</v>
      </c>
      <c r="G746">
        <v>77628.526800000007</v>
      </c>
      <c r="H746">
        <v>78223.755499999999</v>
      </c>
      <c r="I746">
        <v>9.4542763135396992</v>
      </c>
      <c r="J746">
        <v>9.4184257206106441</v>
      </c>
      <c r="K746">
        <v>9.3953712931238531</v>
      </c>
      <c r="L746">
        <v>9.3927508721058643</v>
      </c>
      <c r="M746">
        <v>9.3593829179115495</v>
      </c>
      <c r="N746">
        <v>9.3328893275910545</v>
      </c>
      <c r="P746">
        <f t="shared" si="299"/>
        <v>205875.42640619096</v>
      </c>
      <c r="Q746">
        <f t="shared" si="300"/>
        <v>205524.99601831933</v>
      </c>
      <c r="R746">
        <f t="shared" si="301"/>
        <v>204346.57609371556</v>
      </c>
      <c r="S746">
        <f t="shared" si="302"/>
        <v>204479.64366317593</v>
      </c>
      <c r="T746">
        <f t="shared" si="303"/>
        <v>203152.9607373465</v>
      </c>
      <c r="U746">
        <f t="shared" si="304"/>
        <v>201762.92432773163</v>
      </c>
      <c r="V746">
        <f t="shared" si="328"/>
        <v>1</v>
      </c>
      <c r="W746">
        <f t="shared" si="329"/>
        <v>0</v>
      </c>
      <c r="X746">
        <f t="shared" si="330"/>
        <v>0</v>
      </c>
      <c r="Y746">
        <f t="shared" si="331"/>
        <v>0</v>
      </c>
      <c r="Z746">
        <f t="shared" si="332"/>
        <v>0</v>
      </c>
      <c r="AC746">
        <f t="shared" si="321"/>
        <v>205875.42640619096</v>
      </c>
      <c r="AD746">
        <f t="shared" si="322"/>
        <v>205524.99601831933</v>
      </c>
      <c r="AE746">
        <f t="shared" si="323"/>
        <v>204346.57609371556</v>
      </c>
      <c r="AF746">
        <f t="shared" si="324"/>
        <v>204479.64366317593</v>
      </c>
      <c r="AG746">
        <f t="shared" si="325"/>
        <v>203152.9607373465</v>
      </c>
      <c r="AH746">
        <f t="shared" si="326"/>
        <v>201762.92432773163</v>
      </c>
      <c r="AI746">
        <f t="shared" si="289"/>
        <v>205875.42640619096</v>
      </c>
    </row>
    <row r="747" spans="2:35" x14ac:dyDescent="0.3">
      <c r="B747">
        <v>704</v>
      </c>
      <c r="C747">
        <v>74454.871599999999</v>
      </c>
      <c r="D747">
        <v>74087.233200000002</v>
      </c>
      <c r="E747">
        <v>74604.731400000004</v>
      </c>
      <c r="F747">
        <v>74632.159100000004</v>
      </c>
      <c r="G747">
        <v>75069.569099999993</v>
      </c>
      <c r="H747">
        <v>75761.213799999998</v>
      </c>
      <c r="I747">
        <v>9.4528230253885503</v>
      </c>
      <c r="J747">
        <v>9.4314415512805763</v>
      </c>
      <c r="K747">
        <v>9.4194321525932061</v>
      </c>
      <c r="L747">
        <v>9.4105904843167831</v>
      </c>
      <c r="M747">
        <v>9.3965322616921938</v>
      </c>
      <c r="N747">
        <v>9.3774301791425643</v>
      </c>
      <c r="P747">
        <f t="shared" si="299"/>
        <v>209129.81916165649</v>
      </c>
      <c r="Q747">
        <f t="shared" si="300"/>
        <v>208856.01333841728</v>
      </c>
      <c r="R747">
        <f t="shared" si="301"/>
        <v>207978.23317779618</v>
      </c>
      <c r="S747">
        <f t="shared" si="302"/>
        <v>207685.5554295035</v>
      </c>
      <c r="T747">
        <f t="shared" si="303"/>
        <v>206826.3987507658</v>
      </c>
      <c r="U747">
        <f t="shared" si="304"/>
        <v>205561.69157427692</v>
      </c>
      <c r="V747">
        <f t="shared" si="328"/>
        <v>1</v>
      </c>
      <c r="W747">
        <f t="shared" si="329"/>
        <v>0</v>
      </c>
      <c r="X747">
        <f t="shared" si="330"/>
        <v>0</v>
      </c>
      <c r="Y747">
        <f t="shared" si="331"/>
        <v>0</v>
      </c>
      <c r="Z747">
        <f t="shared" si="332"/>
        <v>0</v>
      </c>
      <c r="AA747">
        <f t="shared" ref="AA747" si="337">IF(MAX(P747:U747)=U747, 1, 0)</f>
        <v>0</v>
      </c>
      <c r="AC747">
        <f t="shared" si="321"/>
        <v>209129.81916165649</v>
      </c>
      <c r="AD747">
        <f t="shared" si="322"/>
        <v>208856.01333841728</v>
      </c>
      <c r="AE747">
        <f t="shared" si="323"/>
        <v>207978.23317779618</v>
      </c>
      <c r="AF747">
        <f t="shared" si="324"/>
        <v>207685.5554295035</v>
      </c>
      <c r="AG747">
        <f t="shared" si="325"/>
        <v>206826.3987507658</v>
      </c>
      <c r="AH747">
        <f t="shared" si="326"/>
        <v>205561.69157427692</v>
      </c>
      <c r="AI747">
        <f t="shared" si="289"/>
        <v>209129.81916165649</v>
      </c>
    </row>
    <row r="748" spans="2:35" x14ac:dyDescent="0.3">
      <c r="B748">
        <v>705</v>
      </c>
      <c r="C748">
        <v>70922.281300000002</v>
      </c>
      <c r="D748">
        <v>70430.683999999994</v>
      </c>
      <c r="E748">
        <v>71057.578299999994</v>
      </c>
      <c r="F748">
        <v>71209.280599999998</v>
      </c>
      <c r="G748">
        <v>71973.636700000003</v>
      </c>
      <c r="H748">
        <v>72422.873099999997</v>
      </c>
      <c r="I748">
        <v>9.2861425564175022</v>
      </c>
      <c r="J748">
        <v>9.2636517542205024</v>
      </c>
      <c r="K748">
        <v>9.2418169623883841</v>
      </c>
      <c r="L748">
        <v>9.2321800358363362</v>
      </c>
      <c r="M748">
        <v>9.2095381338468751</v>
      </c>
      <c r="N748">
        <v>9.191864905765355</v>
      </c>
      <c r="P748">
        <f t="shared" si="299"/>
        <v>207661.99539252507</v>
      </c>
      <c r="Q748">
        <f t="shared" si="300"/>
        <v>207478.86862661509</v>
      </c>
      <c r="R748">
        <f t="shared" si="301"/>
        <v>206196.93057165155</v>
      </c>
      <c r="S748">
        <f t="shared" si="302"/>
        <v>205756.12047509011</v>
      </c>
      <c r="T748">
        <f t="shared" si="303"/>
        <v>204312.50731540626</v>
      </c>
      <c r="U748">
        <f t="shared" si="304"/>
        <v>203333.07407296068</v>
      </c>
      <c r="V748">
        <f t="shared" si="328"/>
        <v>1</v>
      </c>
      <c r="W748">
        <f t="shared" si="329"/>
        <v>0</v>
      </c>
      <c r="X748">
        <f t="shared" si="330"/>
        <v>0</v>
      </c>
      <c r="Y748">
        <f t="shared" si="331"/>
        <v>0</v>
      </c>
      <c r="Z748">
        <f t="shared" si="332"/>
        <v>0</v>
      </c>
      <c r="AC748">
        <f t="shared" si="321"/>
        <v>207661.99539252507</v>
      </c>
      <c r="AD748">
        <f t="shared" si="322"/>
        <v>207478.86862661509</v>
      </c>
      <c r="AE748">
        <f t="shared" si="323"/>
        <v>206196.93057165155</v>
      </c>
      <c r="AF748">
        <f t="shared" si="324"/>
        <v>205756.12047509011</v>
      </c>
      <c r="AG748">
        <f t="shared" si="325"/>
        <v>204312.50731540626</v>
      </c>
      <c r="AH748">
        <f t="shared" si="326"/>
        <v>203333.07407296068</v>
      </c>
      <c r="AI748">
        <f t="shared" si="289"/>
        <v>207661.99539252507</v>
      </c>
    </row>
    <row r="749" spans="2:35" x14ac:dyDescent="0.3">
      <c r="B749">
        <v>706</v>
      </c>
      <c r="C749">
        <v>70920.482699999993</v>
      </c>
      <c r="D749">
        <v>70721.675199999998</v>
      </c>
      <c r="E749">
        <v>71793.270999999993</v>
      </c>
      <c r="F749">
        <v>71865.056800000006</v>
      </c>
      <c r="G749">
        <v>72858.357900000003</v>
      </c>
      <c r="H749">
        <v>73995.779699999999</v>
      </c>
      <c r="I749">
        <v>11.240864722951244</v>
      </c>
      <c r="J749">
        <v>11.21928241141948</v>
      </c>
      <c r="K749">
        <v>11.20390815020229</v>
      </c>
      <c r="L749">
        <v>11.198274760972186</v>
      </c>
      <c r="M749">
        <v>11.178836798100287</v>
      </c>
      <c r="N749">
        <v>11.162398827458258</v>
      </c>
      <c r="P749">
        <f t="shared" si="299"/>
        <v>266305.45898853731</v>
      </c>
      <c r="Q749">
        <f t="shared" si="300"/>
        <v>265856.7971425844</v>
      </c>
      <c r="R749">
        <f t="shared" si="301"/>
        <v>264323.97350606869</v>
      </c>
      <c r="S749">
        <f t="shared" si="302"/>
        <v>264083.18602916558</v>
      </c>
      <c r="T749">
        <f t="shared" si="303"/>
        <v>262506.74604300858</v>
      </c>
      <c r="U749">
        <f t="shared" si="304"/>
        <v>260876.18512374774</v>
      </c>
      <c r="V749">
        <f t="shared" si="328"/>
        <v>1</v>
      </c>
      <c r="W749">
        <f t="shared" si="329"/>
        <v>0</v>
      </c>
      <c r="X749">
        <f t="shared" si="330"/>
        <v>0</v>
      </c>
      <c r="Y749">
        <f t="shared" si="331"/>
        <v>0</v>
      </c>
      <c r="Z749">
        <f t="shared" si="332"/>
        <v>0</v>
      </c>
      <c r="AA749">
        <f t="shared" ref="AA749" si="338">IF(MAX(P749:U749)=U749, 1, 0)</f>
        <v>0</v>
      </c>
      <c r="AC749">
        <f t="shared" si="321"/>
        <v>266305.45898853731</v>
      </c>
      <c r="AD749">
        <f t="shared" si="322"/>
        <v>265856.7971425844</v>
      </c>
      <c r="AE749">
        <f t="shared" si="323"/>
        <v>264323.97350606869</v>
      </c>
      <c r="AF749">
        <f t="shared" si="324"/>
        <v>264083.18602916558</v>
      </c>
      <c r="AG749">
        <f t="shared" si="325"/>
        <v>262506.74604300858</v>
      </c>
      <c r="AH749">
        <f t="shared" si="326"/>
        <v>260876.18512374774</v>
      </c>
      <c r="AI749">
        <f t="shared" ref="AI749:AI812" si="339">MAX(AC749:AH749)</f>
        <v>266305.45898853731</v>
      </c>
    </row>
    <row r="750" spans="2:35" x14ac:dyDescent="0.3">
      <c r="B750">
        <v>707</v>
      </c>
      <c r="C750">
        <v>76809.608999999997</v>
      </c>
      <c r="D750">
        <v>75904.6014</v>
      </c>
      <c r="E750">
        <v>76124.911800000002</v>
      </c>
      <c r="F750">
        <v>75991.193400000004</v>
      </c>
      <c r="G750">
        <v>76184.901400000002</v>
      </c>
      <c r="H750">
        <v>76627.417199999996</v>
      </c>
      <c r="I750">
        <v>10.151505055040804</v>
      </c>
      <c r="J750">
        <v>10.120404005783346</v>
      </c>
      <c r="K750">
        <v>10.099012093437299</v>
      </c>
      <c r="L750">
        <v>10.089225808907774</v>
      </c>
      <c r="M750">
        <v>10.06543557448399</v>
      </c>
      <c r="N750">
        <v>10.039911117174741</v>
      </c>
      <c r="P750">
        <f t="shared" si="299"/>
        <v>227735.54265122412</v>
      </c>
      <c r="Q750">
        <f t="shared" si="300"/>
        <v>227707.5187735004</v>
      </c>
      <c r="R750">
        <f t="shared" si="301"/>
        <v>226845.45100311894</v>
      </c>
      <c r="S750">
        <f t="shared" si="302"/>
        <v>226685.58086723322</v>
      </c>
      <c r="T750">
        <f t="shared" si="303"/>
        <v>225778.16583451969</v>
      </c>
      <c r="U750">
        <f t="shared" si="304"/>
        <v>224569.91631524221</v>
      </c>
      <c r="V750">
        <f t="shared" si="328"/>
        <v>1</v>
      </c>
      <c r="W750">
        <f t="shared" si="329"/>
        <v>0</v>
      </c>
      <c r="X750">
        <f t="shared" si="330"/>
        <v>0</v>
      </c>
      <c r="Y750">
        <f t="shared" si="331"/>
        <v>0</v>
      </c>
      <c r="Z750">
        <f t="shared" si="332"/>
        <v>0</v>
      </c>
      <c r="AC750">
        <f t="shared" si="321"/>
        <v>227735.54265122412</v>
      </c>
      <c r="AD750">
        <f t="shared" si="322"/>
        <v>227707.5187735004</v>
      </c>
      <c r="AE750">
        <f t="shared" si="323"/>
        <v>226845.45100311894</v>
      </c>
      <c r="AF750">
        <f t="shared" si="324"/>
        <v>226685.58086723322</v>
      </c>
      <c r="AG750">
        <f t="shared" si="325"/>
        <v>225778.16583451969</v>
      </c>
      <c r="AH750">
        <f t="shared" si="326"/>
        <v>224569.91631524221</v>
      </c>
      <c r="AI750">
        <f t="shared" si="339"/>
        <v>227735.54265122412</v>
      </c>
    </row>
    <row r="751" spans="2:35" x14ac:dyDescent="0.3">
      <c r="B751">
        <v>708</v>
      </c>
      <c r="C751">
        <v>76811.715200000006</v>
      </c>
      <c r="D751">
        <v>76050.263500000001</v>
      </c>
      <c r="E751">
        <v>76675.451199999996</v>
      </c>
      <c r="F751">
        <v>77063.721399999995</v>
      </c>
      <c r="G751">
        <v>77731.963199999998</v>
      </c>
      <c r="H751">
        <v>78104.898100000006</v>
      </c>
      <c r="I751">
        <v>10.255886167623251</v>
      </c>
      <c r="J751">
        <v>10.229844889994009</v>
      </c>
      <c r="K751">
        <v>10.206797349767657</v>
      </c>
      <c r="L751">
        <v>10.188753695981378</v>
      </c>
      <c r="M751">
        <v>10.169426048634374</v>
      </c>
      <c r="N751">
        <v>10.142869997817353</v>
      </c>
      <c r="P751">
        <f t="shared" si="299"/>
        <v>230864.8698286975</v>
      </c>
      <c r="Q751">
        <f t="shared" si="300"/>
        <v>230845.08319982025</v>
      </c>
      <c r="R751">
        <f t="shared" si="301"/>
        <v>229528.46929302969</v>
      </c>
      <c r="S751">
        <f t="shared" si="302"/>
        <v>228598.88947944134</v>
      </c>
      <c r="T751">
        <f t="shared" si="303"/>
        <v>227350.81825903122</v>
      </c>
      <c r="U751">
        <f t="shared" si="304"/>
        <v>226181.20183452062</v>
      </c>
      <c r="V751">
        <f t="shared" si="328"/>
        <v>1</v>
      </c>
      <c r="W751">
        <f t="shared" si="329"/>
        <v>0</v>
      </c>
      <c r="X751">
        <f t="shared" si="330"/>
        <v>0</v>
      </c>
      <c r="Y751">
        <f t="shared" si="331"/>
        <v>0</v>
      </c>
      <c r="Z751">
        <f t="shared" si="332"/>
        <v>0</v>
      </c>
      <c r="AA751">
        <f t="shared" ref="AA751" si="340">IF(MAX(P751:U751)=U751, 1, 0)</f>
        <v>0</v>
      </c>
      <c r="AC751">
        <f t="shared" si="321"/>
        <v>230864.8698286975</v>
      </c>
      <c r="AD751">
        <f t="shared" si="322"/>
        <v>230845.08319982025</v>
      </c>
      <c r="AE751">
        <f t="shared" si="323"/>
        <v>229528.46929302969</v>
      </c>
      <c r="AF751">
        <f t="shared" si="324"/>
        <v>228598.88947944134</v>
      </c>
      <c r="AG751">
        <f t="shared" si="325"/>
        <v>227350.81825903122</v>
      </c>
      <c r="AH751">
        <f t="shared" si="326"/>
        <v>226181.20183452062</v>
      </c>
      <c r="AI751">
        <f t="shared" si="339"/>
        <v>230864.8698286975</v>
      </c>
    </row>
    <row r="752" spans="2:35" x14ac:dyDescent="0.3">
      <c r="B752">
        <v>709</v>
      </c>
      <c r="C752">
        <v>69714.545499999993</v>
      </c>
      <c r="D752">
        <v>69674.093099999998</v>
      </c>
      <c r="E752">
        <v>70705.739799999996</v>
      </c>
      <c r="F752">
        <v>70755.590299999996</v>
      </c>
      <c r="G752">
        <v>71714.858300000007</v>
      </c>
      <c r="H752">
        <v>72384.656499999997</v>
      </c>
      <c r="I752">
        <v>9.57463642589342</v>
      </c>
      <c r="J752">
        <v>9.5462787498078914</v>
      </c>
      <c r="K752">
        <v>9.5211558900323841</v>
      </c>
      <c r="L752">
        <v>9.5136913097474043</v>
      </c>
      <c r="M752">
        <v>9.484784009635165</v>
      </c>
      <c r="N752">
        <v>9.4714246821809951</v>
      </c>
      <c r="P752">
        <f t="shared" si="299"/>
        <v>217524.54727680259</v>
      </c>
      <c r="Q752">
        <f t="shared" si="300"/>
        <v>216714.26939423673</v>
      </c>
      <c r="R752">
        <f t="shared" si="301"/>
        <v>214928.93690097152</v>
      </c>
      <c r="S752">
        <f t="shared" si="302"/>
        <v>214655.14899242215</v>
      </c>
      <c r="T752">
        <f t="shared" si="303"/>
        <v>212828.66198905493</v>
      </c>
      <c r="U752">
        <f t="shared" si="304"/>
        <v>211758.08396542986</v>
      </c>
      <c r="V752">
        <f t="shared" si="328"/>
        <v>1</v>
      </c>
      <c r="W752">
        <f t="shared" si="329"/>
        <v>0</v>
      </c>
      <c r="X752">
        <f t="shared" si="330"/>
        <v>0</v>
      </c>
      <c r="Y752">
        <f t="shared" si="331"/>
        <v>0</v>
      </c>
      <c r="Z752">
        <f t="shared" si="332"/>
        <v>0</v>
      </c>
      <c r="AC752">
        <f t="shared" si="321"/>
        <v>217524.54727680259</v>
      </c>
      <c r="AD752">
        <f t="shared" si="322"/>
        <v>216714.26939423673</v>
      </c>
      <c r="AE752">
        <f t="shared" si="323"/>
        <v>214928.93690097152</v>
      </c>
      <c r="AF752">
        <f t="shared" si="324"/>
        <v>214655.14899242215</v>
      </c>
      <c r="AG752">
        <f t="shared" si="325"/>
        <v>212828.66198905493</v>
      </c>
      <c r="AH752">
        <f t="shared" si="326"/>
        <v>211758.08396542986</v>
      </c>
      <c r="AI752">
        <f t="shared" si="339"/>
        <v>217524.54727680259</v>
      </c>
    </row>
    <row r="753" spans="2:35" x14ac:dyDescent="0.3">
      <c r="B753">
        <v>710</v>
      </c>
      <c r="C753">
        <v>67335.5579</v>
      </c>
      <c r="D753">
        <v>67894.155400000003</v>
      </c>
      <c r="E753">
        <v>69269.494300000006</v>
      </c>
      <c r="F753">
        <v>69968.305500000002</v>
      </c>
      <c r="G753">
        <v>71228.665200000003</v>
      </c>
      <c r="H753">
        <v>72740.959400000007</v>
      </c>
      <c r="I753">
        <v>11.293619340786748</v>
      </c>
      <c r="J753">
        <v>11.245423158146059</v>
      </c>
      <c r="K753">
        <v>11.212085481737681</v>
      </c>
      <c r="L753">
        <v>11.188548213907698</v>
      </c>
      <c r="M753">
        <v>11.15927371722713</v>
      </c>
      <c r="N753">
        <v>11.119254244981482</v>
      </c>
      <c r="P753">
        <f t="shared" si="299"/>
        <v>271473.0223236024</v>
      </c>
      <c r="Q753">
        <f t="shared" si="300"/>
        <v>269468.53934438177</v>
      </c>
      <c r="R753">
        <f t="shared" si="301"/>
        <v>267093.07015213039</v>
      </c>
      <c r="S753">
        <f t="shared" si="302"/>
        <v>265688.14091723092</v>
      </c>
      <c r="T753">
        <f t="shared" si="303"/>
        <v>263549.54631681391</v>
      </c>
      <c r="U753">
        <f t="shared" si="304"/>
        <v>260836.66794944444</v>
      </c>
      <c r="V753">
        <f t="shared" si="328"/>
        <v>1</v>
      </c>
      <c r="W753">
        <f t="shared" si="329"/>
        <v>0</v>
      </c>
      <c r="X753">
        <f t="shared" si="330"/>
        <v>0</v>
      </c>
      <c r="Y753">
        <f t="shared" si="331"/>
        <v>0</v>
      </c>
      <c r="Z753">
        <f t="shared" si="332"/>
        <v>0</v>
      </c>
      <c r="AA753">
        <f t="shared" ref="AA753" si="341">IF(MAX(P753:U753)=U753, 1, 0)</f>
        <v>0</v>
      </c>
      <c r="AC753">
        <f t="shared" si="321"/>
        <v>271473.0223236024</v>
      </c>
      <c r="AD753">
        <f t="shared" si="322"/>
        <v>269468.53934438177</v>
      </c>
      <c r="AE753">
        <f t="shared" si="323"/>
        <v>267093.07015213039</v>
      </c>
      <c r="AF753">
        <f t="shared" si="324"/>
        <v>265688.14091723092</v>
      </c>
      <c r="AG753">
        <f t="shared" si="325"/>
        <v>263549.54631681391</v>
      </c>
      <c r="AH753">
        <f t="shared" si="326"/>
        <v>260836.66794944444</v>
      </c>
      <c r="AI753">
        <f t="shared" si="339"/>
        <v>271473.0223236024</v>
      </c>
    </row>
    <row r="754" spans="2:35" x14ac:dyDescent="0.3">
      <c r="B754">
        <v>711</v>
      </c>
      <c r="C754">
        <v>71996.473599999998</v>
      </c>
      <c r="D754">
        <v>71503.590700000001</v>
      </c>
      <c r="E754">
        <v>71929.096900000004</v>
      </c>
      <c r="F754">
        <v>71906.470199999996</v>
      </c>
      <c r="G754">
        <v>72454.520799999998</v>
      </c>
      <c r="H754">
        <v>72957.566800000001</v>
      </c>
      <c r="I754">
        <v>9.4073301399430509</v>
      </c>
      <c r="J754">
        <v>9.3712009087181638</v>
      </c>
      <c r="K754">
        <v>9.3410575017630304</v>
      </c>
      <c r="L754">
        <v>9.3290667395473985</v>
      </c>
      <c r="M754">
        <v>9.3070669022574837</v>
      </c>
      <c r="N754">
        <v>9.2704319903708612</v>
      </c>
      <c r="P754">
        <f t="shared" si="299"/>
        <v>210223.43059829154</v>
      </c>
      <c r="Q754">
        <f t="shared" si="300"/>
        <v>209632.43656154489</v>
      </c>
      <c r="R754">
        <f t="shared" si="301"/>
        <v>208302.62815289089</v>
      </c>
      <c r="S754">
        <f t="shared" si="302"/>
        <v>207965.53198642196</v>
      </c>
      <c r="T754">
        <f t="shared" si="303"/>
        <v>206757.48626772454</v>
      </c>
      <c r="U754">
        <f t="shared" si="304"/>
        <v>205155.39291112582</v>
      </c>
      <c r="V754">
        <f t="shared" si="328"/>
        <v>1</v>
      </c>
      <c r="W754">
        <f t="shared" si="329"/>
        <v>0</v>
      </c>
      <c r="X754">
        <f t="shared" si="330"/>
        <v>0</v>
      </c>
      <c r="Y754">
        <f t="shared" si="331"/>
        <v>0</v>
      </c>
      <c r="Z754">
        <f t="shared" si="332"/>
        <v>0</v>
      </c>
      <c r="AC754">
        <f t="shared" si="321"/>
        <v>210223.43059829154</v>
      </c>
      <c r="AD754">
        <f t="shared" si="322"/>
        <v>209632.43656154489</v>
      </c>
      <c r="AE754">
        <f t="shared" si="323"/>
        <v>208302.62815289089</v>
      </c>
      <c r="AF754">
        <f t="shared" si="324"/>
        <v>207965.53198642196</v>
      </c>
      <c r="AG754">
        <f t="shared" si="325"/>
        <v>206757.48626772454</v>
      </c>
      <c r="AH754">
        <f t="shared" si="326"/>
        <v>205155.39291112582</v>
      </c>
      <c r="AI754">
        <f t="shared" si="339"/>
        <v>210223.43059829154</v>
      </c>
    </row>
    <row r="755" spans="2:35" x14ac:dyDescent="0.3">
      <c r="B755">
        <v>712</v>
      </c>
      <c r="C755">
        <v>83755.555999999997</v>
      </c>
      <c r="D755">
        <v>84471.216799999995</v>
      </c>
      <c r="E755">
        <v>85817.788100000005</v>
      </c>
      <c r="F755">
        <v>86091.610700000005</v>
      </c>
      <c r="G755">
        <v>87645.155700000003</v>
      </c>
      <c r="H755">
        <v>88897.513600000006</v>
      </c>
      <c r="I755">
        <v>9.5854286096526859</v>
      </c>
      <c r="J755">
        <v>9.5749396675141636</v>
      </c>
      <c r="K755">
        <v>9.5713628149472818</v>
      </c>
      <c r="L755">
        <v>9.5661952537486901</v>
      </c>
      <c r="M755">
        <v>9.559859738486141</v>
      </c>
      <c r="N755">
        <v>9.5547821675026547</v>
      </c>
      <c r="P755">
        <f t="shared" si="299"/>
        <v>203807.30228958058</v>
      </c>
      <c r="Q755">
        <f t="shared" si="300"/>
        <v>202776.97322542494</v>
      </c>
      <c r="R755">
        <f t="shared" si="301"/>
        <v>201323.09634841845</v>
      </c>
      <c r="S755">
        <f t="shared" si="302"/>
        <v>200894.24691246066</v>
      </c>
      <c r="T755">
        <f t="shared" si="303"/>
        <v>199150.63645458425</v>
      </c>
      <c r="U755">
        <f t="shared" si="304"/>
        <v>197745.95142507966</v>
      </c>
      <c r="V755">
        <f t="shared" si="328"/>
        <v>1</v>
      </c>
      <c r="W755">
        <f t="shared" si="329"/>
        <v>0</v>
      </c>
      <c r="X755">
        <f t="shared" si="330"/>
        <v>0</v>
      </c>
      <c r="Y755">
        <f t="shared" si="331"/>
        <v>0</v>
      </c>
      <c r="Z755">
        <f t="shared" si="332"/>
        <v>0</v>
      </c>
      <c r="AA755">
        <f t="shared" ref="AA755" si="342">IF(MAX(P755:U755)=U755, 1, 0)</f>
        <v>0</v>
      </c>
      <c r="AC755">
        <f t="shared" si="321"/>
        <v>203807.30228958058</v>
      </c>
      <c r="AD755">
        <f t="shared" si="322"/>
        <v>202776.97322542494</v>
      </c>
      <c r="AE755">
        <f t="shared" si="323"/>
        <v>201323.09634841845</v>
      </c>
      <c r="AF755">
        <f t="shared" si="324"/>
        <v>200894.24691246066</v>
      </c>
      <c r="AG755">
        <f t="shared" si="325"/>
        <v>199150.63645458425</v>
      </c>
      <c r="AH755">
        <f t="shared" si="326"/>
        <v>197745.95142507966</v>
      </c>
      <c r="AI755">
        <f t="shared" si="339"/>
        <v>203807.30228958058</v>
      </c>
    </row>
    <row r="756" spans="2:35" x14ac:dyDescent="0.3">
      <c r="B756">
        <v>713</v>
      </c>
      <c r="C756">
        <v>65087.437400000003</v>
      </c>
      <c r="D756">
        <v>63647.214500000002</v>
      </c>
      <c r="E756">
        <v>63637.949099999998</v>
      </c>
      <c r="F756">
        <v>63400.756699999998</v>
      </c>
      <c r="G756">
        <v>63236.249100000001</v>
      </c>
      <c r="H756">
        <v>63149.606399999997</v>
      </c>
      <c r="I756">
        <v>10.777811673369809</v>
      </c>
      <c r="J756">
        <v>10.740733150079475</v>
      </c>
      <c r="K756">
        <v>10.717621665945082</v>
      </c>
      <c r="L756">
        <v>10.701682961582424</v>
      </c>
      <c r="M756">
        <v>10.673942493642937</v>
      </c>
      <c r="N756">
        <v>10.645537854185857</v>
      </c>
      <c r="P756">
        <f t="shared" si="299"/>
        <v>258246.91280109429</v>
      </c>
      <c r="Q756">
        <f t="shared" si="300"/>
        <v>258574.78000238421</v>
      </c>
      <c r="R756">
        <f t="shared" si="301"/>
        <v>257890.70087835242</v>
      </c>
      <c r="S756">
        <f t="shared" si="302"/>
        <v>257649.73214747271</v>
      </c>
      <c r="T756">
        <f t="shared" si="303"/>
        <v>256982.02570928808</v>
      </c>
      <c r="U756">
        <f t="shared" si="304"/>
        <v>256216.52922557574</v>
      </c>
      <c r="V756">
        <f t="shared" si="328"/>
        <v>0</v>
      </c>
      <c r="W756">
        <f t="shared" si="329"/>
        <v>1</v>
      </c>
      <c r="X756">
        <f t="shared" si="330"/>
        <v>0</v>
      </c>
      <c r="Y756">
        <f t="shared" si="331"/>
        <v>0</v>
      </c>
      <c r="Z756">
        <f t="shared" si="332"/>
        <v>0</v>
      </c>
      <c r="AC756">
        <f t="shared" si="321"/>
        <v>258246.91280109429</v>
      </c>
      <c r="AD756">
        <f t="shared" si="322"/>
        <v>258574.78000238421</v>
      </c>
      <c r="AE756">
        <f t="shared" si="323"/>
        <v>257890.70087835242</v>
      </c>
      <c r="AF756">
        <f t="shared" si="324"/>
        <v>257649.73214747271</v>
      </c>
      <c r="AG756">
        <f t="shared" si="325"/>
        <v>256982.02570928808</v>
      </c>
      <c r="AH756">
        <f t="shared" si="326"/>
        <v>256216.52922557574</v>
      </c>
      <c r="AI756">
        <f t="shared" si="339"/>
        <v>258574.78000238421</v>
      </c>
    </row>
    <row r="757" spans="2:35" x14ac:dyDescent="0.3">
      <c r="B757">
        <v>714</v>
      </c>
      <c r="C757">
        <v>86854.276500000007</v>
      </c>
      <c r="D757">
        <v>85355.069399999993</v>
      </c>
      <c r="E757">
        <v>85091.011299999998</v>
      </c>
      <c r="F757">
        <v>84755.747199999998</v>
      </c>
      <c r="G757">
        <v>84604.013000000006</v>
      </c>
      <c r="H757">
        <v>84132.289000000004</v>
      </c>
      <c r="I757">
        <v>11.807726149411646</v>
      </c>
      <c r="J757">
        <v>11.795691812023257</v>
      </c>
      <c r="K757">
        <v>11.780955275990186</v>
      </c>
      <c r="L757">
        <v>11.772512474597315</v>
      </c>
      <c r="M757">
        <v>11.766783608648664</v>
      </c>
      <c r="N757">
        <v>11.745871645160451</v>
      </c>
      <c r="P757">
        <f t="shared" si="299"/>
        <v>267377.50798234937</v>
      </c>
      <c r="Q757">
        <f t="shared" si="300"/>
        <v>268515.68496069772</v>
      </c>
      <c r="R757">
        <f t="shared" si="301"/>
        <v>268337.64697970555</v>
      </c>
      <c r="S757">
        <f t="shared" si="302"/>
        <v>268419.62703791948</v>
      </c>
      <c r="T757">
        <f t="shared" si="303"/>
        <v>268399.49525945995</v>
      </c>
      <c r="U757">
        <f t="shared" si="304"/>
        <v>268243.86035481351</v>
      </c>
      <c r="V757">
        <f t="shared" si="328"/>
        <v>0</v>
      </c>
      <c r="W757">
        <f t="shared" si="329"/>
        <v>1</v>
      </c>
      <c r="X757">
        <f t="shared" si="330"/>
        <v>0</v>
      </c>
      <c r="Y757">
        <f t="shared" si="331"/>
        <v>0</v>
      </c>
      <c r="Z757">
        <f t="shared" si="332"/>
        <v>0</v>
      </c>
      <c r="AA757">
        <f t="shared" ref="AA757" si="343">IF(MAX(P757:U757)=U757, 1, 0)</f>
        <v>0</v>
      </c>
      <c r="AC757">
        <f t="shared" si="321"/>
        <v>267377.50798234937</v>
      </c>
      <c r="AD757">
        <f t="shared" si="322"/>
        <v>268515.68496069772</v>
      </c>
      <c r="AE757">
        <f t="shared" si="323"/>
        <v>268337.64697970555</v>
      </c>
      <c r="AF757">
        <f t="shared" si="324"/>
        <v>268419.62703791948</v>
      </c>
      <c r="AG757">
        <f t="shared" si="325"/>
        <v>268399.49525945995</v>
      </c>
      <c r="AH757">
        <f t="shared" si="326"/>
        <v>268243.86035481351</v>
      </c>
      <c r="AI757">
        <f t="shared" si="339"/>
        <v>268515.68496069772</v>
      </c>
    </row>
    <row r="758" spans="2:35" x14ac:dyDescent="0.3">
      <c r="B758">
        <v>715</v>
      </c>
      <c r="C758">
        <v>84665.433999999994</v>
      </c>
      <c r="D758">
        <v>84072.418799999999</v>
      </c>
      <c r="E758">
        <v>84444.030700000003</v>
      </c>
      <c r="F758">
        <v>84370.6921</v>
      </c>
      <c r="G758">
        <v>84863.739700000006</v>
      </c>
      <c r="H758">
        <v>85135.976800000004</v>
      </c>
      <c r="I758">
        <v>11.059193762088414</v>
      </c>
      <c r="J758">
        <v>11.01974626706046</v>
      </c>
      <c r="K758">
        <v>10.996121960998037</v>
      </c>
      <c r="L758">
        <v>10.987526993624485</v>
      </c>
      <c r="M758">
        <v>10.959720768166857</v>
      </c>
      <c r="N758">
        <v>10.930214447662109</v>
      </c>
      <c r="P758">
        <f t="shared" si="299"/>
        <v>247110.3788626524</v>
      </c>
      <c r="Q758">
        <f t="shared" si="300"/>
        <v>246519.96921181382</v>
      </c>
      <c r="R758">
        <f t="shared" si="301"/>
        <v>245439.62812994112</v>
      </c>
      <c r="S758">
        <f t="shared" si="302"/>
        <v>245255.11770873459</v>
      </c>
      <c r="T758">
        <f t="shared" si="303"/>
        <v>243927.88334500571</v>
      </c>
      <c r="U758">
        <f t="shared" si="304"/>
        <v>242770.4566298633</v>
      </c>
      <c r="V758">
        <f t="shared" si="328"/>
        <v>1</v>
      </c>
      <c r="W758">
        <f t="shared" si="329"/>
        <v>0</v>
      </c>
      <c r="X758">
        <f t="shared" si="330"/>
        <v>0</v>
      </c>
      <c r="Y758">
        <f t="shared" si="331"/>
        <v>0</v>
      </c>
      <c r="Z758">
        <f t="shared" si="332"/>
        <v>0</v>
      </c>
      <c r="AC758">
        <f t="shared" si="321"/>
        <v>247110.3788626524</v>
      </c>
      <c r="AD758">
        <f t="shared" si="322"/>
        <v>246519.96921181382</v>
      </c>
      <c r="AE758">
        <f t="shared" si="323"/>
        <v>245439.62812994112</v>
      </c>
      <c r="AF758">
        <f t="shared" si="324"/>
        <v>245255.11770873459</v>
      </c>
      <c r="AG758">
        <f t="shared" si="325"/>
        <v>243927.88334500571</v>
      </c>
      <c r="AH758">
        <f t="shared" si="326"/>
        <v>242770.4566298633</v>
      </c>
      <c r="AI758">
        <f t="shared" si="339"/>
        <v>247110.3788626524</v>
      </c>
    </row>
    <row r="759" spans="2:35" x14ac:dyDescent="0.3">
      <c r="B759">
        <v>716</v>
      </c>
      <c r="C759">
        <v>79624.664199999999</v>
      </c>
      <c r="D759">
        <v>79508.1106</v>
      </c>
      <c r="E759">
        <v>80410.854999999996</v>
      </c>
      <c r="F759">
        <v>80716.585800000001</v>
      </c>
      <c r="G759">
        <v>81409.941600000006</v>
      </c>
      <c r="H759">
        <v>82653.434500000003</v>
      </c>
      <c r="I759">
        <v>11.172898188719275</v>
      </c>
      <c r="J759">
        <v>11.166789532736439</v>
      </c>
      <c r="K759">
        <v>11.164705083837392</v>
      </c>
      <c r="L759">
        <v>11.161670696013353</v>
      </c>
      <c r="M759">
        <v>11.158332572388293</v>
      </c>
      <c r="N759">
        <v>11.154207159516103</v>
      </c>
      <c r="P759">
        <f t="shared" si="299"/>
        <v>255562.28146157827</v>
      </c>
      <c r="Q759">
        <f t="shared" si="300"/>
        <v>255495.57538209314</v>
      </c>
      <c r="R759">
        <f t="shared" si="301"/>
        <v>254530.29751512175</v>
      </c>
      <c r="S759">
        <f t="shared" si="302"/>
        <v>254133.53508040059</v>
      </c>
      <c r="T759">
        <f t="shared" si="303"/>
        <v>253340.03557164874</v>
      </c>
      <c r="U759">
        <f t="shared" si="304"/>
        <v>251972.78028548308</v>
      </c>
      <c r="V759">
        <f t="shared" si="328"/>
        <v>1</v>
      </c>
      <c r="W759">
        <f t="shared" si="329"/>
        <v>0</v>
      </c>
      <c r="X759">
        <f t="shared" si="330"/>
        <v>0</v>
      </c>
      <c r="Y759">
        <f t="shared" si="331"/>
        <v>0</v>
      </c>
      <c r="Z759">
        <f t="shared" si="332"/>
        <v>0</v>
      </c>
      <c r="AA759">
        <f t="shared" ref="AA759" si="344">IF(MAX(P759:U759)=U759, 1, 0)</f>
        <v>0</v>
      </c>
      <c r="AC759">
        <f t="shared" si="321"/>
        <v>255562.28146157827</v>
      </c>
      <c r="AD759">
        <f t="shared" si="322"/>
        <v>255495.57538209314</v>
      </c>
      <c r="AE759">
        <f t="shared" si="323"/>
        <v>254530.29751512175</v>
      </c>
      <c r="AF759">
        <f t="shared" si="324"/>
        <v>254133.53508040059</v>
      </c>
      <c r="AG759">
        <f t="shared" si="325"/>
        <v>253340.03557164874</v>
      </c>
      <c r="AH759">
        <f t="shared" si="326"/>
        <v>251972.78028548308</v>
      </c>
      <c r="AI759">
        <f t="shared" si="339"/>
        <v>255562.28146157827</v>
      </c>
    </row>
    <row r="760" spans="2:35" x14ac:dyDescent="0.3">
      <c r="B760">
        <v>717</v>
      </c>
      <c r="C760">
        <v>85376.460300000006</v>
      </c>
      <c r="D760">
        <v>84702.399099999995</v>
      </c>
      <c r="E760">
        <v>84956.852899999998</v>
      </c>
      <c r="F760">
        <v>84911.851899999994</v>
      </c>
      <c r="G760">
        <v>85048.325100000002</v>
      </c>
      <c r="H760">
        <v>85475.583299999998</v>
      </c>
      <c r="I760">
        <v>9.8722889069602484</v>
      </c>
      <c r="J760">
        <v>9.8481333183271662</v>
      </c>
      <c r="K760">
        <v>9.8332891547776295</v>
      </c>
      <c r="L760">
        <v>9.8287766412749349</v>
      </c>
      <c r="M760">
        <v>9.8099909388622724</v>
      </c>
      <c r="N760">
        <v>9.7917436840370975</v>
      </c>
      <c r="P760">
        <f t="shared" si="299"/>
        <v>210792.20690880742</v>
      </c>
      <c r="Q760">
        <f t="shared" si="300"/>
        <v>210741.60044981499</v>
      </c>
      <c r="R760">
        <f t="shared" si="301"/>
        <v>210041.82174332888</v>
      </c>
      <c r="S760">
        <f t="shared" si="302"/>
        <v>209951.44733824802</v>
      </c>
      <c r="T760">
        <f t="shared" si="303"/>
        <v>209251.40306586813</v>
      </c>
      <c r="U760">
        <f t="shared" si="304"/>
        <v>208276.72722111293</v>
      </c>
      <c r="V760">
        <f t="shared" si="328"/>
        <v>1</v>
      </c>
      <c r="W760">
        <f t="shared" si="329"/>
        <v>0</v>
      </c>
      <c r="X760">
        <f t="shared" si="330"/>
        <v>0</v>
      </c>
      <c r="Y760">
        <f t="shared" si="331"/>
        <v>0</v>
      </c>
      <c r="Z760">
        <f t="shared" si="332"/>
        <v>0</v>
      </c>
      <c r="AC760">
        <f t="shared" si="321"/>
        <v>210792.20690880742</v>
      </c>
      <c r="AD760">
        <f t="shared" si="322"/>
        <v>210741.60044981499</v>
      </c>
      <c r="AE760">
        <f t="shared" si="323"/>
        <v>210041.82174332888</v>
      </c>
      <c r="AF760">
        <f t="shared" si="324"/>
        <v>209951.44733824802</v>
      </c>
      <c r="AG760">
        <f t="shared" si="325"/>
        <v>209251.40306586813</v>
      </c>
      <c r="AH760">
        <f t="shared" si="326"/>
        <v>208276.72722111293</v>
      </c>
      <c r="AI760">
        <f t="shared" si="339"/>
        <v>210792.20690880742</v>
      </c>
    </row>
    <row r="761" spans="2:35" x14ac:dyDescent="0.3">
      <c r="B761">
        <v>718</v>
      </c>
      <c r="C761">
        <v>82566.758100000006</v>
      </c>
      <c r="D761">
        <v>81012.303700000004</v>
      </c>
      <c r="E761">
        <v>80736.013900000005</v>
      </c>
      <c r="F761">
        <v>80345.481199999995</v>
      </c>
      <c r="G761">
        <v>80327.208899999998</v>
      </c>
      <c r="H761">
        <v>79783.994200000001</v>
      </c>
      <c r="I761">
        <v>11.467201702699585</v>
      </c>
      <c r="J761">
        <v>11.430515774074724</v>
      </c>
      <c r="K761">
        <v>11.395992525463351</v>
      </c>
      <c r="L761">
        <v>11.377158615836471</v>
      </c>
      <c r="M761">
        <v>11.355927754224743</v>
      </c>
      <c r="N761">
        <v>11.317411907437073</v>
      </c>
      <c r="P761">
        <f t="shared" si="299"/>
        <v>261449.29298098755</v>
      </c>
      <c r="Q761">
        <f t="shared" si="300"/>
        <v>261903.16952224175</v>
      </c>
      <c r="R761">
        <f t="shared" si="301"/>
        <v>261143.76186390052</v>
      </c>
      <c r="S761">
        <f t="shared" si="302"/>
        <v>260969.27727509418</v>
      </c>
      <c r="T761">
        <f t="shared" si="303"/>
        <v>260350.62372674225</v>
      </c>
      <c r="U761">
        <f t="shared" si="304"/>
        <v>259738.36302311218</v>
      </c>
      <c r="V761">
        <f t="shared" si="328"/>
        <v>0</v>
      </c>
      <c r="W761">
        <f t="shared" si="329"/>
        <v>1</v>
      </c>
      <c r="X761">
        <f t="shared" si="330"/>
        <v>0</v>
      </c>
      <c r="Y761">
        <f t="shared" si="331"/>
        <v>0</v>
      </c>
      <c r="Z761">
        <f t="shared" si="332"/>
        <v>0</v>
      </c>
      <c r="AA761">
        <f t="shared" ref="AA761" si="345">IF(MAX(P761:U761)=U761, 1, 0)</f>
        <v>0</v>
      </c>
      <c r="AC761">
        <f t="shared" si="321"/>
        <v>261449.29298098755</v>
      </c>
      <c r="AD761">
        <f t="shared" si="322"/>
        <v>261903.16952224175</v>
      </c>
      <c r="AE761">
        <f t="shared" si="323"/>
        <v>261143.76186390052</v>
      </c>
      <c r="AF761">
        <f t="shared" si="324"/>
        <v>260969.27727509418</v>
      </c>
      <c r="AG761">
        <f t="shared" si="325"/>
        <v>260350.62372674225</v>
      </c>
      <c r="AH761">
        <f t="shared" si="326"/>
        <v>259738.36302311218</v>
      </c>
      <c r="AI761">
        <f t="shared" si="339"/>
        <v>261903.16952224175</v>
      </c>
    </row>
    <row r="762" spans="2:35" x14ac:dyDescent="0.3">
      <c r="B762">
        <v>719</v>
      </c>
      <c r="C762">
        <v>80857.216799999995</v>
      </c>
      <c r="D762">
        <v>79766.532300000006</v>
      </c>
      <c r="E762">
        <v>80210.239199999996</v>
      </c>
      <c r="F762">
        <v>80152.485400000005</v>
      </c>
      <c r="G762">
        <v>80320.546600000001</v>
      </c>
      <c r="H762">
        <v>80595.309099999999</v>
      </c>
      <c r="I762">
        <v>9.7403146424015645</v>
      </c>
      <c r="J762">
        <v>9.7126055755837459</v>
      </c>
      <c r="K762">
        <v>9.7005602236415296</v>
      </c>
      <c r="L762">
        <v>9.6941106120542173</v>
      </c>
      <c r="M762">
        <v>9.6757929101010429</v>
      </c>
      <c r="N762">
        <v>9.6523076754529917</v>
      </c>
      <c r="P762">
        <f t="shared" si="299"/>
        <v>211352.22247204697</v>
      </c>
      <c r="Q762">
        <f t="shared" si="300"/>
        <v>211611.63496751233</v>
      </c>
      <c r="R762">
        <f t="shared" si="301"/>
        <v>210806.56750924588</v>
      </c>
      <c r="S762">
        <f t="shared" si="302"/>
        <v>210670.83296162653</v>
      </c>
      <c r="T762">
        <f t="shared" si="303"/>
        <v>209953.2407030313</v>
      </c>
      <c r="U762">
        <f t="shared" si="304"/>
        <v>208973.92116358975</v>
      </c>
      <c r="V762">
        <f t="shared" si="328"/>
        <v>0</v>
      </c>
      <c r="W762">
        <f t="shared" si="329"/>
        <v>1</v>
      </c>
      <c r="X762">
        <f t="shared" si="330"/>
        <v>0</v>
      </c>
      <c r="Y762">
        <f t="shared" si="331"/>
        <v>0</v>
      </c>
      <c r="Z762">
        <f t="shared" si="332"/>
        <v>0</v>
      </c>
      <c r="AC762">
        <f t="shared" si="321"/>
        <v>211352.22247204697</v>
      </c>
      <c r="AD762">
        <f t="shared" si="322"/>
        <v>211611.63496751233</v>
      </c>
      <c r="AE762">
        <f t="shared" si="323"/>
        <v>210806.56750924588</v>
      </c>
      <c r="AF762">
        <f t="shared" si="324"/>
        <v>210670.83296162653</v>
      </c>
      <c r="AG762">
        <f t="shared" si="325"/>
        <v>209953.2407030313</v>
      </c>
      <c r="AH762">
        <f t="shared" si="326"/>
        <v>208973.92116358975</v>
      </c>
      <c r="AI762">
        <f t="shared" si="339"/>
        <v>211611.63496751233</v>
      </c>
    </row>
    <row r="763" spans="2:35" x14ac:dyDescent="0.3">
      <c r="B763">
        <v>720</v>
      </c>
      <c r="C763">
        <v>88037.317899999995</v>
      </c>
      <c r="D763">
        <v>85307.799299999999</v>
      </c>
      <c r="E763">
        <v>84678.329500000007</v>
      </c>
      <c r="F763">
        <v>84436.892000000007</v>
      </c>
      <c r="G763">
        <v>83363.035099999994</v>
      </c>
      <c r="H763">
        <v>82438.033299999996</v>
      </c>
      <c r="I763">
        <v>9.8955042079796129</v>
      </c>
      <c r="J763">
        <v>9.8274580863365841</v>
      </c>
      <c r="K763">
        <v>9.8011490507887657</v>
      </c>
      <c r="L763">
        <v>9.7988023934834168</v>
      </c>
      <c r="M763">
        <v>9.7507758848473127</v>
      </c>
      <c r="N763">
        <v>9.7054308976963348</v>
      </c>
      <c r="P763">
        <f t="shared" si="299"/>
        <v>208827.80833938837</v>
      </c>
      <c r="Q763">
        <f t="shared" si="300"/>
        <v>209515.94329009752</v>
      </c>
      <c r="R763">
        <f t="shared" si="301"/>
        <v>209356.14202366298</v>
      </c>
      <c r="S763">
        <f t="shared" si="302"/>
        <v>209527.17980450252</v>
      </c>
      <c r="T763">
        <f t="shared" si="303"/>
        <v>209160.24144541938</v>
      </c>
      <c r="U763">
        <f t="shared" si="304"/>
        <v>208724.89363089006</v>
      </c>
      <c r="V763">
        <f t="shared" si="328"/>
        <v>0</v>
      </c>
      <c r="W763">
        <f t="shared" si="329"/>
        <v>0</v>
      </c>
      <c r="X763">
        <f t="shared" si="330"/>
        <v>0</v>
      </c>
      <c r="Y763">
        <f t="shared" si="331"/>
        <v>1</v>
      </c>
      <c r="Z763">
        <f t="shared" si="332"/>
        <v>0</v>
      </c>
      <c r="AA763">
        <f t="shared" ref="AA763" si="346">IF(MAX(P763:U763)=U763, 1, 0)</f>
        <v>0</v>
      </c>
      <c r="AC763">
        <f t="shared" si="321"/>
        <v>208827.80833938837</v>
      </c>
      <c r="AD763">
        <f t="shared" si="322"/>
        <v>209515.94329009752</v>
      </c>
      <c r="AE763">
        <f t="shared" si="323"/>
        <v>209356.14202366298</v>
      </c>
      <c r="AF763">
        <f t="shared" si="324"/>
        <v>209527.17980450252</v>
      </c>
      <c r="AG763">
        <f t="shared" si="325"/>
        <v>209160.24144541938</v>
      </c>
      <c r="AH763">
        <f t="shared" si="326"/>
        <v>208724.89363089006</v>
      </c>
      <c r="AI763">
        <f t="shared" si="339"/>
        <v>209527.17980450252</v>
      </c>
    </row>
    <row r="764" spans="2:35" x14ac:dyDescent="0.3">
      <c r="B764">
        <v>721</v>
      </c>
      <c r="C764">
        <v>76272.291400000002</v>
      </c>
      <c r="D764">
        <v>75003.921600000001</v>
      </c>
      <c r="E764">
        <v>75002.650800000003</v>
      </c>
      <c r="F764">
        <v>74733.371100000004</v>
      </c>
      <c r="G764">
        <v>74738.0576</v>
      </c>
      <c r="H764">
        <v>74632.767699999997</v>
      </c>
      <c r="I764">
        <v>11.613592253573589</v>
      </c>
      <c r="J764">
        <v>11.579141227809989</v>
      </c>
      <c r="K764">
        <v>11.556268701474323</v>
      </c>
      <c r="L764">
        <v>11.546866263817376</v>
      </c>
      <c r="M764">
        <v>11.520273408804979</v>
      </c>
      <c r="N764">
        <v>11.486222106817175</v>
      </c>
      <c r="P764">
        <f t="shared" si="299"/>
        <v>272135.47620720771</v>
      </c>
      <c r="Q764">
        <f t="shared" si="300"/>
        <v>272370.31523429969</v>
      </c>
      <c r="R764">
        <f t="shared" si="301"/>
        <v>271685.41024422972</v>
      </c>
      <c r="S764">
        <f t="shared" si="302"/>
        <v>271672.61681452132</v>
      </c>
      <c r="T764">
        <f t="shared" si="303"/>
        <v>270870.14466414938</v>
      </c>
      <c r="U764">
        <f t="shared" si="304"/>
        <v>269953.89550451527</v>
      </c>
      <c r="V764">
        <f t="shared" si="328"/>
        <v>0</v>
      </c>
      <c r="W764">
        <f t="shared" si="329"/>
        <v>1</v>
      </c>
      <c r="X764">
        <f t="shared" si="330"/>
        <v>0</v>
      </c>
      <c r="Y764">
        <f t="shared" si="331"/>
        <v>0</v>
      </c>
      <c r="Z764">
        <f t="shared" si="332"/>
        <v>0</v>
      </c>
      <c r="AC764">
        <f t="shared" si="321"/>
        <v>272135.47620720771</v>
      </c>
      <c r="AD764">
        <f t="shared" si="322"/>
        <v>272370.31523429969</v>
      </c>
      <c r="AE764">
        <f t="shared" si="323"/>
        <v>271685.41024422972</v>
      </c>
      <c r="AF764">
        <f t="shared" si="324"/>
        <v>271672.61681452132</v>
      </c>
      <c r="AG764">
        <f t="shared" si="325"/>
        <v>270870.14466414938</v>
      </c>
      <c r="AH764">
        <f t="shared" si="326"/>
        <v>269953.89550451527</v>
      </c>
      <c r="AI764">
        <f t="shared" si="339"/>
        <v>272370.31523429969</v>
      </c>
    </row>
    <row r="765" spans="2:35" x14ac:dyDescent="0.3">
      <c r="B765">
        <v>722</v>
      </c>
      <c r="C765">
        <v>72118.564499999993</v>
      </c>
      <c r="D765">
        <v>71958.177899999995</v>
      </c>
      <c r="E765">
        <v>72927.458400000003</v>
      </c>
      <c r="F765">
        <v>73003.125499999995</v>
      </c>
      <c r="G765">
        <v>73743.978499999997</v>
      </c>
      <c r="H765">
        <v>74800.838499999998</v>
      </c>
      <c r="I765">
        <v>11.565678260587809</v>
      </c>
      <c r="J765">
        <v>11.51156175527005</v>
      </c>
      <c r="K765">
        <v>11.469012695320744</v>
      </c>
      <c r="L765">
        <v>11.456408062458889</v>
      </c>
      <c r="M765">
        <v>11.419271479201818</v>
      </c>
      <c r="N765">
        <v>11.37755413312798</v>
      </c>
      <c r="P765">
        <f t="shared" si="299"/>
        <v>274851.78331763431</v>
      </c>
      <c r="Q765">
        <f t="shared" si="300"/>
        <v>273388.67475810146</v>
      </c>
      <c r="R765">
        <f t="shared" si="301"/>
        <v>271142.92245962232</v>
      </c>
      <c r="S765">
        <f t="shared" si="302"/>
        <v>270689.11637376668</v>
      </c>
      <c r="T765">
        <f t="shared" si="303"/>
        <v>268834.16587605455</v>
      </c>
      <c r="U765">
        <f t="shared" si="304"/>
        <v>266525.78549383936</v>
      </c>
      <c r="V765">
        <f t="shared" si="328"/>
        <v>1</v>
      </c>
      <c r="W765">
        <f t="shared" si="329"/>
        <v>0</v>
      </c>
      <c r="X765">
        <f t="shared" si="330"/>
        <v>0</v>
      </c>
      <c r="Y765">
        <f t="shared" si="331"/>
        <v>0</v>
      </c>
      <c r="Z765">
        <f t="shared" si="332"/>
        <v>0</v>
      </c>
      <c r="AA765">
        <f t="shared" ref="AA765" si="347">IF(MAX(P765:U765)=U765, 1, 0)</f>
        <v>0</v>
      </c>
      <c r="AC765">
        <f t="shared" si="321"/>
        <v>274851.78331763431</v>
      </c>
      <c r="AD765">
        <f t="shared" si="322"/>
        <v>273388.67475810146</v>
      </c>
      <c r="AE765">
        <f t="shared" si="323"/>
        <v>271142.92245962232</v>
      </c>
      <c r="AF765">
        <f t="shared" si="324"/>
        <v>270689.11637376668</v>
      </c>
      <c r="AG765">
        <f t="shared" si="325"/>
        <v>268834.16587605455</v>
      </c>
      <c r="AH765">
        <f t="shared" si="326"/>
        <v>266525.78549383936</v>
      </c>
      <c r="AI765">
        <f t="shared" si="339"/>
        <v>274851.78331763431</v>
      </c>
    </row>
    <row r="766" spans="2:35" x14ac:dyDescent="0.3">
      <c r="B766">
        <v>723</v>
      </c>
      <c r="C766">
        <v>85214.102100000004</v>
      </c>
      <c r="D766">
        <v>84298.127999999997</v>
      </c>
      <c r="E766">
        <v>84369.746799999994</v>
      </c>
      <c r="F766">
        <v>84204.318100000004</v>
      </c>
      <c r="G766">
        <v>84286.194600000003</v>
      </c>
      <c r="H766">
        <v>84470.631200000003</v>
      </c>
      <c r="I766">
        <v>8.9899996876870265</v>
      </c>
      <c r="J766">
        <v>8.9673118874867779</v>
      </c>
      <c r="K766">
        <v>8.9572149879503513</v>
      </c>
      <c r="L766">
        <v>8.9470466804925923</v>
      </c>
      <c r="M766">
        <v>8.9311934724194124</v>
      </c>
      <c r="N766">
        <v>8.9163684163368782</v>
      </c>
      <c r="P766">
        <f t="shared" si="299"/>
        <v>184485.88853061077</v>
      </c>
      <c r="Q766">
        <f t="shared" si="300"/>
        <v>184721.22862460333</v>
      </c>
      <c r="R766">
        <f t="shared" si="301"/>
        <v>184346.70283851054</v>
      </c>
      <c r="S766">
        <f t="shared" si="302"/>
        <v>184207.08231477774</v>
      </c>
      <c r="T766">
        <f t="shared" si="303"/>
        <v>183649.60957258241</v>
      </c>
      <c r="U766">
        <f t="shared" si="304"/>
        <v>183020.42129010631</v>
      </c>
      <c r="V766">
        <f t="shared" si="328"/>
        <v>0</v>
      </c>
      <c r="W766">
        <f t="shared" si="329"/>
        <v>1</v>
      </c>
      <c r="X766">
        <f t="shared" si="330"/>
        <v>0</v>
      </c>
      <c r="Y766">
        <f t="shared" si="331"/>
        <v>0</v>
      </c>
      <c r="Z766">
        <f t="shared" si="332"/>
        <v>0</v>
      </c>
      <c r="AC766">
        <f t="shared" si="321"/>
        <v>184485.88853061077</v>
      </c>
      <c r="AD766">
        <f t="shared" si="322"/>
        <v>184721.22862460333</v>
      </c>
      <c r="AE766">
        <f t="shared" si="323"/>
        <v>184346.70283851054</v>
      </c>
      <c r="AF766">
        <f t="shared" si="324"/>
        <v>184207.08231477774</v>
      </c>
      <c r="AG766">
        <f t="shared" si="325"/>
        <v>183649.60957258241</v>
      </c>
      <c r="AH766">
        <f t="shared" si="326"/>
        <v>183020.42129010631</v>
      </c>
      <c r="AI766">
        <f t="shared" si="339"/>
        <v>184721.22862460333</v>
      </c>
    </row>
    <row r="767" spans="2:35" x14ac:dyDescent="0.3">
      <c r="B767">
        <v>724</v>
      </c>
      <c r="C767">
        <v>71936.661900000006</v>
      </c>
      <c r="D767">
        <v>71610.309599999993</v>
      </c>
      <c r="E767">
        <v>72302.424700000003</v>
      </c>
      <c r="F767">
        <v>72235.945999999996</v>
      </c>
      <c r="G767">
        <v>72970.375</v>
      </c>
      <c r="H767">
        <v>73566.5141</v>
      </c>
      <c r="I767">
        <v>9.6520845948791667</v>
      </c>
      <c r="J767">
        <v>9.6281332843988388</v>
      </c>
      <c r="K767">
        <v>9.6055173231663549</v>
      </c>
      <c r="L767">
        <v>9.5988920013569938</v>
      </c>
      <c r="M767">
        <v>9.5829361816150804</v>
      </c>
      <c r="N767">
        <v>9.5529263148211143</v>
      </c>
      <c r="P767">
        <f t="shared" si="299"/>
        <v>217625.87594637502</v>
      </c>
      <c r="Q767">
        <f t="shared" si="300"/>
        <v>217233.68893196521</v>
      </c>
      <c r="R767">
        <f t="shared" si="301"/>
        <v>215863.09499499065</v>
      </c>
      <c r="S767">
        <f t="shared" si="302"/>
        <v>215730.81404070981</v>
      </c>
      <c r="T767">
        <f t="shared" si="303"/>
        <v>214517.71044845239</v>
      </c>
      <c r="U767">
        <f t="shared" si="304"/>
        <v>213021.27534463341</v>
      </c>
      <c r="V767">
        <f t="shared" si="328"/>
        <v>1</v>
      </c>
      <c r="W767">
        <f t="shared" si="329"/>
        <v>0</v>
      </c>
      <c r="X767">
        <f t="shared" si="330"/>
        <v>0</v>
      </c>
      <c r="Y767">
        <f t="shared" si="331"/>
        <v>0</v>
      </c>
      <c r="Z767">
        <f t="shared" si="332"/>
        <v>0</v>
      </c>
      <c r="AA767">
        <f t="shared" ref="AA767" si="348">IF(MAX(P767:U767)=U767, 1, 0)</f>
        <v>0</v>
      </c>
      <c r="AC767">
        <f t="shared" si="321"/>
        <v>217625.87594637502</v>
      </c>
      <c r="AD767">
        <f t="shared" si="322"/>
        <v>217233.68893196521</v>
      </c>
      <c r="AE767">
        <f t="shared" si="323"/>
        <v>215863.09499499065</v>
      </c>
      <c r="AF767">
        <f t="shared" si="324"/>
        <v>215730.81404070981</v>
      </c>
      <c r="AG767">
        <f t="shared" si="325"/>
        <v>214517.71044845239</v>
      </c>
      <c r="AH767">
        <f t="shared" si="326"/>
        <v>213021.27534463341</v>
      </c>
      <c r="AI767">
        <f t="shared" si="339"/>
        <v>217625.87594637502</v>
      </c>
    </row>
    <row r="768" spans="2:35" x14ac:dyDescent="0.3">
      <c r="B768">
        <v>725</v>
      </c>
      <c r="C768">
        <v>67831.181899999996</v>
      </c>
      <c r="D768">
        <v>67427.950200000007</v>
      </c>
      <c r="E768">
        <v>68013.225600000005</v>
      </c>
      <c r="F768">
        <v>68013.937099999996</v>
      </c>
      <c r="G768">
        <v>68739.034599999999</v>
      </c>
      <c r="H768">
        <v>69504.719800000006</v>
      </c>
      <c r="I768">
        <v>10.682578680835006</v>
      </c>
      <c r="J768">
        <v>10.645784675431202</v>
      </c>
      <c r="K768">
        <v>10.607301156635744</v>
      </c>
      <c r="L768">
        <v>10.601689316001966</v>
      </c>
      <c r="M768">
        <v>10.561233552555908</v>
      </c>
      <c r="N768">
        <v>10.530639758400913</v>
      </c>
      <c r="P768">
        <f t="shared" si="299"/>
        <v>252646.1785250502</v>
      </c>
      <c r="Q768">
        <f t="shared" si="300"/>
        <v>251945.59006293601</v>
      </c>
      <c r="R768">
        <f t="shared" si="301"/>
        <v>250205.8090990723</v>
      </c>
      <c r="S768">
        <f t="shared" si="302"/>
        <v>250036.74238005903</v>
      </c>
      <c r="T768">
        <f t="shared" si="303"/>
        <v>248097.97197667725</v>
      </c>
      <c r="U768">
        <f t="shared" si="304"/>
        <v>246414.47295202734</v>
      </c>
      <c r="V768">
        <f t="shared" si="328"/>
        <v>1</v>
      </c>
      <c r="W768">
        <f t="shared" si="329"/>
        <v>0</v>
      </c>
      <c r="X768">
        <f t="shared" si="330"/>
        <v>0</v>
      </c>
      <c r="Y768">
        <f t="shared" si="331"/>
        <v>0</v>
      </c>
      <c r="Z768">
        <f t="shared" si="332"/>
        <v>0</v>
      </c>
      <c r="AC768">
        <f t="shared" si="321"/>
        <v>252646.1785250502</v>
      </c>
      <c r="AD768">
        <f t="shared" si="322"/>
        <v>251945.59006293601</v>
      </c>
      <c r="AE768">
        <f t="shared" si="323"/>
        <v>250205.8090990723</v>
      </c>
      <c r="AF768">
        <f t="shared" si="324"/>
        <v>250036.74238005903</v>
      </c>
      <c r="AG768">
        <f t="shared" si="325"/>
        <v>248097.97197667725</v>
      </c>
      <c r="AH768">
        <f t="shared" si="326"/>
        <v>246414.47295202734</v>
      </c>
      <c r="AI768">
        <f t="shared" si="339"/>
        <v>252646.1785250502</v>
      </c>
    </row>
    <row r="769" spans="2:35" x14ac:dyDescent="0.3">
      <c r="B769">
        <v>726</v>
      </c>
      <c r="C769">
        <v>77124.983900000007</v>
      </c>
      <c r="D769">
        <v>76782.348700000002</v>
      </c>
      <c r="E769">
        <v>77601.948499999999</v>
      </c>
      <c r="F769">
        <v>77755.697199999995</v>
      </c>
      <c r="G769">
        <v>78298.118700000006</v>
      </c>
      <c r="H769">
        <v>79151.6731</v>
      </c>
      <c r="I769">
        <v>10.838026273348763</v>
      </c>
      <c r="J769">
        <v>10.825343988532154</v>
      </c>
      <c r="K769">
        <v>10.816795778721934</v>
      </c>
      <c r="L769">
        <v>10.810375920166463</v>
      </c>
      <c r="M769">
        <v>10.800050025686927</v>
      </c>
      <c r="N769">
        <v>10.793833454088583</v>
      </c>
      <c r="P769">
        <f t="shared" ref="P769:P832" si="349">Threshold*I769-C769</f>
        <v>248015.80430046289</v>
      </c>
      <c r="Q769">
        <f t="shared" ref="Q769:Q832" si="350">Threshold*J769-D769</f>
        <v>247977.97095596461</v>
      </c>
      <c r="R769">
        <f t="shared" ref="R769:R832" si="351">Threshold*K769-E769</f>
        <v>246901.92486165802</v>
      </c>
      <c r="S769">
        <f t="shared" ref="S769:S832" si="352">Threshold*L769-F769</f>
        <v>246555.5804049939</v>
      </c>
      <c r="T769">
        <f t="shared" ref="T769:T832" si="353">Threshold*M769-G769</f>
        <v>245703.3820706078</v>
      </c>
      <c r="U769">
        <f t="shared" ref="U769:U832" si="354">Threshold*N769-H769</f>
        <v>244663.33052265749</v>
      </c>
      <c r="V769">
        <f t="shared" si="328"/>
        <v>1</v>
      </c>
      <c r="W769">
        <f t="shared" si="329"/>
        <v>0</v>
      </c>
      <c r="X769">
        <f t="shared" si="330"/>
        <v>0</v>
      </c>
      <c r="Y769">
        <f t="shared" si="331"/>
        <v>0</v>
      </c>
      <c r="Z769">
        <f t="shared" si="332"/>
        <v>0</v>
      </c>
      <c r="AA769">
        <f t="shared" ref="AA769" si="355">IF(MAX(P769:U769)=U769, 1, 0)</f>
        <v>0</v>
      </c>
      <c r="AC769">
        <f t="shared" si="321"/>
        <v>248015.80430046289</v>
      </c>
      <c r="AD769">
        <f t="shared" si="322"/>
        <v>247977.97095596461</v>
      </c>
      <c r="AE769">
        <f t="shared" si="323"/>
        <v>246901.92486165802</v>
      </c>
      <c r="AF769">
        <f t="shared" si="324"/>
        <v>246555.5804049939</v>
      </c>
      <c r="AG769">
        <f t="shared" si="325"/>
        <v>245703.3820706078</v>
      </c>
      <c r="AH769">
        <f t="shared" si="326"/>
        <v>244663.33052265749</v>
      </c>
      <c r="AI769">
        <f t="shared" si="339"/>
        <v>248015.80430046289</v>
      </c>
    </row>
    <row r="770" spans="2:35" x14ac:dyDescent="0.3">
      <c r="B770">
        <v>727</v>
      </c>
      <c r="C770">
        <v>62603.104700000004</v>
      </c>
      <c r="D770">
        <v>62359.000200000002</v>
      </c>
      <c r="E770">
        <v>63417.860999999997</v>
      </c>
      <c r="F770">
        <v>63222.084499999997</v>
      </c>
      <c r="G770">
        <v>64206.568500000001</v>
      </c>
      <c r="H770">
        <v>65095.320899999999</v>
      </c>
      <c r="I770">
        <v>11.329755956563256</v>
      </c>
      <c r="J770">
        <v>11.300097516789332</v>
      </c>
      <c r="K770">
        <v>11.271465230298981</v>
      </c>
      <c r="L770">
        <v>11.267639515372522</v>
      </c>
      <c r="M770">
        <v>11.235484398287904</v>
      </c>
      <c r="N770">
        <v>11.21619585532086</v>
      </c>
      <c r="P770">
        <f t="shared" si="349"/>
        <v>277289.57399689767</v>
      </c>
      <c r="Q770">
        <f t="shared" si="350"/>
        <v>276643.92530367995</v>
      </c>
      <c r="R770">
        <f t="shared" si="351"/>
        <v>274726.09590896947</v>
      </c>
      <c r="S770">
        <f t="shared" si="352"/>
        <v>274807.10096117569</v>
      </c>
      <c r="T770">
        <f t="shared" si="353"/>
        <v>272857.96344863711</v>
      </c>
      <c r="U770">
        <f t="shared" si="354"/>
        <v>271390.55475962581</v>
      </c>
      <c r="V770">
        <f t="shared" si="328"/>
        <v>1</v>
      </c>
      <c r="W770">
        <f t="shared" si="329"/>
        <v>0</v>
      </c>
      <c r="X770">
        <f t="shared" si="330"/>
        <v>0</v>
      </c>
      <c r="Y770">
        <f t="shared" si="331"/>
        <v>0</v>
      </c>
      <c r="Z770">
        <f t="shared" si="332"/>
        <v>0</v>
      </c>
      <c r="AC770">
        <f t="shared" si="321"/>
        <v>277289.57399689767</v>
      </c>
      <c r="AD770">
        <f t="shared" si="322"/>
        <v>276643.92530367995</v>
      </c>
      <c r="AE770">
        <f t="shared" si="323"/>
        <v>274726.09590896947</v>
      </c>
      <c r="AF770">
        <f t="shared" si="324"/>
        <v>274807.10096117569</v>
      </c>
      <c r="AG770">
        <f t="shared" si="325"/>
        <v>272857.96344863711</v>
      </c>
      <c r="AH770">
        <f t="shared" si="326"/>
        <v>271390.55475962581</v>
      </c>
      <c r="AI770">
        <f t="shared" si="339"/>
        <v>277289.57399689767</v>
      </c>
    </row>
    <row r="771" spans="2:35" x14ac:dyDescent="0.3">
      <c r="B771">
        <v>728</v>
      </c>
      <c r="C771">
        <v>81434.496700000003</v>
      </c>
      <c r="D771">
        <v>80527.121599999999</v>
      </c>
      <c r="E771">
        <v>80758.31</v>
      </c>
      <c r="F771">
        <v>80608.917199999996</v>
      </c>
      <c r="G771">
        <v>80679.571500000005</v>
      </c>
      <c r="H771">
        <v>81045.310100000002</v>
      </c>
      <c r="I771">
        <v>9.7794610252796659</v>
      </c>
      <c r="J771">
        <v>9.7319762218729302</v>
      </c>
      <c r="K771">
        <v>9.7114988914811509</v>
      </c>
      <c r="L771">
        <v>9.6969096334081595</v>
      </c>
      <c r="M771">
        <v>9.6685223772050346</v>
      </c>
      <c r="N771">
        <v>9.6328237710365414</v>
      </c>
      <c r="P771">
        <f t="shared" si="349"/>
        <v>211949.33405838994</v>
      </c>
      <c r="Q771">
        <f t="shared" si="350"/>
        <v>211432.16505618789</v>
      </c>
      <c r="R771">
        <f t="shared" si="351"/>
        <v>210586.65674443456</v>
      </c>
      <c r="S771">
        <f t="shared" si="352"/>
        <v>210298.37180224477</v>
      </c>
      <c r="T771">
        <f t="shared" si="353"/>
        <v>209376.09981615102</v>
      </c>
      <c r="U771">
        <f t="shared" si="354"/>
        <v>207939.40303109621</v>
      </c>
      <c r="V771">
        <f t="shared" si="328"/>
        <v>1</v>
      </c>
      <c r="W771">
        <f t="shared" si="329"/>
        <v>0</v>
      </c>
      <c r="X771">
        <f t="shared" si="330"/>
        <v>0</v>
      </c>
      <c r="Y771">
        <f t="shared" si="331"/>
        <v>0</v>
      </c>
      <c r="Z771">
        <f t="shared" si="332"/>
        <v>0</v>
      </c>
      <c r="AA771">
        <f t="shared" ref="AA771" si="356">IF(MAX(P771:U771)=U771, 1, 0)</f>
        <v>0</v>
      </c>
      <c r="AC771">
        <f t="shared" si="321"/>
        <v>211949.33405838994</v>
      </c>
      <c r="AD771">
        <f t="shared" si="322"/>
        <v>211432.16505618789</v>
      </c>
      <c r="AE771">
        <f t="shared" si="323"/>
        <v>210586.65674443456</v>
      </c>
      <c r="AF771">
        <f t="shared" si="324"/>
        <v>210298.37180224477</v>
      </c>
      <c r="AG771">
        <f t="shared" si="325"/>
        <v>209376.09981615102</v>
      </c>
      <c r="AH771">
        <f t="shared" si="326"/>
        <v>207939.40303109621</v>
      </c>
      <c r="AI771">
        <f t="shared" si="339"/>
        <v>211949.33405838994</v>
      </c>
    </row>
    <row r="772" spans="2:35" x14ac:dyDescent="0.3">
      <c r="B772">
        <v>729</v>
      </c>
      <c r="C772">
        <v>78689.893500000006</v>
      </c>
      <c r="D772">
        <v>78286.525800000003</v>
      </c>
      <c r="E772">
        <v>79227.838300000003</v>
      </c>
      <c r="F772">
        <v>79183.197499999995</v>
      </c>
      <c r="G772">
        <v>80250.263500000001</v>
      </c>
      <c r="H772">
        <v>80871.0101</v>
      </c>
      <c r="I772">
        <v>10.765172970653945</v>
      </c>
      <c r="J772">
        <v>10.741617181380517</v>
      </c>
      <c r="K772">
        <v>10.724111227174239</v>
      </c>
      <c r="L772">
        <v>10.71333009858553</v>
      </c>
      <c r="M772">
        <v>10.688619019026049</v>
      </c>
      <c r="N772">
        <v>10.671436363244405</v>
      </c>
      <c r="P772">
        <f t="shared" si="349"/>
        <v>244265.29561961832</v>
      </c>
      <c r="Q772">
        <f t="shared" si="350"/>
        <v>243961.98964141554</v>
      </c>
      <c r="R772">
        <f t="shared" si="351"/>
        <v>242495.49851522717</v>
      </c>
      <c r="S772">
        <f t="shared" si="352"/>
        <v>242216.7054575659</v>
      </c>
      <c r="T772">
        <f t="shared" si="353"/>
        <v>240408.30707078148</v>
      </c>
      <c r="U772">
        <f t="shared" si="354"/>
        <v>239272.08079733216</v>
      </c>
      <c r="V772">
        <f t="shared" si="328"/>
        <v>1</v>
      </c>
      <c r="W772">
        <f t="shared" si="329"/>
        <v>0</v>
      </c>
      <c r="X772">
        <f t="shared" si="330"/>
        <v>0</v>
      </c>
      <c r="Y772">
        <f t="shared" si="331"/>
        <v>0</v>
      </c>
      <c r="Z772">
        <f t="shared" si="332"/>
        <v>0</v>
      </c>
      <c r="AC772">
        <f t="shared" si="321"/>
        <v>244265.29561961832</v>
      </c>
      <c r="AD772">
        <f t="shared" si="322"/>
        <v>243961.98964141554</v>
      </c>
      <c r="AE772">
        <f t="shared" si="323"/>
        <v>242495.49851522717</v>
      </c>
      <c r="AF772">
        <f t="shared" si="324"/>
        <v>242216.7054575659</v>
      </c>
      <c r="AG772">
        <f t="shared" si="325"/>
        <v>240408.30707078148</v>
      </c>
      <c r="AH772">
        <f t="shared" si="326"/>
        <v>239272.08079733216</v>
      </c>
      <c r="AI772">
        <f t="shared" si="339"/>
        <v>244265.29561961832</v>
      </c>
    </row>
    <row r="773" spans="2:35" x14ac:dyDescent="0.3">
      <c r="B773">
        <v>730</v>
      </c>
      <c r="C773">
        <v>74435.840800000005</v>
      </c>
      <c r="D773">
        <v>74292.905100000004</v>
      </c>
      <c r="E773">
        <v>74978.993499999997</v>
      </c>
      <c r="F773">
        <v>75239.521500000003</v>
      </c>
      <c r="G773">
        <v>76219.751799999998</v>
      </c>
      <c r="H773">
        <v>77028.6924</v>
      </c>
      <c r="I773">
        <v>10.970373630756859</v>
      </c>
      <c r="J773">
        <v>10.962796172330254</v>
      </c>
      <c r="K773">
        <v>10.959261932232062</v>
      </c>
      <c r="L773">
        <v>10.955397978368511</v>
      </c>
      <c r="M773">
        <v>10.949132078132088</v>
      </c>
      <c r="N773">
        <v>10.944342293784642</v>
      </c>
      <c r="P773">
        <f t="shared" si="349"/>
        <v>254675.36812270578</v>
      </c>
      <c r="Q773">
        <f t="shared" si="350"/>
        <v>254590.98006990764</v>
      </c>
      <c r="R773">
        <f t="shared" si="351"/>
        <v>253798.86446696188</v>
      </c>
      <c r="S773">
        <f t="shared" si="352"/>
        <v>253422.4178510553</v>
      </c>
      <c r="T773">
        <f t="shared" si="353"/>
        <v>252254.21054396263</v>
      </c>
      <c r="U773">
        <f t="shared" si="354"/>
        <v>251301.57641353924</v>
      </c>
      <c r="V773">
        <f t="shared" si="328"/>
        <v>1</v>
      </c>
      <c r="W773">
        <f t="shared" si="329"/>
        <v>0</v>
      </c>
      <c r="X773">
        <f t="shared" si="330"/>
        <v>0</v>
      </c>
      <c r="Y773">
        <f t="shared" si="331"/>
        <v>0</v>
      </c>
      <c r="Z773">
        <f t="shared" si="332"/>
        <v>0</v>
      </c>
      <c r="AA773">
        <f t="shared" ref="AA773" si="357">IF(MAX(P773:U773)=U773, 1, 0)</f>
        <v>0</v>
      </c>
      <c r="AC773">
        <f t="shared" si="321"/>
        <v>254675.36812270578</v>
      </c>
      <c r="AD773">
        <f t="shared" si="322"/>
        <v>254590.98006990764</v>
      </c>
      <c r="AE773">
        <f t="shared" si="323"/>
        <v>253798.86446696188</v>
      </c>
      <c r="AF773">
        <f t="shared" si="324"/>
        <v>253422.4178510553</v>
      </c>
      <c r="AG773">
        <f t="shared" si="325"/>
        <v>252254.21054396263</v>
      </c>
      <c r="AH773">
        <f t="shared" si="326"/>
        <v>251301.57641353924</v>
      </c>
      <c r="AI773">
        <f t="shared" si="339"/>
        <v>254675.36812270578</v>
      </c>
    </row>
    <row r="774" spans="2:35" x14ac:dyDescent="0.3">
      <c r="B774">
        <v>731</v>
      </c>
      <c r="C774">
        <v>70942.042499999996</v>
      </c>
      <c r="D774">
        <v>69668.785999999993</v>
      </c>
      <c r="E774">
        <v>69793.600900000005</v>
      </c>
      <c r="F774">
        <v>69656.648000000001</v>
      </c>
      <c r="G774">
        <v>69498.6155</v>
      </c>
      <c r="H774">
        <v>69876.950899999996</v>
      </c>
      <c r="I774">
        <v>10.900901507634162</v>
      </c>
      <c r="J774">
        <v>10.857041727252703</v>
      </c>
      <c r="K774">
        <v>10.828465030317469</v>
      </c>
      <c r="L774">
        <v>10.816860823391799</v>
      </c>
      <c r="M774">
        <v>10.776812855421095</v>
      </c>
      <c r="N774">
        <v>10.740650624662418</v>
      </c>
      <c r="P774">
        <f t="shared" si="349"/>
        <v>256085.00272902485</v>
      </c>
      <c r="Q774">
        <f t="shared" si="350"/>
        <v>256042.46581758108</v>
      </c>
      <c r="R774">
        <f t="shared" si="351"/>
        <v>255060.35000952403</v>
      </c>
      <c r="S774">
        <f t="shared" si="352"/>
        <v>254849.17670175398</v>
      </c>
      <c r="T774">
        <f t="shared" si="353"/>
        <v>253805.77016263286</v>
      </c>
      <c r="U774">
        <f t="shared" si="354"/>
        <v>252342.56783987256</v>
      </c>
      <c r="V774">
        <f t="shared" si="328"/>
        <v>1</v>
      </c>
      <c r="W774">
        <f t="shared" si="329"/>
        <v>0</v>
      </c>
      <c r="X774">
        <f t="shared" si="330"/>
        <v>0</v>
      </c>
      <c r="Y774">
        <f t="shared" si="331"/>
        <v>0</v>
      </c>
      <c r="Z774">
        <f t="shared" si="332"/>
        <v>0</v>
      </c>
      <c r="AC774">
        <f t="shared" si="321"/>
        <v>256085.00272902485</v>
      </c>
      <c r="AD774">
        <f t="shared" si="322"/>
        <v>256042.46581758108</v>
      </c>
      <c r="AE774">
        <f t="shared" si="323"/>
        <v>255060.35000952403</v>
      </c>
      <c r="AF774">
        <f t="shared" si="324"/>
        <v>254849.17670175398</v>
      </c>
      <c r="AG774">
        <f t="shared" si="325"/>
        <v>253805.77016263286</v>
      </c>
      <c r="AH774">
        <f t="shared" si="326"/>
        <v>252342.56783987256</v>
      </c>
      <c r="AI774">
        <f t="shared" si="339"/>
        <v>256085.00272902485</v>
      </c>
    </row>
    <row r="775" spans="2:35" x14ac:dyDescent="0.3">
      <c r="B775">
        <v>732</v>
      </c>
      <c r="C775">
        <v>80592.327999999994</v>
      </c>
      <c r="D775">
        <v>79289.226299999995</v>
      </c>
      <c r="E775">
        <v>79269.6633</v>
      </c>
      <c r="F775">
        <v>78884.046600000001</v>
      </c>
      <c r="G775">
        <v>78891.842900000003</v>
      </c>
      <c r="H775">
        <v>78701.201100000006</v>
      </c>
      <c r="I775">
        <v>8.8988136386248051</v>
      </c>
      <c r="J775">
        <v>8.8781159805848748</v>
      </c>
      <c r="K775">
        <v>8.8651600375662305</v>
      </c>
      <c r="L775">
        <v>8.8594849099380184</v>
      </c>
      <c r="M775">
        <v>8.8472464721101574</v>
      </c>
      <c r="N775">
        <v>8.8323500211677342</v>
      </c>
      <c r="P775">
        <f t="shared" si="349"/>
        <v>186372.08115874417</v>
      </c>
      <c r="Q775">
        <f t="shared" si="350"/>
        <v>187054.25311754626</v>
      </c>
      <c r="R775">
        <f t="shared" si="351"/>
        <v>186685.1378269869</v>
      </c>
      <c r="S775">
        <f t="shared" si="352"/>
        <v>186900.50069814053</v>
      </c>
      <c r="T775">
        <f t="shared" si="353"/>
        <v>186525.55126330472</v>
      </c>
      <c r="U775">
        <f t="shared" si="354"/>
        <v>186269.29953503201</v>
      </c>
      <c r="V775">
        <f t="shared" si="328"/>
        <v>0</v>
      </c>
      <c r="W775">
        <f t="shared" si="329"/>
        <v>1</v>
      </c>
      <c r="X775">
        <f t="shared" si="330"/>
        <v>0</v>
      </c>
      <c r="Y775">
        <f t="shared" si="331"/>
        <v>0</v>
      </c>
      <c r="Z775">
        <f t="shared" si="332"/>
        <v>0</v>
      </c>
      <c r="AA775">
        <f t="shared" ref="AA775" si="358">IF(MAX(P775:U775)=U775, 1, 0)</f>
        <v>0</v>
      </c>
      <c r="AC775">
        <f t="shared" si="321"/>
        <v>186372.08115874417</v>
      </c>
      <c r="AD775">
        <f t="shared" si="322"/>
        <v>187054.25311754626</v>
      </c>
      <c r="AE775">
        <f t="shared" si="323"/>
        <v>186685.1378269869</v>
      </c>
      <c r="AF775">
        <f t="shared" si="324"/>
        <v>186900.50069814053</v>
      </c>
      <c r="AG775">
        <f t="shared" si="325"/>
        <v>186525.55126330472</v>
      </c>
      <c r="AH775">
        <f t="shared" si="326"/>
        <v>186269.29953503201</v>
      </c>
      <c r="AI775">
        <f t="shared" si="339"/>
        <v>187054.25311754626</v>
      </c>
    </row>
    <row r="776" spans="2:35" x14ac:dyDescent="0.3">
      <c r="B776">
        <v>733</v>
      </c>
      <c r="C776">
        <v>84790.869600000005</v>
      </c>
      <c r="D776">
        <v>84208.97</v>
      </c>
      <c r="E776">
        <v>84528.669800000003</v>
      </c>
      <c r="F776">
        <v>84516.252099999998</v>
      </c>
      <c r="G776">
        <v>85021.054600000003</v>
      </c>
      <c r="H776">
        <v>85398.622000000003</v>
      </c>
      <c r="I776">
        <v>10.149547768608015</v>
      </c>
      <c r="J776">
        <v>10.12689914194149</v>
      </c>
      <c r="K776">
        <v>10.115436749815075</v>
      </c>
      <c r="L776">
        <v>10.112961319255989</v>
      </c>
      <c r="M776">
        <v>10.093859309182287</v>
      </c>
      <c r="N776">
        <v>10.078829902255618</v>
      </c>
      <c r="P776">
        <f t="shared" si="349"/>
        <v>219695.56345824045</v>
      </c>
      <c r="Q776">
        <f t="shared" si="350"/>
        <v>219598.00425824468</v>
      </c>
      <c r="R776">
        <f t="shared" si="351"/>
        <v>218934.43269445226</v>
      </c>
      <c r="S776">
        <f t="shared" si="352"/>
        <v>218872.58747767971</v>
      </c>
      <c r="T776">
        <f t="shared" si="353"/>
        <v>217794.72467546861</v>
      </c>
      <c r="U776">
        <f t="shared" si="354"/>
        <v>216966.27506766855</v>
      </c>
      <c r="V776">
        <f t="shared" si="328"/>
        <v>1</v>
      </c>
      <c r="W776">
        <f t="shared" si="329"/>
        <v>0</v>
      </c>
      <c r="X776">
        <f t="shared" si="330"/>
        <v>0</v>
      </c>
      <c r="Y776">
        <f t="shared" si="331"/>
        <v>0</v>
      </c>
      <c r="Z776">
        <f t="shared" si="332"/>
        <v>0</v>
      </c>
      <c r="AC776">
        <f t="shared" si="321"/>
        <v>219695.56345824045</v>
      </c>
      <c r="AD776">
        <f t="shared" si="322"/>
        <v>219598.00425824468</v>
      </c>
      <c r="AE776">
        <f t="shared" si="323"/>
        <v>218934.43269445226</v>
      </c>
      <c r="AF776">
        <f t="shared" si="324"/>
        <v>218872.58747767971</v>
      </c>
      <c r="AG776">
        <f t="shared" si="325"/>
        <v>217794.72467546861</v>
      </c>
      <c r="AH776">
        <f t="shared" si="326"/>
        <v>216966.27506766855</v>
      </c>
      <c r="AI776">
        <f t="shared" si="339"/>
        <v>219695.56345824045</v>
      </c>
    </row>
    <row r="777" spans="2:35" x14ac:dyDescent="0.3">
      <c r="B777">
        <v>734</v>
      </c>
      <c r="C777">
        <v>80630.366699999999</v>
      </c>
      <c r="D777">
        <v>79176.9277</v>
      </c>
      <c r="E777">
        <v>78841.181200000006</v>
      </c>
      <c r="F777">
        <v>78567.253899999996</v>
      </c>
      <c r="G777">
        <v>78379.034599999999</v>
      </c>
      <c r="H777">
        <v>78048.034</v>
      </c>
      <c r="I777">
        <v>10.096962762140597</v>
      </c>
      <c r="J777">
        <v>10.060313627988581</v>
      </c>
      <c r="K777">
        <v>10.037168636806069</v>
      </c>
      <c r="L777">
        <v>10.016820029374308</v>
      </c>
      <c r="M777">
        <v>9.9937534253282738</v>
      </c>
      <c r="N777">
        <v>9.9579243765894478</v>
      </c>
      <c r="P777">
        <f t="shared" si="349"/>
        <v>222278.5161642179</v>
      </c>
      <c r="Q777">
        <f t="shared" si="350"/>
        <v>222632.48113965744</v>
      </c>
      <c r="R777">
        <f t="shared" si="351"/>
        <v>222273.87790418207</v>
      </c>
      <c r="S777">
        <f t="shared" si="352"/>
        <v>221937.34698122926</v>
      </c>
      <c r="T777">
        <f t="shared" si="353"/>
        <v>221433.56815984822</v>
      </c>
      <c r="U777">
        <f t="shared" si="354"/>
        <v>220689.69729768345</v>
      </c>
      <c r="V777">
        <f t="shared" si="328"/>
        <v>0</v>
      </c>
      <c r="W777">
        <f t="shared" si="329"/>
        <v>1</v>
      </c>
      <c r="X777">
        <f t="shared" si="330"/>
        <v>0</v>
      </c>
      <c r="Y777">
        <f t="shared" si="331"/>
        <v>0</v>
      </c>
      <c r="Z777">
        <f t="shared" si="332"/>
        <v>0</v>
      </c>
      <c r="AA777">
        <f t="shared" ref="AA777" si="359">IF(MAX(P777:U777)=U777, 1, 0)</f>
        <v>0</v>
      </c>
      <c r="AC777">
        <f t="shared" si="321"/>
        <v>222278.5161642179</v>
      </c>
      <c r="AD777">
        <f t="shared" si="322"/>
        <v>222632.48113965744</v>
      </c>
      <c r="AE777">
        <f t="shared" si="323"/>
        <v>222273.87790418207</v>
      </c>
      <c r="AF777">
        <f t="shared" si="324"/>
        <v>221937.34698122926</v>
      </c>
      <c r="AG777">
        <f t="shared" si="325"/>
        <v>221433.56815984822</v>
      </c>
      <c r="AH777">
        <f t="shared" si="326"/>
        <v>220689.69729768345</v>
      </c>
      <c r="AI777">
        <f t="shared" si="339"/>
        <v>222632.48113965744</v>
      </c>
    </row>
    <row r="778" spans="2:35" x14ac:dyDescent="0.3">
      <c r="B778">
        <v>735</v>
      </c>
      <c r="C778">
        <v>73559.227100000004</v>
      </c>
      <c r="D778">
        <v>73052.113899999997</v>
      </c>
      <c r="E778">
        <v>73866.785000000003</v>
      </c>
      <c r="F778">
        <v>74042.463900000002</v>
      </c>
      <c r="G778">
        <v>74836.784299999999</v>
      </c>
      <c r="H778">
        <v>75547.718800000002</v>
      </c>
      <c r="I778">
        <v>9.8936872466425143</v>
      </c>
      <c r="J778">
        <v>9.8841422156172367</v>
      </c>
      <c r="K778">
        <v>9.8765816134614397</v>
      </c>
      <c r="L778">
        <v>9.8701827384768954</v>
      </c>
      <c r="M778">
        <v>9.8654120460975872</v>
      </c>
      <c r="N778">
        <v>9.8476056443057196</v>
      </c>
      <c r="P778">
        <f t="shared" si="349"/>
        <v>223251.3902992754</v>
      </c>
      <c r="Q778">
        <f t="shared" si="350"/>
        <v>223472.15256851708</v>
      </c>
      <c r="R778">
        <f t="shared" si="351"/>
        <v>222430.66340384321</v>
      </c>
      <c r="S778">
        <f t="shared" si="352"/>
        <v>222063.01825430684</v>
      </c>
      <c r="T778">
        <f t="shared" si="353"/>
        <v>221125.57708292763</v>
      </c>
      <c r="U778">
        <f t="shared" si="354"/>
        <v>219880.45052917159</v>
      </c>
      <c r="V778">
        <f t="shared" si="328"/>
        <v>0</v>
      </c>
      <c r="W778">
        <f t="shared" si="329"/>
        <v>1</v>
      </c>
      <c r="X778">
        <f t="shared" si="330"/>
        <v>0</v>
      </c>
      <c r="Y778">
        <f t="shared" si="331"/>
        <v>0</v>
      </c>
      <c r="Z778">
        <f t="shared" si="332"/>
        <v>0</v>
      </c>
      <c r="AC778">
        <f t="shared" si="321"/>
        <v>223251.3902992754</v>
      </c>
      <c r="AD778">
        <f t="shared" si="322"/>
        <v>223472.15256851708</v>
      </c>
      <c r="AE778">
        <f t="shared" si="323"/>
        <v>222430.66340384321</v>
      </c>
      <c r="AF778">
        <f t="shared" si="324"/>
        <v>222063.01825430684</v>
      </c>
      <c r="AG778">
        <f t="shared" si="325"/>
        <v>221125.57708292763</v>
      </c>
      <c r="AH778">
        <f t="shared" si="326"/>
        <v>219880.45052917159</v>
      </c>
      <c r="AI778">
        <f t="shared" si="339"/>
        <v>223472.15256851708</v>
      </c>
    </row>
    <row r="779" spans="2:35" x14ac:dyDescent="0.3">
      <c r="B779">
        <v>736</v>
      </c>
      <c r="C779">
        <v>73011.9182</v>
      </c>
      <c r="D779">
        <v>72748.585600000006</v>
      </c>
      <c r="E779">
        <v>73212.413799999995</v>
      </c>
      <c r="F779">
        <v>73191.871599999999</v>
      </c>
      <c r="G779">
        <v>73616.677100000001</v>
      </c>
      <c r="H779">
        <v>74487.862599999993</v>
      </c>
      <c r="I779">
        <v>10.988239720035985</v>
      </c>
      <c r="J779">
        <v>10.936801637950925</v>
      </c>
      <c r="K779">
        <v>10.913031818183969</v>
      </c>
      <c r="L779">
        <v>10.898171701831989</v>
      </c>
      <c r="M779">
        <v>10.871351478857546</v>
      </c>
      <c r="N779">
        <v>10.838282017641946</v>
      </c>
      <c r="P779">
        <f t="shared" si="349"/>
        <v>256635.27340107952</v>
      </c>
      <c r="Q779">
        <f t="shared" si="350"/>
        <v>255355.46353852778</v>
      </c>
      <c r="R779">
        <f t="shared" si="351"/>
        <v>254178.5407455191</v>
      </c>
      <c r="S779">
        <f t="shared" si="352"/>
        <v>253753.27945495967</v>
      </c>
      <c r="T779">
        <f t="shared" si="353"/>
        <v>252523.86726572641</v>
      </c>
      <c r="U779">
        <f t="shared" si="354"/>
        <v>250660.59792925837</v>
      </c>
      <c r="V779">
        <f t="shared" si="328"/>
        <v>1</v>
      </c>
      <c r="W779">
        <f t="shared" si="329"/>
        <v>0</v>
      </c>
      <c r="X779">
        <f t="shared" si="330"/>
        <v>0</v>
      </c>
      <c r="Y779">
        <f t="shared" si="331"/>
        <v>0</v>
      </c>
      <c r="Z779">
        <f t="shared" si="332"/>
        <v>0</v>
      </c>
      <c r="AA779">
        <f t="shared" ref="AA779" si="360">IF(MAX(P779:U779)=U779, 1, 0)</f>
        <v>0</v>
      </c>
      <c r="AC779">
        <f t="shared" si="321"/>
        <v>256635.27340107952</v>
      </c>
      <c r="AD779">
        <f t="shared" si="322"/>
        <v>255355.46353852778</v>
      </c>
      <c r="AE779">
        <f t="shared" si="323"/>
        <v>254178.5407455191</v>
      </c>
      <c r="AF779">
        <f t="shared" si="324"/>
        <v>253753.27945495967</v>
      </c>
      <c r="AG779">
        <f t="shared" si="325"/>
        <v>252523.86726572641</v>
      </c>
      <c r="AH779">
        <f t="shared" si="326"/>
        <v>250660.59792925837</v>
      </c>
      <c r="AI779">
        <f t="shared" si="339"/>
        <v>256635.27340107952</v>
      </c>
    </row>
    <row r="780" spans="2:35" x14ac:dyDescent="0.3">
      <c r="B780">
        <v>737</v>
      </c>
      <c r="C780">
        <v>68770.280799999993</v>
      </c>
      <c r="D780">
        <v>67656.4611</v>
      </c>
      <c r="E780">
        <v>67646.925099999993</v>
      </c>
      <c r="F780">
        <v>67580.381399999998</v>
      </c>
      <c r="G780">
        <v>67422.233300000007</v>
      </c>
      <c r="H780">
        <v>67791.095799999996</v>
      </c>
      <c r="I780">
        <v>11.730488043556136</v>
      </c>
      <c r="J780">
        <v>11.688757382872696</v>
      </c>
      <c r="K780">
        <v>11.652251181899993</v>
      </c>
      <c r="L780">
        <v>11.644682163114753</v>
      </c>
      <c r="M780">
        <v>11.601672788134096</v>
      </c>
      <c r="N780">
        <v>11.574808094654374</v>
      </c>
      <c r="P780">
        <f t="shared" si="349"/>
        <v>283144.36050668405</v>
      </c>
      <c r="Q780">
        <f t="shared" si="350"/>
        <v>283006.26038618089</v>
      </c>
      <c r="R780">
        <f t="shared" si="351"/>
        <v>281920.61035699979</v>
      </c>
      <c r="S780">
        <f t="shared" si="352"/>
        <v>281760.08349344257</v>
      </c>
      <c r="T780">
        <f t="shared" si="353"/>
        <v>280627.95034402283</v>
      </c>
      <c r="U780">
        <f t="shared" si="354"/>
        <v>279453.14703963121</v>
      </c>
      <c r="V780">
        <f t="shared" si="328"/>
        <v>1</v>
      </c>
      <c r="W780">
        <f t="shared" si="329"/>
        <v>0</v>
      </c>
      <c r="X780">
        <f t="shared" si="330"/>
        <v>0</v>
      </c>
      <c r="Y780">
        <f t="shared" si="331"/>
        <v>0</v>
      </c>
      <c r="Z780">
        <f t="shared" si="332"/>
        <v>0</v>
      </c>
      <c r="AC780">
        <f t="shared" si="321"/>
        <v>283144.36050668405</v>
      </c>
      <c r="AD780">
        <f t="shared" si="322"/>
        <v>283006.26038618089</v>
      </c>
      <c r="AE780">
        <f t="shared" si="323"/>
        <v>281920.61035699979</v>
      </c>
      <c r="AF780">
        <f t="shared" si="324"/>
        <v>281760.08349344257</v>
      </c>
      <c r="AG780">
        <f t="shared" si="325"/>
        <v>280627.95034402283</v>
      </c>
      <c r="AH780">
        <f t="shared" si="326"/>
        <v>279453.14703963121</v>
      </c>
      <c r="AI780">
        <f t="shared" si="339"/>
        <v>283144.36050668405</v>
      </c>
    </row>
    <row r="781" spans="2:35" x14ac:dyDescent="0.3">
      <c r="B781">
        <v>738</v>
      </c>
      <c r="C781">
        <v>72424.697100000005</v>
      </c>
      <c r="D781">
        <v>72750.465299999996</v>
      </c>
      <c r="E781">
        <v>73831.356700000004</v>
      </c>
      <c r="F781">
        <v>73829.269899999999</v>
      </c>
      <c r="G781">
        <v>75312.229399999997</v>
      </c>
      <c r="H781">
        <v>76587.961200000005</v>
      </c>
      <c r="I781">
        <v>10.723479289020174</v>
      </c>
      <c r="J781">
        <v>10.680973092455268</v>
      </c>
      <c r="K781">
        <v>10.657801912111314</v>
      </c>
      <c r="L781">
        <v>10.649270990198088</v>
      </c>
      <c r="M781">
        <v>10.611371899071212</v>
      </c>
      <c r="N781">
        <v>10.57845275194496</v>
      </c>
      <c r="P781">
        <f t="shared" si="349"/>
        <v>249279.68157060526</v>
      </c>
      <c r="Q781">
        <f t="shared" si="350"/>
        <v>247678.72747365804</v>
      </c>
      <c r="R781">
        <f t="shared" si="351"/>
        <v>245902.7006633394</v>
      </c>
      <c r="S781">
        <f t="shared" si="352"/>
        <v>245648.85980594263</v>
      </c>
      <c r="T781">
        <f t="shared" si="353"/>
        <v>243028.92757213634</v>
      </c>
      <c r="U781">
        <f t="shared" si="354"/>
        <v>240765.62135834876</v>
      </c>
      <c r="V781">
        <f t="shared" si="328"/>
        <v>1</v>
      </c>
      <c r="W781">
        <f t="shared" si="329"/>
        <v>0</v>
      </c>
      <c r="X781">
        <f t="shared" si="330"/>
        <v>0</v>
      </c>
      <c r="Y781">
        <f t="shared" si="331"/>
        <v>0</v>
      </c>
      <c r="Z781">
        <f t="shared" si="332"/>
        <v>0</v>
      </c>
      <c r="AA781">
        <f t="shared" ref="AA781" si="361">IF(MAX(P781:U781)=U781, 1, 0)</f>
        <v>0</v>
      </c>
      <c r="AC781">
        <f t="shared" si="321"/>
        <v>249279.68157060526</v>
      </c>
      <c r="AD781">
        <f t="shared" si="322"/>
        <v>247678.72747365804</v>
      </c>
      <c r="AE781">
        <f t="shared" si="323"/>
        <v>245902.7006633394</v>
      </c>
      <c r="AF781">
        <f t="shared" si="324"/>
        <v>245648.85980594263</v>
      </c>
      <c r="AG781">
        <f t="shared" si="325"/>
        <v>243028.92757213634</v>
      </c>
      <c r="AH781">
        <f t="shared" si="326"/>
        <v>240765.62135834876</v>
      </c>
      <c r="AI781">
        <f t="shared" si="339"/>
        <v>249279.68157060526</v>
      </c>
    </row>
    <row r="782" spans="2:35" x14ac:dyDescent="0.3">
      <c r="B782">
        <v>739</v>
      </c>
      <c r="C782">
        <v>85200.86</v>
      </c>
      <c r="D782">
        <v>83750.121599999999</v>
      </c>
      <c r="E782">
        <v>83686.943599999999</v>
      </c>
      <c r="F782">
        <v>83437.120699999999</v>
      </c>
      <c r="G782">
        <v>82983.502800000002</v>
      </c>
      <c r="H782">
        <v>82939.143400000001</v>
      </c>
      <c r="I782">
        <v>11.588425854207333</v>
      </c>
      <c r="J782">
        <v>11.532452245942059</v>
      </c>
      <c r="K782">
        <v>11.480957504533276</v>
      </c>
      <c r="L782">
        <v>11.472839718398603</v>
      </c>
      <c r="M782">
        <v>11.412663189093159</v>
      </c>
      <c r="N782">
        <v>11.355497046575351</v>
      </c>
      <c r="P782">
        <f t="shared" si="349"/>
        <v>262451.91562622</v>
      </c>
      <c r="Q782">
        <f t="shared" si="350"/>
        <v>262223.44577826175</v>
      </c>
      <c r="R782">
        <f t="shared" si="351"/>
        <v>260741.78153599828</v>
      </c>
      <c r="S782">
        <f t="shared" si="352"/>
        <v>260748.07085195809</v>
      </c>
      <c r="T782">
        <f t="shared" si="353"/>
        <v>259396.39287279476</v>
      </c>
      <c r="U782">
        <f t="shared" si="354"/>
        <v>257725.76799726055</v>
      </c>
      <c r="V782">
        <f t="shared" si="328"/>
        <v>1</v>
      </c>
      <c r="W782">
        <f t="shared" si="329"/>
        <v>0</v>
      </c>
      <c r="X782">
        <f t="shared" si="330"/>
        <v>0</v>
      </c>
      <c r="Y782">
        <f t="shared" si="331"/>
        <v>0</v>
      </c>
      <c r="Z782">
        <f t="shared" si="332"/>
        <v>0</v>
      </c>
      <c r="AC782">
        <f t="shared" si="321"/>
        <v>262451.91562622</v>
      </c>
      <c r="AD782">
        <f t="shared" si="322"/>
        <v>262223.44577826175</v>
      </c>
      <c r="AE782">
        <f t="shared" si="323"/>
        <v>260741.78153599828</v>
      </c>
      <c r="AF782">
        <f t="shared" si="324"/>
        <v>260748.07085195809</v>
      </c>
      <c r="AG782">
        <f t="shared" si="325"/>
        <v>259396.39287279476</v>
      </c>
      <c r="AH782">
        <f t="shared" si="326"/>
        <v>257725.76799726055</v>
      </c>
      <c r="AI782">
        <f t="shared" si="339"/>
        <v>262451.91562622</v>
      </c>
    </row>
    <row r="783" spans="2:35" x14ac:dyDescent="0.3">
      <c r="B783">
        <v>740</v>
      </c>
      <c r="C783">
        <v>74988.054399999994</v>
      </c>
      <c r="D783">
        <v>74819.936799999996</v>
      </c>
      <c r="E783">
        <v>75660.059599999993</v>
      </c>
      <c r="F783">
        <v>75656.849400000006</v>
      </c>
      <c r="G783">
        <v>76400.664300000004</v>
      </c>
      <c r="H783">
        <v>77050.198699999994</v>
      </c>
      <c r="I783">
        <v>9.127119038834083</v>
      </c>
      <c r="J783">
        <v>9.1120028394212227</v>
      </c>
      <c r="K783">
        <v>9.1005987447658576</v>
      </c>
      <c r="L783">
        <v>9.0934367747491773</v>
      </c>
      <c r="M783">
        <v>9.080914014703886</v>
      </c>
      <c r="N783">
        <v>9.0733228992689305</v>
      </c>
      <c r="P783">
        <f t="shared" si="349"/>
        <v>198825.5167650225</v>
      </c>
      <c r="Q783">
        <f t="shared" si="350"/>
        <v>198540.14838263669</v>
      </c>
      <c r="R783">
        <f t="shared" si="351"/>
        <v>197357.90274297574</v>
      </c>
      <c r="S783">
        <f t="shared" si="352"/>
        <v>197146.2538424753</v>
      </c>
      <c r="T783">
        <f t="shared" si="353"/>
        <v>196026.75614111655</v>
      </c>
      <c r="U783">
        <f t="shared" si="354"/>
        <v>195149.4882780679</v>
      </c>
      <c r="V783">
        <f t="shared" si="328"/>
        <v>1</v>
      </c>
      <c r="W783">
        <f t="shared" si="329"/>
        <v>0</v>
      </c>
      <c r="X783">
        <f t="shared" si="330"/>
        <v>0</v>
      </c>
      <c r="Y783">
        <f t="shared" si="331"/>
        <v>0</v>
      </c>
      <c r="Z783">
        <f t="shared" si="332"/>
        <v>0</v>
      </c>
      <c r="AA783">
        <f t="shared" ref="AA783" si="362">IF(MAX(P783:U783)=U783, 1, 0)</f>
        <v>0</v>
      </c>
      <c r="AC783">
        <f t="shared" si="321"/>
        <v>198825.5167650225</v>
      </c>
      <c r="AD783">
        <f t="shared" si="322"/>
        <v>198540.14838263669</v>
      </c>
      <c r="AE783">
        <f t="shared" si="323"/>
        <v>197357.90274297574</v>
      </c>
      <c r="AF783">
        <f t="shared" si="324"/>
        <v>197146.2538424753</v>
      </c>
      <c r="AG783">
        <f t="shared" si="325"/>
        <v>196026.75614111655</v>
      </c>
      <c r="AH783">
        <f t="shared" si="326"/>
        <v>195149.4882780679</v>
      </c>
      <c r="AI783">
        <f t="shared" si="339"/>
        <v>198825.5167650225</v>
      </c>
    </row>
    <row r="784" spans="2:35" x14ac:dyDescent="0.3">
      <c r="B784">
        <v>741</v>
      </c>
      <c r="C784">
        <v>72723.218800000002</v>
      </c>
      <c r="D784">
        <v>71609.517200000002</v>
      </c>
      <c r="E784">
        <v>71685.992100000003</v>
      </c>
      <c r="F784">
        <v>71520.126900000003</v>
      </c>
      <c r="G784">
        <v>71490.436499999996</v>
      </c>
      <c r="H784">
        <v>71533.1492</v>
      </c>
      <c r="I784">
        <v>11.077044335679004</v>
      </c>
      <c r="J784">
        <v>11.026644854395133</v>
      </c>
      <c r="K784">
        <v>10.986849968821904</v>
      </c>
      <c r="L784">
        <v>10.972219400457062</v>
      </c>
      <c r="M784">
        <v>10.948994196316018</v>
      </c>
      <c r="N784">
        <v>10.901651123001015</v>
      </c>
      <c r="P784">
        <f t="shared" si="349"/>
        <v>259588.11127037011</v>
      </c>
      <c r="Q784">
        <f t="shared" si="350"/>
        <v>259189.82843185402</v>
      </c>
      <c r="R784">
        <f t="shared" si="351"/>
        <v>257919.50696465714</v>
      </c>
      <c r="S784">
        <f t="shared" si="352"/>
        <v>257646.45511371185</v>
      </c>
      <c r="T784">
        <f t="shared" si="353"/>
        <v>256979.38938948052</v>
      </c>
      <c r="U784">
        <f t="shared" si="354"/>
        <v>255516.38449003047</v>
      </c>
      <c r="V784">
        <f t="shared" si="328"/>
        <v>1</v>
      </c>
      <c r="W784">
        <f t="shared" si="329"/>
        <v>0</v>
      </c>
      <c r="X784">
        <f t="shared" si="330"/>
        <v>0</v>
      </c>
      <c r="Y784">
        <f t="shared" si="331"/>
        <v>0</v>
      </c>
      <c r="Z784">
        <f t="shared" si="332"/>
        <v>0</v>
      </c>
      <c r="AC784">
        <f t="shared" si="321"/>
        <v>259588.11127037011</v>
      </c>
      <c r="AD784">
        <f t="shared" si="322"/>
        <v>259189.82843185402</v>
      </c>
      <c r="AE784">
        <f t="shared" si="323"/>
        <v>257919.50696465714</v>
      </c>
      <c r="AF784">
        <f t="shared" si="324"/>
        <v>257646.45511371185</v>
      </c>
      <c r="AG784">
        <f t="shared" si="325"/>
        <v>256979.38938948052</v>
      </c>
      <c r="AH784">
        <f t="shared" si="326"/>
        <v>255516.38449003047</v>
      </c>
      <c r="AI784">
        <f t="shared" si="339"/>
        <v>259588.11127037011</v>
      </c>
    </row>
    <row r="785" spans="2:35" x14ac:dyDescent="0.3">
      <c r="B785">
        <v>742</v>
      </c>
      <c r="C785">
        <v>81503.130900000004</v>
      </c>
      <c r="D785">
        <v>79959.295899999997</v>
      </c>
      <c r="E785">
        <v>79991.134900000005</v>
      </c>
      <c r="F785">
        <v>79705.059500000003</v>
      </c>
      <c r="G785">
        <v>79831.867800000007</v>
      </c>
      <c r="H785">
        <v>79600.281300000002</v>
      </c>
      <c r="I785">
        <v>10.792041260862501</v>
      </c>
      <c r="J785">
        <v>10.741929935022974</v>
      </c>
      <c r="K785">
        <v>10.690050128317946</v>
      </c>
      <c r="L785">
        <v>10.676199639442027</v>
      </c>
      <c r="M785">
        <v>10.634062550432375</v>
      </c>
      <c r="N785">
        <v>10.582962369006115</v>
      </c>
      <c r="P785">
        <f t="shared" si="349"/>
        <v>242258.10692587501</v>
      </c>
      <c r="Q785">
        <f t="shared" si="350"/>
        <v>242298.6021506892</v>
      </c>
      <c r="R785">
        <f t="shared" si="351"/>
        <v>240710.36894953839</v>
      </c>
      <c r="S785">
        <f t="shared" si="352"/>
        <v>240580.92968326082</v>
      </c>
      <c r="T785">
        <f t="shared" si="353"/>
        <v>239190.00871297123</v>
      </c>
      <c r="U785">
        <f t="shared" si="354"/>
        <v>237888.58977018346</v>
      </c>
      <c r="V785">
        <f t="shared" si="328"/>
        <v>0</v>
      </c>
      <c r="W785">
        <f t="shared" si="329"/>
        <v>1</v>
      </c>
      <c r="X785">
        <f t="shared" si="330"/>
        <v>0</v>
      </c>
      <c r="Y785">
        <f t="shared" si="331"/>
        <v>0</v>
      </c>
      <c r="Z785">
        <f t="shared" si="332"/>
        <v>0</v>
      </c>
      <c r="AA785">
        <f t="shared" ref="AA785" si="363">IF(MAX(P785:U785)=U785, 1, 0)</f>
        <v>0</v>
      </c>
      <c r="AC785">
        <f t="shared" si="321"/>
        <v>242258.10692587501</v>
      </c>
      <c r="AD785">
        <f t="shared" si="322"/>
        <v>242298.6021506892</v>
      </c>
      <c r="AE785">
        <f t="shared" si="323"/>
        <v>240710.36894953839</v>
      </c>
      <c r="AF785">
        <f t="shared" si="324"/>
        <v>240580.92968326082</v>
      </c>
      <c r="AG785">
        <f t="shared" si="325"/>
        <v>239190.00871297123</v>
      </c>
      <c r="AH785">
        <f t="shared" si="326"/>
        <v>237888.58977018346</v>
      </c>
      <c r="AI785">
        <f t="shared" si="339"/>
        <v>242298.6021506892</v>
      </c>
    </row>
    <row r="786" spans="2:35" x14ac:dyDescent="0.3">
      <c r="B786">
        <v>743</v>
      </c>
      <c r="C786">
        <v>81885.208899999998</v>
      </c>
      <c r="D786">
        <v>80937.554399999994</v>
      </c>
      <c r="E786">
        <v>81009.387600000002</v>
      </c>
      <c r="F786">
        <v>81045.763600000006</v>
      </c>
      <c r="G786">
        <v>81166.978400000007</v>
      </c>
      <c r="H786">
        <v>81334.945800000001</v>
      </c>
      <c r="I786">
        <v>10.598630738014513</v>
      </c>
      <c r="J786">
        <v>10.562287894446509</v>
      </c>
      <c r="K786">
        <v>10.545239737264327</v>
      </c>
      <c r="L786">
        <v>10.534524423229579</v>
      </c>
      <c r="M786">
        <v>10.512593443663913</v>
      </c>
      <c r="N786">
        <v>10.491309979892566</v>
      </c>
      <c r="P786">
        <f t="shared" si="349"/>
        <v>236073.71324043543</v>
      </c>
      <c r="Q786">
        <f t="shared" si="350"/>
        <v>235931.08243339529</v>
      </c>
      <c r="R786">
        <f t="shared" si="351"/>
        <v>235347.80451792979</v>
      </c>
      <c r="S786">
        <f t="shared" si="352"/>
        <v>234989.96909688733</v>
      </c>
      <c r="T786">
        <f t="shared" si="353"/>
        <v>234210.82490991737</v>
      </c>
      <c r="U786">
        <f t="shared" si="354"/>
        <v>233404.35359677701</v>
      </c>
      <c r="V786">
        <f t="shared" si="328"/>
        <v>1</v>
      </c>
      <c r="W786">
        <f t="shared" si="329"/>
        <v>0</v>
      </c>
      <c r="X786">
        <f t="shared" si="330"/>
        <v>0</v>
      </c>
      <c r="Y786">
        <f t="shared" si="331"/>
        <v>0</v>
      </c>
      <c r="Z786">
        <f t="shared" si="332"/>
        <v>0</v>
      </c>
      <c r="AC786">
        <f t="shared" si="321"/>
        <v>236073.71324043543</v>
      </c>
      <c r="AD786">
        <f t="shared" si="322"/>
        <v>235931.08243339529</v>
      </c>
      <c r="AE786">
        <f t="shared" si="323"/>
        <v>235347.80451792979</v>
      </c>
      <c r="AF786">
        <f t="shared" si="324"/>
        <v>234989.96909688733</v>
      </c>
      <c r="AG786">
        <f t="shared" si="325"/>
        <v>234210.82490991737</v>
      </c>
      <c r="AH786">
        <f t="shared" si="326"/>
        <v>233404.35359677701</v>
      </c>
      <c r="AI786">
        <f t="shared" si="339"/>
        <v>236073.71324043543</v>
      </c>
    </row>
    <row r="787" spans="2:35" x14ac:dyDescent="0.3">
      <c r="B787">
        <v>744</v>
      </c>
      <c r="C787">
        <v>82647.573300000004</v>
      </c>
      <c r="D787">
        <v>81662.150999999998</v>
      </c>
      <c r="E787">
        <v>81786.326000000001</v>
      </c>
      <c r="F787">
        <v>81675.170899999997</v>
      </c>
      <c r="G787">
        <v>81803.066300000006</v>
      </c>
      <c r="H787">
        <v>82001.985100000005</v>
      </c>
      <c r="I787">
        <v>9.704980150854766</v>
      </c>
      <c r="J787">
        <v>9.6933208941006708</v>
      </c>
      <c r="K787">
        <v>9.6862931631240592</v>
      </c>
      <c r="L787">
        <v>9.6833790252272589</v>
      </c>
      <c r="M787">
        <v>9.6738615512101767</v>
      </c>
      <c r="N787">
        <v>9.6637168013046075</v>
      </c>
      <c r="P787">
        <f t="shared" si="349"/>
        <v>208501.83122564299</v>
      </c>
      <c r="Q787">
        <f t="shared" si="350"/>
        <v>209137.4758230201</v>
      </c>
      <c r="R787">
        <f t="shared" si="351"/>
        <v>208802.46889372176</v>
      </c>
      <c r="S787">
        <f t="shared" si="352"/>
        <v>208826.19985681775</v>
      </c>
      <c r="T787">
        <f t="shared" si="353"/>
        <v>208412.78023630532</v>
      </c>
      <c r="U787">
        <f t="shared" si="354"/>
        <v>207909.51893913822</v>
      </c>
      <c r="V787">
        <f t="shared" si="328"/>
        <v>0</v>
      </c>
      <c r="W787">
        <f t="shared" si="329"/>
        <v>1</v>
      </c>
      <c r="X787">
        <f t="shared" si="330"/>
        <v>0</v>
      </c>
      <c r="Y787">
        <f t="shared" si="331"/>
        <v>0</v>
      </c>
      <c r="Z787">
        <f t="shared" si="332"/>
        <v>0</v>
      </c>
      <c r="AA787">
        <f t="shared" ref="AA787" si="364">IF(MAX(P787:U787)=U787, 1, 0)</f>
        <v>0</v>
      </c>
      <c r="AC787">
        <f t="shared" si="321"/>
        <v>208501.83122564299</v>
      </c>
      <c r="AD787">
        <f t="shared" si="322"/>
        <v>209137.4758230201</v>
      </c>
      <c r="AE787">
        <f t="shared" si="323"/>
        <v>208802.46889372176</v>
      </c>
      <c r="AF787">
        <f t="shared" si="324"/>
        <v>208826.19985681775</v>
      </c>
      <c r="AG787">
        <f t="shared" si="325"/>
        <v>208412.78023630532</v>
      </c>
      <c r="AH787">
        <f t="shared" si="326"/>
        <v>207909.51893913822</v>
      </c>
      <c r="AI787">
        <f t="shared" si="339"/>
        <v>209137.4758230201</v>
      </c>
    </row>
    <row r="788" spans="2:35" x14ac:dyDescent="0.3">
      <c r="B788">
        <v>745</v>
      </c>
      <c r="C788">
        <v>79284.197799999994</v>
      </c>
      <c r="D788">
        <v>77965.111900000004</v>
      </c>
      <c r="E788">
        <v>77908.7929</v>
      </c>
      <c r="F788">
        <v>77723.1486</v>
      </c>
      <c r="G788">
        <v>77482.238800000006</v>
      </c>
      <c r="H788">
        <v>77465.5769</v>
      </c>
      <c r="I788">
        <v>10.833830467430388</v>
      </c>
      <c r="J788">
        <v>10.790494146381111</v>
      </c>
      <c r="K788">
        <v>10.759551304665447</v>
      </c>
      <c r="L788">
        <v>10.74446581077029</v>
      </c>
      <c r="M788">
        <v>10.705060752781955</v>
      </c>
      <c r="N788">
        <v>10.676913512038475</v>
      </c>
      <c r="P788">
        <f t="shared" si="349"/>
        <v>245730.71622291164</v>
      </c>
      <c r="Q788">
        <f t="shared" si="350"/>
        <v>245749.71249143331</v>
      </c>
      <c r="R788">
        <f t="shared" si="351"/>
        <v>244877.7462399634</v>
      </c>
      <c r="S788">
        <f t="shared" si="352"/>
        <v>244610.82572310866</v>
      </c>
      <c r="T788">
        <f t="shared" si="353"/>
        <v>243669.58378345869</v>
      </c>
      <c r="U788">
        <f t="shared" si="354"/>
        <v>242841.82846115425</v>
      </c>
      <c r="V788">
        <f t="shared" si="328"/>
        <v>0</v>
      </c>
      <c r="W788">
        <f t="shared" si="329"/>
        <v>1</v>
      </c>
      <c r="X788">
        <f t="shared" si="330"/>
        <v>0</v>
      </c>
      <c r="Y788">
        <f t="shared" si="331"/>
        <v>0</v>
      </c>
      <c r="Z788">
        <f t="shared" si="332"/>
        <v>0</v>
      </c>
      <c r="AC788">
        <f t="shared" si="321"/>
        <v>245730.71622291164</v>
      </c>
      <c r="AD788">
        <f t="shared" si="322"/>
        <v>245749.71249143331</v>
      </c>
      <c r="AE788">
        <f t="shared" si="323"/>
        <v>244877.7462399634</v>
      </c>
      <c r="AF788">
        <f t="shared" si="324"/>
        <v>244610.82572310866</v>
      </c>
      <c r="AG788">
        <f t="shared" si="325"/>
        <v>243669.58378345869</v>
      </c>
      <c r="AH788">
        <f t="shared" si="326"/>
        <v>242841.82846115425</v>
      </c>
      <c r="AI788">
        <f t="shared" si="339"/>
        <v>245749.71249143331</v>
      </c>
    </row>
    <row r="789" spans="2:35" x14ac:dyDescent="0.3">
      <c r="B789">
        <v>746</v>
      </c>
      <c r="C789">
        <v>70777.556599999996</v>
      </c>
      <c r="D789">
        <v>70055.582200000004</v>
      </c>
      <c r="E789">
        <v>70288.868199999997</v>
      </c>
      <c r="F789">
        <v>70270.873500000002</v>
      </c>
      <c r="G789">
        <v>70573.523000000001</v>
      </c>
      <c r="H789">
        <v>71101.981499999994</v>
      </c>
      <c r="I789">
        <v>9.136174148029431</v>
      </c>
      <c r="J789">
        <v>9.1142474856119122</v>
      </c>
      <c r="K789">
        <v>9.0974940146087881</v>
      </c>
      <c r="L789">
        <v>9.0911968035717852</v>
      </c>
      <c r="M789">
        <v>9.0753983795613316</v>
      </c>
      <c r="N789">
        <v>9.060930950457573</v>
      </c>
      <c r="P789">
        <f t="shared" si="349"/>
        <v>203307.6678408829</v>
      </c>
      <c r="Q789">
        <f t="shared" si="350"/>
        <v>203371.84236835735</v>
      </c>
      <c r="R789">
        <f t="shared" si="351"/>
        <v>202635.95223826365</v>
      </c>
      <c r="S789">
        <f t="shared" si="352"/>
        <v>202465.03060715355</v>
      </c>
      <c r="T789">
        <f t="shared" si="353"/>
        <v>201688.42838683998</v>
      </c>
      <c r="U789">
        <f t="shared" si="354"/>
        <v>200725.94701372721</v>
      </c>
      <c r="V789">
        <f t="shared" si="328"/>
        <v>0</v>
      </c>
      <c r="W789">
        <f t="shared" si="329"/>
        <v>1</v>
      </c>
      <c r="X789">
        <f t="shared" si="330"/>
        <v>0</v>
      </c>
      <c r="Y789">
        <f t="shared" si="331"/>
        <v>0</v>
      </c>
      <c r="Z789">
        <f t="shared" si="332"/>
        <v>0</v>
      </c>
      <c r="AA789">
        <f t="shared" ref="AA789" si="365">IF(MAX(P789:U789)=U789, 1, 0)</f>
        <v>0</v>
      </c>
      <c r="AC789">
        <f t="shared" si="321"/>
        <v>203307.6678408829</v>
      </c>
      <c r="AD789">
        <f t="shared" si="322"/>
        <v>203371.84236835735</v>
      </c>
      <c r="AE789">
        <f t="shared" si="323"/>
        <v>202635.95223826365</v>
      </c>
      <c r="AF789">
        <f t="shared" si="324"/>
        <v>202465.03060715355</v>
      </c>
      <c r="AG789">
        <f t="shared" si="325"/>
        <v>201688.42838683998</v>
      </c>
      <c r="AH789">
        <f t="shared" si="326"/>
        <v>200725.94701372721</v>
      </c>
      <c r="AI789">
        <f t="shared" si="339"/>
        <v>203371.84236835735</v>
      </c>
    </row>
    <row r="790" spans="2:35" x14ac:dyDescent="0.3">
      <c r="B790">
        <v>747</v>
      </c>
      <c r="C790">
        <v>65827.314499999993</v>
      </c>
      <c r="D790">
        <v>65669.974400000006</v>
      </c>
      <c r="E790">
        <v>66301.496199999994</v>
      </c>
      <c r="F790">
        <v>66102.168399999995</v>
      </c>
      <c r="G790">
        <v>66826.452099999995</v>
      </c>
      <c r="H790">
        <v>67781.720700000005</v>
      </c>
      <c r="I790">
        <v>10.699220840339892</v>
      </c>
      <c r="J790">
        <v>10.662941244549009</v>
      </c>
      <c r="K790">
        <v>10.63882230394951</v>
      </c>
      <c r="L790">
        <v>10.634213846964434</v>
      </c>
      <c r="M790">
        <v>10.606427893390663</v>
      </c>
      <c r="N790">
        <v>10.57512573675378</v>
      </c>
      <c r="P790">
        <f t="shared" si="349"/>
        <v>255149.31071019679</v>
      </c>
      <c r="Q790">
        <f t="shared" si="350"/>
        <v>254218.26293647027</v>
      </c>
      <c r="R790">
        <f t="shared" si="351"/>
        <v>252863.1729184853</v>
      </c>
      <c r="S790">
        <f t="shared" si="352"/>
        <v>252924.24700893302</v>
      </c>
      <c r="T790">
        <f t="shared" si="353"/>
        <v>251366.38470171992</v>
      </c>
      <c r="U790">
        <f t="shared" si="354"/>
        <v>249472.0514026134</v>
      </c>
      <c r="V790">
        <f t="shared" si="328"/>
        <v>1</v>
      </c>
      <c r="W790">
        <f t="shared" si="329"/>
        <v>0</v>
      </c>
      <c r="X790">
        <f t="shared" si="330"/>
        <v>0</v>
      </c>
      <c r="Y790">
        <f t="shared" si="331"/>
        <v>0</v>
      </c>
      <c r="Z790">
        <f t="shared" si="332"/>
        <v>0</v>
      </c>
      <c r="AC790">
        <f t="shared" si="321"/>
        <v>255149.31071019679</v>
      </c>
      <c r="AD790">
        <f t="shared" si="322"/>
        <v>254218.26293647027</v>
      </c>
      <c r="AE790">
        <f t="shared" si="323"/>
        <v>252863.1729184853</v>
      </c>
      <c r="AF790">
        <f t="shared" si="324"/>
        <v>252924.24700893302</v>
      </c>
      <c r="AG790">
        <f t="shared" si="325"/>
        <v>251366.38470171992</v>
      </c>
      <c r="AH790">
        <f t="shared" si="326"/>
        <v>249472.0514026134</v>
      </c>
      <c r="AI790">
        <f t="shared" si="339"/>
        <v>255149.31071019679</v>
      </c>
    </row>
    <row r="791" spans="2:35" x14ac:dyDescent="0.3">
      <c r="B791">
        <v>748</v>
      </c>
      <c r="C791">
        <v>83825.699399999998</v>
      </c>
      <c r="D791">
        <v>82549.488200000007</v>
      </c>
      <c r="E791">
        <v>82663.427200000006</v>
      </c>
      <c r="F791">
        <v>82530.578800000003</v>
      </c>
      <c r="G791">
        <v>82372.623800000001</v>
      </c>
      <c r="H791">
        <v>82433.328399999999</v>
      </c>
      <c r="I791">
        <v>11.24919839133716</v>
      </c>
      <c r="J791">
        <v>11.22393658992771</v>
      </c>
      <c r="K791">
        <v>11.208546446036978</v>
      </c>
      <c r="L791">
        <v>11.198488131590688</v>
      </c>
      <c r="M791">
        <v>11.18221858995758</v>
      </c>
      <c r="N791">
        <v>11.164460601736454</v>
      </c>
      <c r="P791">
        <f t="shared" si="349"/>
        <v>253650.25234011479</v>
      </c>
      <c r="Q791">
        <f t="shared" si="350"/>
        <v>254168.60949783126</v>
      </c>
      <c r="R791">
        <f t="shared" si="351"/>
        <v>253592.96618110934</v>
      </c>
      <c r="S791">
        <f t="shared" si="352"/>
        <v>253424.06514772063</v>
      </c>
      <c r="T791">
        <f t="shared" si="353"/>
        <v>253093.93389872741</v>
      </c>
      <c r="U791">
        <f t="shared" si="354"/>
        <v>252500.48965209362</v>
      </c>
      <c r="V791">
        <f t="shared" si="328"/>
        <v>0</v>
      </c>
      <c r="W791">
        <f t="shared" si="329"/>
        <v>1</v>
      </c>
      <c r="X791">
        <f t="shared" si="330"/>
        <v>0</v>
      </c>
      <c r="Y791">
        <f t="shared" si="331"/>
        <v>0</v>
      </c>
      <c r="Z791">
        <f t="shared" si="332"/>
        <v>0</v>
      </c>
      <c r="AA791">
        <f t="shared" ref="AA791" si="366">IF(MAX(P791:U791)=U791, 1, 0)</f>
        <v>0</v>
      </c>
      <c r="AC791">
        <f t="shared" si="321"/>
        <v>253650.25234011479</v>
      </c>
      <c r="AD791">
        <f t="shared" si="322"/>
        <v>254168.60949783126</v>
      </c>
      <c r="AE791">
        <f t="shared" si="323"/>
        <v>253592.96618110934</v>
      </c>
      <c r="AF791">
        <f t="shared" si="324"/>
        <v>253424.06514772063</v>
      </c>
      <c r="AG791">
        <f t="shared" si="325"/>
        <v>253093.93389872741</v>
      </c>
      <c r="AH791">
        <f t="shared" si="326"/>
        <v>252500.48965209362</v>
      </c>
      <c r="AI791">
        <f t="shared" si="339"/>
        <v>254168.60949783126</v>
      </c>
    </row>
    <row r="792" spans="2:35" x14ac:dyDescent="0.3">
      <c r="B792">
        <v>749</v>
      </c>
      <c r="C792">
        <v>82833.021099999998</v>
      </c>
      <c r="D792">
        <v>82379.967999999993</v>
      </c>
      <c r="E792">
        <v>83310.1296</v>
      </c>
      <c r="F792">
        <v>83655.153900000005</v>
      </c>
      <c r="G792">
        <v>84047.020300000004</v>
      </c>
      <c r="H792">
        <v>85028.430600000007</v>
      </c>
      <c r="I792">
        <v>9.9032267320387142</v>
      </c>
      <c r="J792">
        <v>9.8723470223735514</v>
      </c>
      <c r="K792">
        <v>9.8410884283071898</v>
      </c>
      <c r="L792">
        <v>9.8164277566252611</v>
      </c>
      <c r="M792">
        <v>9.7989801576280922</v>
      </c>
      <c r="N792">
        <v>9.7684663541502328</v>
      </c>
      <c r="P792">
        <f t="shared" si="349"/>
        <v>214263.78086116142</v>
      </c>
      <c r="Q792">
        <f t="shared" si="350"/>
        <v>213790.44267120655</v>
      </c>
      <c r="R792">
        <f t="shared" si="351"/>
        <v>211922.52324921568</v>
      </c>
      <c r="S792">
        <f t="shared" si="352"/>
        <v>210837.67879875781</v>
      </c>
      <c r="T792">
        <f t="shared" si="353"/>
        <v>209922.38442884278</v>
      </c>
      <c r="U792">
        <f t="shared" si="354"/>
        <v>208025.56002450694</v>
      </c>
      <c r="V792">
        <f t="shared" si="328"/>
        <v>1</v>
      </c>
      <c r="W792">
        <f t="shared" si="329"/>
        <v>0</v>
      </c>
      <c r="X792">
        <f t="shared" si="330"/>
        <v>0</v>
      </c>
      <c r="Y792">
        <f t="shared" si="331"/>
        <v>0</v>
      </c>
      <c r="Z792">
        <f t="shared" si="332"/>
        <v>0</v>
      </c>
      <c r="AC792">
        <f t="shared" si="321"/>
        <v>214263.78086116142</v>
      </c>
      <c r="AD792">
        <f t="shared" si="322"/>
        <v>213790.44267120655</v>
      </c>
      <c r="AE792">
        <f t="shared" si="323"/>
        <v>211922.52324921568</v>
      </c>
      <c r="AF792">
        <f t="shared" si="324"/>
        <v>210837.67879875781</v>
      </c>
      <c r="AG792">
        <f t="shared" si="325"/>
        <v>209922.38442884278</v>
      </c>
      <c r="AH792">
        <f t="shared" si="326"/>
        <v>208025.56002450694</v>
      </c>
      <c r="AI792">
        <f t="shared" si="339"/>
        <v>214263.78086116142</v>
      </c>
    </row>
    <row r="793" spans="2:35" x14ac:dyDescent="0.3">
      <c r="B793">
        <v>750</v>
      </c>
      <c r="C793">
        <v>66428.043900000004</v>
      </c>
      <c r="D793">
        <v>65655.649699999994</v>
      </c>
      <c r="E793">
        <v>66092.774900000004</v>
      </c>
      <c r="F793">
        <v>65813.183000000005</v>
      </c>
      <c r="G793">
        <v>66259.802500000005</v>
      </c>
      <c r="H793">
        <v>66692.128500000006</v>
      </c>
      <c r="I793">
        <v>10.879880108440348</v>
      </c>
      <c r="J793">
        <v>10.86408514810666</v>
      </c>
      <c r="K793">
        <v>10.853824850844868</v>
      </c>
      <c r="L793">
        <v>10.849649247111396</v>
      </c>
      <c r="M793">
        <v>10.836916537956766</v>
      </c>
      <c r="N793">
        <v>10.823637467690729</v>
      </c>
      <c r="P793">
        <f t="shared" si="349"/>
        <v>259968.35935321049</v>
      </c>
      <c r="Q793">
        <f t="shared" si="350"/>
        <v>260266.90474319982</v>
      </c>
      <c r="R793">
        <f t="shared" si="351"/>
        <v>259521.970625346</v>
      </c>
      <c r="S793">
        <f t="shared" si="352"/>
        <v>259676.29441334185</v>
      </c>
      <c r="T793">
        <f t="shared" si="353"/>
        <v>258847.69363870297</v>
      </c>
      <c r="U793">
        <f t="shared" si="354"/>
        <v>258016.99553072185</v>
      </c>
      <c r="V793">
        <f t="shared" si="328"/>
        <v>0</v>
      </c>
      <c r="W793">
        <f t="shared" si="329"/>
        <v>1</v>
      </c>
      <c r="X793">
        <f t="shared" si="330"/>
        <v>0</v>
      </c>
      <c r="Y793">
        <f t="shared" si="331"/>
        <v>0</v>
      </c>
      <c r="Z793">
        <f t="shared" si="332"/>
        <v>0</v>
      </c>
      <c r="AA793">
        <f t="shared" ref="AA793" si="367">IF(MAX(P793:U793)=U793, 1, 0)</f>
        <v>0</v>
      </c>
      <c r="AC793">
        <f t="shared" si="321"/>
        <v>259968.35935321049</v>
      </c>
      <c r="AD793">
        <f t="shared" si="322"/>
        <v>260266.90474319982</v>
      </c>
      <c r="AE793">
        <f t="shared" si="323"/>
        <v>259521.970625346</v>
      </c>
      <c r="AF793">
        <f t="shared" si="324"/>
        <v>259676.29441334185</v>
      </c>
      <c r="AG793">
        <f t="shared" si="325"/>
        <v>258847.69363870297</v>
      </c>
      <c r="AH793">
        <f t="shared" si="326"/>
        <v>258016.99553072185</v>
      </c>
      <c r="AI793">
        <f t="shared" si="339"/>
        <v>260266.90474319982</v>
      </c>
    </row>
    <row r="794" spans="2:35" x14ac:dyDescent="0.3">
      <c r="B794">
        <v>751</v>
      </c>
      <c r="C794">
        <v>77225.4908</v>
      </c>
      <c r="D794">
        <v>75518.444099999993</v>
      </c>
      <c r="E794">
        <v>74942.261100000003</v>
      </c>
      <c r="F794">
        <v>74471.623200000002</v>
      </c>
      <c r="G794">
        <v>74070.528000000006</v>
      </c>
      <c r="H794">
        <v>73770.005300000004</v>
      </c>
      <c r="I794">
        <v>11.022187148303066</v>
      </c>
      <c r="J794">
        <v>10.99682032912817</v>
      </c>
      <c r="K794">
        <v>10.970726671363119</v>
      </c>
      <c r="L794">
        <v>10.95734618130726</v>
      </c>
      <c r="M794">
        <v>10.937717727149668</v>
      </c>
      <c r="N794">
        <v>10.913654514005849</v>
      </c>
      <c r="P794">
        <f t="shared" si="349"/>
        <v>253440.12364909201</v>
      </c>
      <c r="Q794">
        <f t="shared" si="350"/>
        <v>254386.16577384507</v>
      </c>
      <c r="R794">
        <f t="shared" si="351"/>
        <v>254179.53904089355</v>
      </c>
      <c r="S794">
        <f t="shared" si="352"/>
        <v>254248.76223921779</v>
      </c>
      <c r="T794">
        <f t="shared" si="353"/>
        <v>254061.00381449005</v>
      </c>
      <c r="U794">
        <f t="shared" si="354"/>
        <v>253639.63012017542</v>
      </c>
      <c r="V794">
        <f t="shared" si="328"/>
        <v>0</v>
      </c>
      <c r="W794">
        <f t="shared" si="329"/>
        <v>1</v>
      </c>
      <c r="X794">
        <f t="shared" si="330"/>
        <v>0</v>
      </c>
      <c r="Y794">
        <f t="shared" si="331"/>
        <v>0</v>
      </c>
      <c r="Z794">
        <f t="shared" si="332"/>
        <v>0</v>
      </c>
      <c r="AC794">
        <f t="shared" si="321"/>
        <v>253440.12364909201</v>
      </c>
      <c r="AD794">
        <f t="shared" si="322"/>
        <v>254386.16577384507</v>
      </c>
      <c r="AE794">
        <f t="shared" si="323"/>
        <v>254179.53904089355</v>
      </c>
      <c r="AF794">
        <f t="shared" si="324"/>
        <v>254248.76223921779</v>
      </c>
      <c r="AG794">
        <f t="shared" si="325"/>
        <v>254061.00381449005</v>
      </c>
      <c r="AH794">
        <f t="shared" si="326"/>
        <v>253639.63012017542</v>
      </c>
      <c r="AI794">
        <f t="shared" si="339"/>
        <v>254386.16577384507</v>
      </c>
    </row>
    <row r="795" spans="2:35" x14ac:dyDescent="0.3">
      <c r="B795">
        <v>752</v>
      </c>
      <c r="C795">
        <v>76769.5965</v>
      </c>
      <c r="D795">
        <v>75275.914999999994</v>
      </c>
      <c r="E795">
        <v>75241.560599999997</v>
      </c>
      <c r="F795">
        <v>74941.196599999996</v>
      </c>
      <c r="G795">
        <v>74956.633499999996</v>
      </c>
      <c r="H795">
        <v>74705.988400000002</v>
      </c>
      <c r="I795">
        <v>9.7621256520837409</v>
      </c>
      <c r="J795">
        <v>9.7372432190967242</v>
      </c>
      <c r="K795">
        <v>9.7188947700539146</v>
      </c>
      <c r="L795">
        <v>9.7129458305707193</v>
      </c>
      <c r="M795">
        <v>9.6944809390075761</v>
      </c>
      <c r="N795">
        <v>9.670467344290671</v>
      </c>
      <c r="P795">
        <f t="shared" si="349"/>
        <v>216094.17306251224</v>
      </c>
      <c r="Q795">
        <f t="shared" si="350"/>
        <v>216841.38157290174</v>
      </c>
      <c r="R795">
        <f t="shared" si="351"/>
        <v>216325.28250161742</v>
      </c>
      <c r="S795">
        <f t="shared" si="352"/>
        <v>216447.17831712161</v>
      </c>
      <c r="T795">
        <f t="shared" si="353"/>
        <v>215877.79467022727</v>
      </c>
      <c r="U795">
        <f t="shared" si="354"/>
        <v>215408.03192872016</v>
      </c>
      <c r="V795">
        <f t="shared" si="328"/>
        <v>0</v>
      </c>
      <c r="W795">
        <f t="shared" si="329"/>
        <v>1</v>
      </c>
      <c r="X795">
        <f t="shared" si="330"/>
        <v>0</v>
      </c>
      <c r="Y795">
        <f t="shared" si="331"/>
        <v>0</v>
      </c>
      <c r="Z795">
        <f t="shared" si="332"/>
        <v>0</v>
      </c>
      <c r="AA795">
        <f t="shared" ref="AA795" si="368">IF(MAX(P795:U795)=U795, 1, 0)</f>
        <v>0</v>
      </c>
      <c r="AC795">
        <f t="shared" si="321"/>
        <v>216094.17306251224</v>
      </c>
      <c r="AD795">
        <f t="shared" si="322"/>
        <v>216841.38157290174</v>
      </c>
      <c r="AE795">
        <f t="shared" si="323"/>
        <v>216325.28250161742</v>
      </c>
      <c r="AF795">
        <f t="shared" si="324"/>
        <v>216447.17831712161</v>
      </c>
      <c r="AG795">
        <f t="shared" si="325"/>
        <v>215877.79467022727</v>
      </c>
      <c r="AH795">
        <f t="shared" si="326"/>
        <v>215408.03192872016</v>
      </c>
      <c r="AI795">
        <f t="shared" si="339"/>
        <v>216841.38157290174</v>
      </c>
    </row>
    <row r="796" spans="2:35" x14ac:dyDescent="0.3">
      <c r="B796">
        <v>753</v>
      </c>
      <c r="C796">
        <v>70050.979399999997</v>
      </c>
      <c r="D796">
        <v>69068.5291</v>
      </c>
      <c r="E796">
        <v>69534.887499999997</v>
      </c>
      <c r="F796">
        <v>69396.712700000004</v>
      </c>
      <c r="G796">
        <v>69705.850600000005</v>
      </c>
      <c r="H796">
        <v>70076.314700000003</v>
      </c>
      <c r="I796">
        <v>10.38153857557085</v>
      </c>
      <c r="J796">
        <v>10.353800351610458</v>
      </c>
      <c r="K796">
        <v>10.334389362791288</v>
      </c>
      <c r="L796">
        <v>10.325353865340492</v>
      </c>
      <c r="M796">
        <v>10.30708459398625</v>
      </c>
      <c r="N796">
        <v>10.279537834742664</v>
      </c>
      <c r="P796">
        <f t="shared" si="349"/>
        <v>241395.17786712549</v>
      </c>
      <c r="Q796">
        <f t="shared" si="350"/>
        <v>241545.48144831375</v>
      </c>
      <c r="R796">
        <f t="shared" si="351"/>
        <v>240496.79338373867</v>
      </c>
      <c r="S796">
        <f t="shared" si="352"/>
        <v>240363.90326021475</v>
      </c>
      <c r="T796">
        <f t="shared" si="353"/>
        <v>239506.6872195875</v>
      </c>
      <c r="U796">
        <f t="shared" si="354"/>
        <v>238309.82034227991</v>
      </c>
      <c r="V796">
        <f t="shared" si="328"/>
        <v>0</v>
      </c>
      <c r="W796">
        <f t="shared" si="329"/>
        <v>1</v>
      </c>
      <c r="X796">
        <f t="shared" si="330"/>
        <v>0</v>
      </c>
      <c r="Y796">
        <f t="shared" si="331"/>
        <v>0</v>
      </c>
      <c r="Z796">
        <f t="shared" si="332"/>
        <v>0</v>
      </c>
      <c r="AC796">
        <f t="shared" si="321"/>
        <v>241395.17786712549</v>
      </c>
      <c r="AD796">
        <f t="shared" si="322"/>
        <v>241545.48144831375</v>
      </c>
      <c r="AE796">
        <f t="shared" si="323"/>
        <v>240496.79338373867</v>
      </c>
      <c r="AF796">
        <f t="shared" si="324"/>
        <v>240363.90326021475</v>
      </c>
      <c r="AG796">
        <f t="shared" si="325"/>
        <v>239506.6872195875</v>
      </c>
      <c r="AH796">
        <f t="shared" si="326"/>
        <v>238309.82034227991</v>
      </c>
      <c r="AI796">
        <f t="shared" si="339"/>
        <v>241545.48144831375</v>
      </c>
    </row>
    <row r="797" spans="2:35" x14ac:dyDescent="0.3">
      <c r="B797">
        <v>754</v>
      </c>
      <c r="C797">
        <v>81518.651899999997</v>
      </c>
      <c r="D797">
        <v>80869.9035</v>
      </c>
      <c r="E797">
        <v>81498.298899999994</v>
      </c>
      <c r="F797">
        <v>81393.050799999997</v>
      </c>
      <c r="G797">
        <v>81929.179300000003</v>
      </c>
      <c r="H797">
        <v>82626.651299999998</v>
      </c>
      <c r="I797">
        <v>11.249192516215818</v>
      </c>
      <c r="J797">
        <v>11.229583984279348</v>
      </c>
      <c r="K797">
        <v>11.211439366326898</v>
      </c>
      <c r="L797">
        <v>11.20664983632823</v>
      </c>
      <c r="M797">
        <v>11.188522115596815</v>
      </c>
      <c r="N797">
        <v>11.175954951986492</v>
      </c>
      <c r="P797">
        <f t="shared" si="349"/>
        <v>255957.12358647451</v>
      </c>
      <c r="Q797">
        <f t="shared" si="350"/>
        <v>256017.61602838041</v>
      </c>
      <c r="R797">
        <f t="shared" si="351"/>
        <v>254844.88208980695</v>
      </c>
      <c r="S797">
        <f t="shared" si="352"/>
        <v>254806.4442898469</v>
      </c>
      <c r="T797">
        <f t="shared" si="353"/>
        <v>253726.48416790442</v>
      </c>
      <c r="U797">
        <f t="shared" si="354"/>
        <v>252651.99725959476</v>
      </c>
      <c r="V797">
        <f t="shared" si="328"/>
        <v>0</v>
      </c>
      <c r="W797">
        <f t="shared" si="329"/>
        <v>1</v>
      </c>
      <c r="X797">
        <f t="shared" si="330"/>
        <v>0</v>
      </c>
      <c r="Y797">
        <f t="shared" si="331"/>
        <v>0</v>
      </c>
      <c r="Z797">
        <f t="shared" si="332"/>
        <v>0</v>
      </c>
      <c r="AA797">
        <f t="shared" ref="AA797" si="369">IF(MAX(P797:U797)=U797, 1, 0)</f>
        <v>0</v>
      </c>
      <c r="AC797">
        <f t="shared" si="321"/>
        <v>255957.12358647451</v>
      </c>
      <c r="AD797">
        <f t="shared" si="322"/>
        <v>256017.61602838041</v>
      </c>
      <c r="AE797">
        <f t="shared" si="323"/>
        <v>254844.88208980695</v>
      </c>
      <c r="AF797">
        <f t="shared" si="324"/>
        <v>254806.4442898469</v>
      </c>
      <c r="AG797">
        <f t="shared" si="325"/>
        <v>253726.48416790442</v>
      </c>
      <c r="AH797">
        <f t="shared" si="326"/>
        <v>252651.99725959476</v>
      </c>
      <c r="AI797">
        <f t="shared" si="339"/>
        <v>256017.61602838041</v>
      </c>
    </row>
    <row r="798" spans="2:35" x14ac:dyDescent="0.3">
      <c r="B798">
        <v>755</v>
      </c>
      <c r="C798">
        <v>77769.168900000004</v>
      </c>
      <c r="D798">
        <v>78606.353600000002</v>
      </c>
      <c r="E798">
        <v>79886.844899999996</v>
      </c>
      <c r="F798">
        <v>81018.131399999998</v>
      </c>
      <c r="G798">
        <v>82235.540500000003</v>
      </c>
      <c r="H798">
        <v>83931.916400000002</v>
      </c>
      <c r="I798">
        <v>9.1712628897666946</v>
      </c>
      <c r="J798">
        <v>9.1176841048786468</v>
      </c>
      <c r="K798">
        <v>9.0754454503193678</v>
      </c>
      <c r="L798">
        <v>9.0309013434129248</v>
      </c>
      <c r="M798">
        <v>9.0082422140683924</v>
      </c>
      <c r="N798">
        <v>8.9526681817253859</v>
      </c>
      <c r="P798">
        <f t="shared" si="349"/>
        <v>197368.71779300086</v>
      </c>
      <c r="Q798">
        <f t="shared" si="350"/>
        <v>194924.16954635942</v>
      </c>
      <c r="R798">
        <f t="shared" si="351"/>
        <v>192376.51860958102</v>
      </c>
      <c r="S798">
        <f t="shared" si="352"/>
        <v>189908.90890238772</v>
      </c>
      <c r="T798">
        <f t="shared" si="353"/>
        <v>188011.72592205176</v>
      </c>
      <c r="U798">
        <f t="shared" si="354"/>
        <v>184648.12905176159</v>
      </c>
      <c r="V798">
        <f t="shared" si="328"/>
        <v>1</v>
      </c>
      <c r="W798">
        <f t="shared" si="329"/>
        <v>0</v>
      </c>
      <c r="X798">
        <f t="shared" si="330"/>
        <v>0</v>
      </c>
      <c r="Y798">
        <f t="shared" si="331"/>
        <v>0</v>
      </c>
      <c r="Z798">
        <f t="shared" si="332"/>
        <v>0</v>
      </c>
      <c r="AC798">
        <f t="shared" si="321"/>
        <v>197368.71779300086</v>
      </c>
      <c r="AD798">
        <f t="shared" si="322"/>
        <v>194924.16954635942</v>
      </c>
      <c r="AE798">
        <f t="shared" si="323"/>
        <v>192376.51860958102</v>
      </c>
      <c r="AF798">
        <f t="shared" si="324"/>
        <v>189908.90890238772</v>
      </c>
      <c r="AG798">
        <f t="shared" si="325"/>
        <v>188011.72592205176</v>
      </c>
      <c r="AH798">
        <f t="shared" si="326"/>
        <v>184648.12905176159</v>
      </c>
      <c r="AI798">
        <f t="shared" si="339"/>
        <v>197368.71779300086</v>
      </c>
    </row>
    <row r="799" spans="2:35" x14ac:dyDescent="0.3">
      <c r="B799">
        <v>756</v>
      </c>
      <c r="C799">
        <v>77606.028000000006</v>
      </c>
      <c r="D799">
        <v>77354.323099999994</v>
      </c>
      <c r="E799">
        <v>77752.494699999996</v>
      </c>
      <c r="F799">
        <v>78225.005399999995</v>
      </c>
      <c r="G799">
        <v>78909.331000000006</v>
      </c>
      <c r="H799">
        <v>79522.587199999994</v>
      </c>
      <c r="I799">
        <v>9.6180561752313558</v>
      </c>
      <c r="J799">
        <v>9.5925940002743317</v>
      </c>
      <c r="K799">
        <v>9.5726766911319636</v>
      </c>
      <c r="L799">
        <v>9.560895938776893</v>
      </c>
      <c r="M799">
        <v>9.54281751386727</v>
      </c>
      <c r="N799">
        <v>9.5220435064501103</v>
      </c>
      <c r="P799">
        <f t="shared" si="349"/>
        <v>210935.65725694067</v>
      </c>
      <c r="Q799">
        <f t="shared" si="350"/>
        <v>210423.49690822995</v>
      </c>
      <c r="R799">
        <f t="shared" si="351"/>
        <v>209427.80603395891</v>
      </c>
      <c r="S799">
        <f t="shared" si="352"/>
        <v>208601.8727633068</v>
      </c>
      <c r="T799">
        <f t="shared" si="353"/>
        <v>207375.19441601809</v>
      </c>
      <c r="U799">
        <f t="shared" si="354"/>
        <v>206138.71799350332</v>
      </c>
      <c r="V799">
        <f t="shared" si="328"/>
        <v>1</v>
      </c>
      <c r="W799">
        <f t="shared" si="329"/>
        <v>0</v>
      </c>
      <c r="X799">
        <f t="shared" si="330"/>
        <v>0</v>
      </c>
      <c r="Y799">
        <f t="shared" si="331"/>
        <v>0</v>
      </c>
      <c r="Z799">
        <f t="shared" si="332"/>
        <v>0</v>
      </c>
      <c r="AA799">
        <f t="shared" ref="AA799" si="370">IF(MAX(P799:U799)=U799, 1, 0)</f>
        <v>0</v>
      </c>
      <c r="AC799">
        <f t="shared" si="321"/>
        <v>210935.65725694067</v>
      </c>
      <c r="AD799">
        <f t="shared" si="322"/>
        <v>210423.49690822995</v>
      </c>
      <c r="AE799">
        <f t="shared" si="323"/>
        <v>209427.80603395891</v>
      </c>
      <c r="AF799">
        <f t="shared" si="324"/>
        <v>208601.8727633068</v>
      </c>
      <c r="AG799">
        <f t="shared" si="325"/>
        <v>207375.19441601809</v>
      </c>
      <c r="AH799">
        <f t="shared" si="326"/>
        <v>206138.71799350332</v>
      </c>
      <c r="AI799">
        <f t="shared" si="339"/>
        <v>210935.65725694067</v>
      </c>
    </row>
    <row r="800" spans="2:35" x14ac:dyDescent="0.3">
      <c r="B800">
        <v>757</v>
      </c>
      <c r="C800">
        <v>75173.299199999994</v>
      </c>
      <c r="D800">
        <v>73644.893400000001</v>
      </c>
      <c r="E800">
        <v>73576.277100000007</v>
      </c>
      <c r="F800">
        <v>73195.498800000001</v>
      </c>
      <c r="G800">
        <v>72993.125799999994</v>
      </c>
      <c r="H800">
        <v>73024.941699999996</v>
      </c>
      <c r="I800">
        <v>10.030206477715028</v>
      </c>
      <c r="J800">
        <v>9.9783754657929915</v>
      </c>
      <c r="K800">
        <v>9.9525477243317937</v>
      </c>
      <c r="L800">
        <v>9.9299255540589044</v>
      </c>
      <c r="M800">
        <v>9.9009853075345617</v>
      </c>
      <c r="N800">
        <v>9.8605803179972487</v>
      </c>
      <c r="P800">
        <f t="shared" si="349"/>
        <v>225732.89513145084</v>
      </c>
      <c r="Q800">
        <f t="shared" si="350"/>
        <v>225706.37057378975</v>
      </c>
      <c r="R800">
        <f t="shared" si="351"/>
        <v>225000.15462995379</v>
      </c>
      <c r="S800">
        <f t="shared" si="352"/>
        <v>224702.26782176713</v>
      </c>
      <c r="T800">
        <f t="shared" si="353"/>
        <v>224036.43342603685</v>
      </c>
      <c r="U800">
        <f t="shared" si="354"/>
        <v>222792.46783991749</v>
      </c>
      <c r="V800">
        <f t="shared" si="328"/>
        <v>1</v>
      </c>
      <c r="W800">
        <f t="shared" si="329"/>
        <v>0</v>
      </c>
      <c r="X800">
        <f t="shared" si="330"/>
        <v>0</v>
      </c>
      <c r="Y800">
        <f t="shared" si="331"/>
        <v>0</v>
      </c>
      <c r="Z800">
        <f t="shared" si="332"/>
        <v>0</v>
      </c>
      <c r="AC800">
        <f t="shared" ref="AC800:AC863" si="371">Threshold*I800-C800</f>
        <v>225732.89513145084</v>
      </c>
      <c r="AD800">
        <f t="shared" ref="AD800:AD863" si="372">Threshold*J800-D800</f>
        <v>225706.37057378975</v>
      </c>
      <c r="AE800">
        <f t="shared" ref="AE800:AE863" si="373">Threshold*K800-E800</f>
        <v>225000.15462995379</v>
      </c>
      <c r="AF800">
        <f t="shared" ref="AF800:AF863" si="374">Threshold*L800-F800</f>
        <v>224702.26782176713</v>
      </c>
      <c r="AG800">
        <f t="shared" ref="AG800:AG863" si="375">Threshold*M800-G800</f>
        <v>224036.43342603685</v>
      </c>
      <c r="AH800">
        <f t="shared" ref="AH800:AH863" si="376">Threshold*N800-H800</f>
        <v>222792.46783991749</v>
      </c>
      <c r="AI800">
        <f t="shared" si="339"/>
        <v>225732.89513145084</v>
      </c>
    </row>
    <row r="801" spans="2:35" x14ac:dyDescent="0.3">
      <c r="B801">
        <v>758</v>
      </c>
      <c r="C801">
        <v>65295.986700000001</v>
      </c>
      <c r="D801">
        <v>64104.283600000002</v>
      </c>
      <c r="E801">
        <v>64131.773300000001</v>
      </c>
      <c r="F801">
        <v>63763.637999999999</v>
      </c>
      <c r="G801">
        <v>64023.5337</v>
      </c>
      <c r="H801">
        <v>64077.244100000004</v>
      </c>
      <c r="I801">
        <v>9.9362339835285702</v>
      </c>
      <c r="J801">
        <v>9.9014908649218984</v>
      </c>
      <c r="K801">
        <v>9.8708373391081707</v>
      </c>
      <c r="L801">
        <v>9.8677896384534964</v>
      </c>
      <c r="M801">
        <v>9.8322201907993687</v>
      </c>
      <c r="N801">
        <v>9.7920059597407434</v>
      </c>
      <c r="P801">
        <f t="shared" si="349"/>
        <v>232791.03280585707</v>
      </c>
      <c r="Q801">
        <f t="shared" si="350"/>
        <v>232940.44234765696</v>
      </c>
      <c r="R801">
        <f t="shared" si="351"/>
        <v>231993.34687324514</v>
      </c>
      <c r="S801">
        <f t="shared" si="352"/>
        <v>232270.0511536049</v>
      </c>
      <c r="T801">
        <f t="shared" si="353"/>
        <v>230943.07202398105</v>
      </c>
      <c r="U801">
        <f t="shared" si="354"/>
        <v>229682.93469222228</v>
      </c>
      <c r="V801">
        <f t="shared" si="328"/>
        <v>0</v>
      </c>
      <c r="W801">
        <f t="shared" si="329"/>
        <v>1</v>
      </c>
      <c r="X801">
        <f t="shared" si="330"/>
        <v>0</v>
      </c>
      <c r="Y801">
        <f t="shared" si="331"/>
        <v>0</v>
      </c>
      <c r="Z801">
        <f t="shared" si="332"/>
        <v>0</v>
      </c>
      <c r="AA801">
        <f t="shared" ref="AA801" si="377">IF(MAX(P801:U801)=U801, 1, 0)</f>
        <v>0</v>
      </c>
      <c r="AC801">
        <f t="shared" si="371"/>
        <v>232791.03280585707</v>
      </c>
      <c r="AD801">
        <f t="shared" si="372"/>
        <v>232940.44234765696</v>
      </c>
      <c r="AE801">
        <f t="shared" si="373"/>
        <v>231993.34687324514</v>
      </c>
      <c r="AF801">
        <f t="shared" si="374"/>
        <v>232270.0511536049</v>
      </c>
      <c r="AG801">
        <f t="shared" si="375"/>
        <v>230943.07202398105</v>
      </c>
      <c r="AH801">
        <f t="shared" si="376"/>
        <v>229682.93469222228</v>
      </c>
      <c r="AI801">
        <f t="shared" si="339"/>
        <v>232940.44234765696</v>
      </c>
    </row>
    <row r="802" spans="2:35" x14ac:dyDescent="0.3">
      <c r="B802">
        <v>759</v>
      </c>
      <c r="C802">
        <v>76043.651700000002</v>
      </c>
      <c r="D802">
        <v>75081.636499999993</v>
      </c>
      <c r="E802">
        <v>75464.783100000001</v>
      </c>
      <c r="F802">
        <v>75378.260200000004</v>
      </c>
      <c r="G802">
        <v>75571.070999999996</v>
      </c>
      <c r="H802">
        <v>75999.499599999996</v>
      </c>
      <c r="I802">
        <v>9.5932862011657996</v>
      </c>
      <c r="J802">
        <v>9.5781477008632496</v>
      </c>
      <c r="K802">
        <v>9.5644779898086245</v>
      </c>
      <c r="L802">
        <v>9.5602748844197496</v>
      </c>
      <c r="M802">
        <v>9.5459714151705555</v>
      </c>
      <c r="N802">
        <v>9.5360931301043905</v>
      </c>
      <c r="P802">
        <f t="shared" si="349"/>
        <v>211754.93433497398</v>
      </c>
      <c r="Q802">
        <f t="shared" si="350"/>
        <v>212262.79452589751</v>
      </c>
      <c r="R802">
        <f t="shared" si="351"/>
        <v>211469.55659425876</v>
      </c>
      <c r="S802">
        <f t="shared" si="352"/>
        <v>211429.9863325925</v>
      </c>
      <c r="T802">
        <f t="shared" si="353"/>
        <v>210808.07145511667</v>
      </c>
      <c r="U802">
        <f t="shared" si="354"/>
        <v>210083.29430313176</v>
      </c>
      <c r="V802">
        <f t="shared" ref="V802:V865" si="378">IF(MAX(P802:U802)=P802, 1, 0)</f>
        <v>0</v>
      </c>
      <c r="W802">
        <f t="shared" ref="W802:W865" si="379">IF(MAX(P802:U802)=Q802, 1, 0)</f>
        <v>1</v>
      </c>
      <c r="X802">
        <f t="shared" ref="X802:X865" si="380">IF(MAX(P802:U802)=R802, 1, 0)</f>
        <v>0</v>
      </c>
      <c r="Y802">
        <f t="shared" ref="Y802:Y865" si="381">IF(MAX(P802:U802)=S802, 1, 0)</f>
        <v>0</v>
      </c>
      <c r="Z802">
        <f t="shared" ref="Z802:Z865" si="382">IF(MAX(P802:U802)=T802, 1, 0)</f>
        <v>0</v>
      </c>
      <c r="AC802">
        <f t="shared" si="371"/>
        <v>211754.93433497398</v>
      </c>
      <c r="AD802">
        <f t="shared" si="372"/>
        <v>212262.79452589751</v>
      </c>
      <c r="AE802">
        <f t="shared" si="373"/>
        <v>211469.55659425876</v>
      </c>
      <c r="AF802">
        <f t="shared" si="374"/>
        <v>211429.9863325925</v>
      </c>
      <c r="AG802">
        <f t="shared" si="375"/>
        <v>210808.07145511667</v>
      </c>
      <c r="AH802">
        <f t="shared" si="376"/>
        <v>210083.29430313176</v>
      </c>
      <c r="AI802">
        <f t="shared" si="339"/>
        <v>212262.79452589751</v>
      </c>
    </row>
    <row r="803" spans="2:35" x14ac:dyDescent="0.3">
      <c r="B803">
        <v>760</v>
      </c>
      <c r="C803">
        <v>73087.247799999997</v>
      </c>
      <c r="D803">
        <v>72762.717999999993</v>
      </c>
      <c r="E803">
        <v>73458.512499999997</v>
      </c>
      <c r="F803">
        <v>73541.189400000003</v>
      </c>
      <c r="G803">
        <v>74164.861900000004</v>
      </c>
      <c r="H803">
        <v>74966.932700000005</v>
      </c>
      <c r="I803">
        <v>10.570558830425336</v>
      </c>
      <c r="J803">
        <v>10.529197709842254</v>
      </c>
      <c r="K803">
        <v>10.496894360247742</v>
      </c>
      <c r="L803">
        <v>10.481110987367989</v>
      </c>
      <c r="M803">
        <v>10.453192051056378</v>
      </c>
      <c r="N803">
        <v>10.420190455830401</v>
      </c>
      <c r="P803">
        <f t="shared" si="349"/>
        <v>244029.51711276005</v>
      </c>
      <c r="Q803">
        <f t="shared" si="350"/>
        <v>243113.21329526766</v>
      </c>
      <c r="R803">
        <f t="shared" si="351"/>
        <v>241448.31830743223</v>
      </c>
      <c r="S803">
        <f t="shared" si="352"/>
        <v>240892.14022103968</v>
      </c>
      <c r="T803">
        <f t="shared" si="353"/>
        <v>239430.89963169134</v>
      </c>
      <c r="U803">
        <f t="shared" si="354"/>
        <v>237638.78097491199</v>
      </c>
      <c r="V803">
        <f t="shared" si="378"/>
        <v>1</v>
      </c>
      <c r="W803">
        <f t="shared" si="379"/>
        <v>0</v>
      </c>
      <c r="X803">
        <f t="shared" si="380"/>
        <v>0</v>
      </c>
      <c r="Y803">
        <f t="shared" si="381"/>
        <v>0</v>
      </c>
      <c r="Z803">
        <f t="shared" si="382"/>
        <v>0</v>
      </c>
      <c r="AA803">
        <f t="shared" ref="AA803" si="383">IF(MAX(P803:U803)=U803, 1, 0)</f>
        <v>0</v>
      </c>
      <c r="AC803">
        <f t="shared" si="371"/>
        <v>244029.51711276005</v>
      </c>
      <c r="AD803">
        <f t="shared" si="372"/>
        <v>243113.21329526766</v>
      </c>
      <c r="AE803">
        <f t="shared" si="373"/>
        <v>241448.31830743223</v>
      </c>
      <c r="AF803">
        <f t="shared" si="374"/>
        <v>240892.14022103968</v>
      </c>
      <c r="AG803">
        <f t="shared" si="375"/>
        <v>239430.89963169134</v>
      </c>
      <c r="AH803">
        <f t="shared" si="376"/>
        <v>237638.78097491199</v>
      </c>
      <c r="AI803">
        <f t="shared" si="339"/>
        <v>244029.51711276005</v>
      </c>
    </row>
    <row r="804" spans="2:35" x14ac:dyDescent="0.3">
      <c r="B804">
        <v>761</v>
      </c>
      <c r="C804">
        <v>71033.974199999997</v>
      </c>
      <c r="D804">
        <v>70014.622199999998</v>
      </c>
      <c r="E804">
        <v>70017.326199999996</v>
      </c>
      <c r="F804">
        <v>69856.374299999996</v>
      </c>
      <c r="G804">
        <v>69941.043699999995</v>
      </c>
      <c r="H804">
        <v>70022.627299999993</v>
      </c>
      <c r="I804">
        <v>10.293724488514812</v>
      </c>
      <c r="J804">
        <v>10.241911937881786</v>
      </c>
      <c r="K804">
        <v>10.221722682807922</v>
      </c>
      <c r="L804">
        <v>10.215732915481922</v>
      </c>
      <c r="M804">
        <v>10.171240684209829</v>
      </c>
      <c r="N804">
        <v>10.133930009329291</v>
      </c>
      <c r="P804">
        <f t="shared" si="349"/>
        <v>237777.76045544434</v>
      </c>
      <c r="Q804">
        <f t="shared" si="350"/>
        <v>237242.73593645362</v>
      </c>
      <c r="R804">
        <f t="shared" si="351"/>
        <v>236634.35428423766</v>
      </c>
      <c r="S804">
        <f t="shared" si="352"/>
        <v>236615.6131644577</v>
      </c>
      <c r="T804">
        <f t="shared" si="353"/>
        <v>235196.17682629492</v>
      </c>
      <c r="U804">
        <f t="shared" si="354"/>
        <v>233995.2729798787</v>
      </c>
      <c r="V804">
        <f t="shared" si="378"/>
        <v>1</v>
      </c>
      <c r="W804">
        <f t="shared" si="379"/>
        <v>0</v>
      </c>
      <c r="X804">
        <f t="shared" si="380"/>
        <v>0</v>
      </c>
      <c r="Y804">
        <f t="shared" si="381"/>
        <v>0</v>
      </c>
      <c r="Z804">
        <f t="shared" si="382"/>
        <v>0</v>
      </c>
      <c r="AC804">
        <f t="shared" si="371"/>
        <v>237777.76045544434</v>
      </c>
      <c r="AD804">
        <f t="shared" si="372"/>
        <v>237242.73593645362</v>
      </c>
      <c r="AE804">
        <f t="shared" si="373"/>
        <v>236634.35428423766</v>
      </c>
      <c r="AF804">
        <f t="shared" si="374"/>
        <v>236615.6131644577</v>
      </c>
      <c r="AG804">
        <f t="shared" si="375"/>
        <v>235196.17682629492</v>
      </c>
      <c r="AH804">
        <f t="shared" si="376"/>
        <v>233995.2729798787</v>
      </c>
      <c r="AI804">
        <f t="shared" si="339"/>
        <v>237777.76045544434</v>
      </c>
    </row>
    <row r="805" spans="2:35" x14ac:dyDescent="0.3">
      <c r="B805">
        <v>762</v>
      </c>
      <c r="C805">
        <v>88741.233600000007</v>
      </c>
      <c r="D805">
        <v>87459.849700000006</v>
      </c>
      <c r="E805">
        <v>87505.612099999998</v>
      </c>
      <c r="F805">
        <v>87136.685599999997</v>
      </c>
      <c r="G805">
        <v>87310.725999999995</v>
      </c>
      <c r="H805">
        <v>87189.7356</v>
      </c>
      <c r="I805">
        <v>8.8786388437901156</v>
      </c>
      <c r="J805">
        <v>8.8544401489272602</v>
      </c>
      <c r="K805">
        <v>8.8407837837466907</v>
      </c>
      <c r="L805">
        <v>8.8310082295343371</v>
      </c>
      <c r="M805">
        <v>8.8151958291763801</v>
      </c>
      <c r="N805">
        <v>8.7950361881286607</v>
      </c>
      <c r="P805">
        <f t="shared" si="349"/>
        <v>177617.93171370347</v>
      </c>
      <c r="Q805">
        <f t="shared" si="350"/>
        <v>178173.35476781777</v>
      </c>
      <c r="R805">
        <f t="shared" si="351"/>
        <v>177717.90141240074</v>
      </c>
      <c r="S805">
        <f t="shared" si="352"/>
        <v>177793.56128603013</v>
      </c>
      <c r="T805">
        <f t="shared" si="353"/>
        <v>177145.14887529143</v>
      </c>
      <c r="U805">
        <f t="shared" si="354"/>
        <v>176661.3500438598</v>
      </c>
      <c r="V805">
        <f t="shared" si="378"/>
        <v>0</v>
      </c>
      <c r="W805">
        <f t="shared" si="379"/>
        <v>1</v>
      </c>
      <c r="X805">
        <f t="shared" si="380"/>
        <v>0</v>
      </c>
      <c r="Y805">
        <f t="shared" si="381"/>
        <v>0</v>
      </c>
      <c r="Z805">
        <f t="shared" si="382"/>
        <v>0</v>
      </c>
      <c r="AA805">
        <f t="shared" ref="AA805" si="384">IF(MAX(P805:U805)=U805, 1, 0)</f>
        <v>0</v>
      </c>
      <c r="AC805">
        <f t="shared" si="371"/>
        <v>177617.93171370347</v>
      </c>
      <c r="AD805">
        <f t="shared" si="372"/>
        <v>178173.35476781777</v>
      </c>
      <c r="AE805">
        <f t="shared" si="373"/>
        <v>177717.90141240074</v>
      </c>
      <c r="AF805">
        <f t="shared" si="374"/>
        <v>177793.56128603013</v>
      </c>
      <c r="AG805">
        <f t="shared" si="375"/>
        <v>177145.14887529143</v>
      </c>
      <c r="AH805">
        <f t="shared" si="376"/>
        <v>176661.3500438598</v>
      </c>
      <c r="AI805">
        <f t="shared" si="339"/>
        <v>178173.35476781777</v>
      </c>
    </row>
    <row r="806" spans="2:35" x14ac:dyDescent="0.3">
      <c r="B806">
        <v>763</v>
      </c>
      <c r="C806">
        <v>74211.985499999995</v>
      </c>
      <c r="D806">
        <v>72152.506999999998</v>
      </c>
      <c r="E806">
        <v>71434.233600000007</v>
      </c>
      <c r="F806">
        <v>70882.467900000003</v>
      </c>
      <c r="G806">
        <v>70341.293999999994</v>
      </c>
      <c r="H806">
        <v>69761.4617</v>
      </c>
      <c r="I806">
        <v>11.366951167303739</v>
      </c>
      <c r="J806">
        <v>11.334475122299729</v>
      </c>
      <c r="K806">
        <v>11.302925864228499</v>
      </c>
      <c r="L806">
        <v>11.289627425221138</v>
      </c>
      <c r="M806">
        <v>11.269116328907007</v>
      </c>
      <c r="N806">
        <v>11.24139883527125</v>
      </c>
      <c r="P806">
        <f t="shared" si="349"/>
        <v>266796.54951911216</v>
      </c>
      <c r="Q806">
        <f t="shared" si="350"/>
        <v>267881.74666899187</v>
      </c>
      <c r="R806">
        <f t="shared" si="351"/>
        <v>267653.54232685501</v>
      </c>
      <c r="S806">
        <f t="shared" si="352"/>
        <v>267806.35485663416</v>
      </c>
      <c r="T806">
        <f t="shared" si="353"/>
        <v>267732.19586721022</v>
      </c>
      <c r="U806">
        <f t="shared" si="354"/>
        <v>267480.5033581375</v>
      </c>
      <c r="V806">
        <f t="shared" si="378"/>
        <v>0</v>
      </c>
      <c r="W806">
        <f t="shared" si="379"/>
        <v>1</v>
      </c>
      <c r="X806">
        <f t="shared" si="380"/>
        <v>0</v>
      </c>
      <c r="Y806">
        <f t="shared" si="381"/>
        <v>0</v>
      </c>
      <c r="Z806">
        <f t="shared" si="382"/>
        <v>0</v>
      </c>
      <c r="AC806">
        <f t="shared" si="371"/>
        <v>266796.54951911216</v>
      </c>
      <c r="AD806">
        <f t="shared" si="372"/>
        <v>267881.74666899187</v>
      </c>
      <c r="AE806">
        <f t="shared" si="373"/>
        <v>267653.54232685501</v>
      </c>
      <c r="AF806">
        <f t="shared" si="374"/>
        <v>267806.35485663416</v>
      </c>
      <c r="AG806">
        <f t="shared" si="375"/>
        <v>267732.19586721022</v>
      </c>
      <c r="AH806">
        <f t="shared" si="376"/>
        <v>267480.5033581375</v>
      </c>
      <c r="AI806">
        <f t="shared" si="339"/>
        <v>267881.74666899187</v>
      </c>
    </row>
    <row r="807" spans="2:35" x14ac:dyDescent="0.3">
      <c r="B807">
        <v>764</v>
      </c>
      <c r="C807">
        <v>77393.056899999996</v>
      </c>
      <c r="D807">
        <v>78425.582599999994</v>
      </c>
      <c r="E807">
        <v>79685.375199999995</v>
      </c>
      <c r="F807">
        <v>79871.644799999995</v>
      </c>
      <c r="G807">
        <v>81945.031700000007</v>
      </c>
      <c r="H807">
        <v>83643.385299999994</v>
      </c>
      <c r="I807">
        <v>8.9060137712717946</v>
      </c>
      <c r="J807">
        <v>8.8802004840785944</v>
      </c>
      <c r="K807">
        <v>8.8618725793269775</v>
      </c>
      <c r="L807">
        <v>8.855023170389229</v>
      </c>
      <c r="M807">
        <v>8.8315721707334465</v>
      </c>
      <c r="N807">
        <v>8.8112731947118359</v>
      </c>
      <c r="P807">
        <f t="shared" si="349"/>
        <v>189787.35623815385</v>
      </c>
      <c r="Q807">
        <f t="shared" si="350"/>
        <v>187980.43192235785</v>
      </c>
      <c r="R807">
        <f t="shared" si="351"/>
        <v>186170.80217980931</v>
      </c>
      <c r="S807">
        <f t="shared" si="352"/>
        <v>185779.05031167687</v>
      </c>
      <c r="T807">
        <f t="shared" si="353"/>
        <v>183002.13342200342</v>
      </c>
      <c r="U807">
        <f t="shared" si="354"/>
        <v>180694.81054135508</v>
      </c>
      <c r="V807">
        <f t="shared" si="378"/>
        <v>1</v>
      </c>
      <c r="W807">
        <f t="shared" si="379"/>
        <v>0</v>
      </c>
      <c r="X807">
        <f t="shared" si="380"/>
        <v>0</v>
      </c>
      <c r="Y807">
        <f t="shared" si="381"/>
        <v>0</v>
      </c>
      <c r="Z807">
        <f t="shared" si="382"/>
        <v>0</v>
      </c>
      <c r="AA807">
        <f t="shared" ref="AA807" si="385">IF(MAX(P807:U807)=U807, 1, 0)</f>
        <v>0</v>
      </c>
      <c r="AC807">
        <f t="shared" si="371"/>
        <v>189787.35623815385</v>
      </c>
      <c r="AD807">
        <f t="shared" si="372"/>
        <v>187980.43192235785</v>
      </c>
      <c r="AE807">
        <f t="shared" si="373"/>
        <v>186170.80217980931</v>
      </c>
      <c r="AF807">
        <f t="shared" si="374"/>
        <v>185779.05031167687</v>
      </c>
      <c r="AG807">
        <f t="shared" si="375"/>
        <v>183002.13342200342</v>
      </c>
      <c r="AH807">
        <f t="shared" si="376"/>
        <v>180694.81054135508</v>
      </c>
      <c r="AI807">
        <f t="shared" si="339"/>
        <v>189787.35623815385</v>
      </c>
    </row>
    <row r="808" spans="2:35" x14ac:dyDescent="0.3">
      <c r="B808">
        <v>765</v>
      </c>
      <c r="C808">
        <v>78169.575700000001</v>
      </c>
      <c r="D808">
        <v>77433.352299999999</v>
      </c>
      <c r="E808">
        <v>77630.128899999996</v>
      </c>
      <c r="F808">
        <v>77627.445900000006</v>
      </c>
      <c r="G808">
        <v>78285.218500000003</v>
      </c>
      <c r="H808">
        <v>78539.020399999994</v>
      </c>
      <c r="I808">
        <v>10.651548160673476</v>
      </c>
      <c r="J808">
        <v>10.623475231459679</v>
      </c>
      <c r="K808">
        <v>10.607750811465767</v>
      </c>
      <c r="L808">
        <v>10.597096321961228</v>
      </c>
      <c r="M808">
        <v>10.57117788686298</v>
      </c>
      <c r="N808">
        <v>10.554736965779364</v>
      </c>
      <c r="P808">
        <f t="shared" si="349"/>
        <v>241376.8691202043</v>
      </c>
      <c r="Q808">
        <f t="shared" si="350"/>
        <v>241270.90464379036</v>
      </c>
      <c r="R808">
        <f t="shared" si="351"/>
        <v>240602.39544397302</v>
      </c>
      <c r="S808">
        <f t="shared" si="352"/>
        <v>240285.44375883683</v>
      </c>
      <c r="T808">
        <f t="shared" si="353"/>
        <v>238850.11810588936</v>
      </c>
      <c r="U808">
        <f t="shared" si="354"/>
        <v>238103.08857338096</v>
      </c>
      <c r="V808">
        <f t="shared" si="378"/>
        <v>1</v>
      </c>
      <c r="W808">
        <f t="shared" si="379"/>
        <v>0</v>
      </c>
      <c r="X808">
        <f t="shared" si="380"/>
        <v>0</v>
      </c>
      <c r="Y808">
        <f t="shared" si="381"/>
        <v>0</v>
      </c>
      <c r="Z808">
        <f t="shared" si="382"/>
        <v>0</v>
      </c>
      <c r="AC808">
        <f t="shared" si="371"/>
        <v>241376.8691202043</v>
      </c>
      <c r="AD808">
        <f t="shared" si="372"/>
        <v>241270.90464379036</v>
      </c>
      <c r="AE808">
        <f t="shared" si="373"/>
        <v>240602.39544397302</v>
      </c>
      <c r="AF808">
        <f t="shared" si="374"/>
        <v>240285.44375883683</v>
      </c>
      <c r="AG808">
        <f t="shared" si="375"/>
        <v>238850.11810588936</v>
      </c>
      <c r="AH808">
        <f t="shared" si="376"/>
        <v>238103.08857338096</v>
      </c>
      <c r="AI808">
        <f t="shared" si="339"/>
        <v>241376.8691202043</v>
      </c>
    </row>
    <row r="809" spans="2:35" x14ac:dyDescent="0.3">
      <c r="B809">
        <v>766</v>
      </c>
      <c r="C809">
        <v>75429.041899999997</v>
      </c>
      <c r="D809">
        <v>74398.258400000006</v>
      </c>
      <c r="E809">
        <v>74464.369500000001</v>
      </c>
      <c r="F809">
        <v>74422.138399999996</v>
      </c>
      <c r="G809">
        <v>74887.592399999994</v>
      </c>
      <c r="H809">
        <v>74974.922699999996</v>
      </c>
      <c r="I809">
        <v>9.3040876053565338</v>
      </c>
      <c r="J809">
        <v>9.2701750066409314</v>
      </c>
      <c r="K809">
        <v>9.24893635753293</v>
      </c>
      <c r="L809">
        <v>9.2379674148391437</v>
      </c>
      <c r="M809">
        <v>9.2166323804449313</v>
      </c>
      <c r="N809">
        <v>9.184894733246221</v>
      </c>
      <c r="P809">
        <f t="shared" si="349"/>
        <v>203693.586260696</v>
      </c>
      <c r="Q809">
        <f t="shared" si="350"/>
        <v>203706.99179922795</v>
      </c>
      <c r="R809">
        <f t="shared" si="351"/>
        <v>203003.72122598792</v>
      </c>
      <c r="S809">
        <f t="shared" si="352"/>
        <v>202716.88404517429</v>
      </c>
      <c r="T809">
        <f t="shared" si="353"/>
        <v>201611.37901334793</v>
      </c>
      <c r="U809">
        <f t="shared" si="354"/>
        <v>200571.91929738666</v>
      </c>
      <c r="V809">
        <f t="shared" si="378"/>
        <v>0</v>
      </c>
      <c r="W809">
        <f t="shared" si="379"/>
        <v>1</v>
      </c>
      <c r="X809">
        <f t="shared" si="380"/>
        <v>0</v>
      </c>
      <c r="Y809">
        <f t="shared" si="381"/>
        <v>0</v>
      </c>
      <c r="Z809">
        <f t="shared" si="382"/>
        <v>0</v>
      </c>
      <c r="AA809">
        <f t="shared" ref="AA809" si="386">IF(MAX(P809:U809)=U809, 1, 0)</f>
        <v>0</v>
      </c>
      <c r="AC809">
        <f t="shared" si="371"/>
        <v>203693.586260696</v>
      </c>
      <c r="AD809">
        <f t="shared" si="372"/>
        <v>203706.99179922795</v>
      </c>
      <c r="AE809">
        <f t="shared" si="373"/>
        <v>203003.72122598792</v>
      </c>
      <c r="AF809">
        <f t="shared" si="374"/>
        <v>202716.88404517429</v>
      </c>
      <c r="AG809">
        <f t="shared" si="375"/>
        <v>201611.37901334793</v>
      </c>
      <c r="AH809">
        <f t="shared" si="376"/>
        <v>200571.91929738666</v>
      </c>
      <c r="AI809">
        <f t="shared" si="339"/>
        <v>203706.99179922795</v>
      </c>
    </row>
    <row r="810" spans="2:35" x14ac:dyDescent="0.3">
      <c r="B810">
        <v>767</v>
      </c>
      <c r="C810">
        <v>68617.1878</v>
      </c>
      <c r="D810">
        <v>67646.458700000003</v>
      </c>
      <c r="E810">
        <v>67934.207299999995</v>
      </c>
      <c r="F810">
        <v>67667.632199999993</v>
      </c>
      <c r="G810">
        <v>68051.209799999997</v>
      </c>
      <c r="H810">
        <v>68333.233600000007</v>
      </c>
      <c r="I810">
        <v>10.576794663487853</v>
      </c>
      <c r="J810">
        <v>10.541233526300525</v>
      </c>
      <c r="K810">
        <v>10.501262199393489</v>
      </c>
      <c r="L810">
        <v>10.498068712170085</v>
      </c>
      <c r="M810">
        <v>10.465062601879493</v>
      </c>
      <c r="N810">
        <v>10.420674103781193</v>
      </c>
      <c r="P810">
        <f t="shared" si="349"/>
        <v>248686.65210463555</v>
      </c>
      <c r="Q810">
        <f t="shared" si="350"/>
        <v>248590.54708901572</v>
      </c>
      <c r="R810">
        <f t="shared" si="351"/>
        <v>247103.65868180466</v>
      </c>
      <c r="S810">
        <f t="shared" si="352"/>
        <v>247274.42916510254</v>
      </c>
      <c r="T810">
        <f t="shared" si="353"/>
        <v>245900.66825638479</v>
      </c>
      <c r="U810">
        <f t="shared" si="354"/>
        <v>244286.98951343578</v>
      </c>
      <c r="V810">
        <f t="shared" si="378"/>
        <v>1</v>
      </c>
      <c r="W810">
        <f t="shared" si="379"/>
        <v>0</v>
      </c>
      <c r="X810">
        <f t="shared" si="380"/>
        <v>0</v>
      </c>
      <c r="Y810">
        <f t="shared" si="381"/>
        <v>0</v>
      </c>
      <c r="Z810">
        <f t="shared" si="382"/>
        <v>0</v>
      </c>
      <c r="AC810">
        <f t="shared" si="371"/>
        <v>248686.65210463555</v>
      </c>
      <c r="AD810">
        <f t="shared" si="372"/>
        <v>248590.54708901572</v>
      </c>
      <c r="AE810">
        <f t="shared" si="373"/>
        <v>247103.65868180466</v>
      </c>
      <c r="AF810">
        <f t="shared" si="374"/>
        <v>247274.42916510254</v>
      </c>
      <c r="AG810">
        <f t="shared" si="375"/>
        <v>245900.66825638479</v>
      </c>
      <c r="AH810">
        <f t="shared" si="376"/>
        <v>244286.98951343578</v>
      </c>
      <c r="AI810">
        <f t="shared" si="339"/>
        <v>248686.65210463555</v>
      </c>
    </row>
    <row r="811" spans="2:35" x14ac:dyDescent="0.3">
      <c r="B811">
        <v>768</v>
      </c>
      <c r="C811">
        <v>82061.402600000001</v>
      </c>
      <c r="D811">
        <v>80615.525500000003</v>
      </c>
      <c r="E811">
        <v>80482.884699999995</v>
      </c>
      <c r="F811">
        <v>80008.695600000006</v>
      </c>
      <c r="G811">
        <v>79856.055900000007</v>
      </c>
      <c r="H811">
        <v>79683.966899999999</v>
      </c>
      <c r="I811">
        <v>10.46028852640779</v>
      </c>
      <c r="J811">
        <v>10.430228852276946</v>
      </c>
      <c r="K811">
        <v>10.409275556109828</v>
      </c>
      <c r="L811">
        <v>10.391044618499102</v>
      </c>
      <c r="M811">
        <v>10.37250814151853</v>
      </c>
      <c r="N811">
        <v>10.348154011141331</v>
      </c>
      <c r="P811">
        <f t="shared" si="349"/>
        <v>231747.25319223371</v>
      </c>
      <c r="Q811">
        <f t="shared" si="350"/>
        <v>232291.3400683084</v>
      </c>
      <c r="R811">
        <f t="shared" si="351"/>
        <v>231795.38198329485</v>
      </c>
      <c r="S811">
        <f t="shared" si="352"/>
        <v>231722.64295497307</v>
      </c>
      <c r="T811">
        <f t="shared" si="353"/>
        <v>231319.18834555589</v>
      </c>
      <c r="U811">
        <f t="shared" si="354"/>
        <v>230760.65343423991</v>
      </c>
      <c r="V811">
        <f t="shared" si="378"/>
        <v>0</v>
      </c>
      <c r="W811">
        <f t="shared" si="379"/>
        <v>1</v>
      </c>
      <c r="X811">
        <f t="shared" si="380"/>
        <v>0</v>
      </c>
      <c r="Y811">
        <f t="shared" si="381"/>
        <v>0</v>
      </c>
      <c r="Z811">
        <f t="shared" si="382"/>
        <v>0</v>
      </c>
      <c r="AA811">
        <f t="shared" ref="AA811" si="387">IF(MAX(P811:U811)=U811, 1, 0)</f>
        <v>0</v>
      </c>
      <c r="AC811">
        <f t="shared" si="371"/>
        <v>231747.25319223371</v>
      </c>
      <c r="AD811">
        <f t="shared" si="372"/>
        <v>232291.3400683084</v>
      </c>
      <c r="AE811">
        <f t="shared" si="373"/>
        <v>231795.38198329485</v>
      </c>
      <c r="AF811">
        <f t="shared" si="374"/>
        <v>231722.64295497307</v>
      </c>
      <c r="AG811">
        <f t="shared" si="375"/>
        <v>231319.18834555589</v>
      </c>
      <c r="AH811">
        <f t="shared" si="376"/>
        <v>230760.65343423991</v>
      </c>
      <c r="AI811">
        <f t="shared" si="339"/>
        <v>232291.3400683084</v>
      </c>
    </row>
    <row r="812" spans="2:35" x14ac:dyDescent="0.3">
      <c r="B812">
        <v>769</v>
      </c>
      <c r="C812">
        <v>81257.995500000005</v>
      </c>
      <c r="D812">
        <v>80037.937600000005</v>
      </c>
      <c r="E812">
        <v>80114.109599999996</v>
      </c>
      <c r="F812">
        <v>79699.042300000001</v>
      </c>
      <c r="G812">
        <v>79811.670299999998</v>
      </c>
      <c r="H812">
        <v>79908.829800000007</v>
      </c>
      <c r="I812">
        <v>9.6373741148398313</v>
      </c>
      <c r="J812">
        <v>9.6109749758153828</v>
      </c>
      <c r="K812">
        <v>9.592601299691923</v>
      </c>
      <c r="L812">
        <v>9.5801586124011759</v>
      </c>
      <c r="M812">
        <v>9.5663267063582644</v>
      </c>
      <c r="N812">
        <v>9.5447678885238734</v>
      </c>
      <c r="P812">
        <f t="shared" si="349"/>
        <v>207863.22794519493</v>
      </c>
      <c r="Q812">
        <f t="shared" si="350"/>
        <v>208291.31167446147</v>
      </c>
      <c r="R812">
        <f t="shared" si="351"/>
        <v>207663.92939075766</v>
      </c>
      <c r="S812">
        <f t="shared" si="352"/>
        <v>207705.71607203528</v>
      </c>
      <c r="T812">
        <f t="shared" si="353"/>
        <v>207178.13089074794</v>
      </c>
      <c r="U812">
        <f t="shared" si="354"/>
        <v>206434.20685571618</v>
      </c>
      <c r="V812">
        <f t="shared" si="378"/>
        <v>0</v>
      </c>
      <c r="W812">
        <f t="shared" si="379"/>
        <v>1</v>
      </c>
      <c r="X812">
        <f t="shared" si="380"/>
        <v>0</v>
      </c>
      <c r="Y812">
        <f t="shared" si="381"/>
        <v>0</v>
      </c>
      <c r="Z812">
        <f t="shared" si="382"/>
        <v>0</v>
      </c>
      <c r="AC812">
        <f t="shared" si="371"/>
        <v>207863.22794519493</v>
      </c>
      <c r="AD812">
        <f t="shared" si="372"/>
        <v>208291.31167446147</v>
      </c>
      <c r="AE812">
        <f t="shared" si="373"/>
        <v>207663.92939075766</v>
      </c>
      <c r="AF812">
        <f t="shared" si="374"/>
        <v>207705.71607203528</v>
      </c>
      <c r="AG812">
        <f t="shared" si="375"/>
        <v>207178.13089074794</v>
      </c>
      <c r="AH812">
        <f t="shared" si="376"/>
        <v>206434.20685571618</v>
      </c>
      <c r="AI812">
        <f t="shared" si="339"/>
        <v>208291.31167446147</v>
      </c>
    </row>
    <row r="813" spans="2:35" x14ac:dyDescent="0.3">
      <c r="B813">
        <v>770</v>
      </c>
      <c r="C813">
        <v>76731.251000000004</v>
      </c>
      <c r="D813">
        <v>76404.528099999996</v>
      </c>
      <c r="E813">
        <v>76957.827699999994</v>
      </c>
      <c r="F813">
        <v>76907.404899999994</v>
      </c>
      <c r="G813">
        <v>77835.557000000001</v>
      </c>
      <c r="H813">
        <v>78605.435299999997</v>
      </c>
      <c r="I813">
        <v>9.3958303882784584</v>
      </c>
      <c r="J813">
        <v>9.3579107794464509</v>
      </c>
      <c r="K813">
        <v>9.3390479733098211</v>
      </c>
      <c r="L813">
        <v>9.3245203401950878</v>
      </c>
      <c r="M813">
        <v>9.2966696936167317</v>
      </c>
      <c r="N813">
        <v>9.262602817968256</v>
      </c>
      <c r="P813">
        <f t="shared" si="349"/>
        <v>205143.66064835375</v>
      </c>
      <c r="Q813">
        <f t="shared" si="350"/>
        <v>204332.79528339353</v>
      </c>
      <c r="R813">
        <f t="shared" si="351"/>
        <v>203213.61149929461</v>
      </c>
      <c r="S813">
        <f t="shared" si="352"/>
        <v>202828.20530585267</v>
      </c>
      <c r="T813">
        <f t="shared" si="353"/>
        <v>201064.53380850193</v>
      </c>
      <c r="U813">
        <f t="shared" si="354"/>
        <v>199272.64923904766</v>
      </c>
      <c r="V813">
        <f t="shared" si="378"/>
        <v>1</v>
      </c>
      <c r="W813">
        <f t="shared" si="379"/>
        <v>0</v>
      </c>
      <c r="X813">
        <f t="shared" si="380"/>
        <v>0</v>
      </c>
      <c r="Y813">
        <f t="shared" si="381"/>
        <v>0</v>
      </c>
      <c r="Z813">
        <f t="shared" si="382"/>
        <v>0</v>
      </c>
      <c r="AA813">
        <f t="shared" ref="AA813" si="388">IF(MAX(P813:U813)=U813, 1, 0)</f>
        <v>0</v>
      </c>
      <c r="AC813">
        <f t="shared" si="371"/>
        <v>205143.66064835375</v>
      </c>
      <c r="AD813">
        <f t="shared" si="372"/>
        <v>204332.79528339353</v>
      </c>
      <c r="AE813">
        <f t="shared" si="373"/>
        <v>203213.61149929461</v>
      </c>
      <c r="AF813">
        <f t="shared" si="374"/>
        <v>202828.20530585267</v>
      </c>
      <c r="AG813">
        <f t="shared" si="375"/>
        <v>201064.53380850193</v>
      </c>
      <c r="AH813">
        <f t="shared" si="376"/>
        <v>199272.64923904766</v>
      </c>
      <c r="AI813">
        <f t="shared" ref="AI813:AI876" si="389">MAX(AC813:AH813)</f>
        <v>205143.66064835375</v>
      </c>
    </row>
    <row r="814" spans="2:35" x14ac:dyDescent="0.3">
      <c r="B814">
        <v>771</v>
      </c>
      <c r="C814">
        <v>86042.618100000007</v>
      </c>
      <c r="D814">
        <v>85412.775800000003</v>
      </c>
      <c r="E814">
        <v>85971.816600000006</v>
      </c>
      <c r="F814">
        <v>86145.552800000005</v>
      </c>
      <c r="G814">
        <v>86729.847099999999</v>
      </c>
      <c r="H814">
        <v>87222.991699999999</v>
      </c>
      <c r="I814">
        <v>9.5522478692774975</v>
      </c>
      <c r="J814">
        <v>9.5203760512810938</v>
      </c>
      <c r="K814">
        <v>9.4929393385160772</v>
      </c>
      <c r="L814">
        <v>9.4770228999660944</v>
      </c>
      <c r="M814">
        <v>9.4533333758857161</v>
      </c>
      <c r="N814">
        <v>9.4266497060822765</v>
      </c>
      <c r="P814">
        <f t="shared" si="349"/>
        <v>200524.81797832489</v>
      </c>
      <c r="Q814">
        <f t="shared" si="350"/>
        <v>200198.50573843281</v>
      </c>
      <c r="R814">
        <f t="shared" si="351"/>
        <v>198816.3635554823</v>
      </c>
      <c r="S814">
        <f t="shared" si="352"/>
        <v>198165.13419898285</v>
      </c>
      <c r="T814">
        <f t="shared" si="353"/>
        <v>196870.15417657146</v>
      </c>
      <c r="U814">
        <f t="shared" si="354"/>
        <v>195576.49948246829</v>
      </c>
      <c r="V814">
        <f t="shared" si="378"/>
        <v>1</v>
      </c>
      <c r="W814">
        <f t="shared" si="379"/>
        <v>0</v>
      </c>
      <c r="X814">
        <f t="shared" si="380"/>
        <v>0</v>
      </c>
      <c r="Y814">
        <f t="shared" si="381"/>
        <v>0</v>
      </c>
      <c r="Z814">
        <f t="shared" si="382"/>
        <v>0</v>
      </c>
      <c r="AC814">
        <f t="shared" si="371"/>
        <v>200524.81797832489</v>
      </c>
      <c r="AD814">
        <f t="shared" si="372"/>
        <v>200198.50573843281</v>
      </c>
      <c r="AE814">
        <f t="shared" si="373"/>
        <v>198816.3635554823</v>
      </c>
      <c r="AF814">
        <f t="shared" si="374"/>
        <v>198165.13419898285</v>
      </c>
      <c r="AG814">
        <f t="shared" si="375"/>
        <v>196870.15417657146</v>
      </c>
      <c r="AH814">
        <f t="shared" si="376"/>
        <v>195576.49948246829</v>
      </c>
      <c r="AI814">
        <f t="shared" si="389"/>
        <v>200524.81797832489</v>
      </c>
    </row>
    <row r="815" spans="2:35" x14ac:dyDescent="0.3">
      <c r="B815">
        <v>772</v>
      </c>
      <c r="C815">
        <v>78146.528399999996</v>
      </c>
      <c r="D815">
        <v>76789.860700000005</v>
      </c>
      <c r="E815">
        <v>76811.516000000003</v>
      </c>
      <c r="F815">
        <v>76618.820900000006</v>
      </c>
      <c r="G815">
        <v>76434.747000000003</v>
      </c>
      <c r="H815">
        <v>76429.263800000001</v>
      </c>
      <c r="I815">
        <v>10.291424691796154</v>
      </c>
      <c r="J815">
        <v>10.245574372364832</v>
      </c>
      <c r="K815">
        <v>10.219971658735041</v>
      </c>
      <c r="L815">
        <v>10.202097986582213</v>
      </c>
      <c r="M815">
        <v>10.164535224341801</v>
      </c>
      <c r="N815">
        <v>10.13393625562278</v>
      </c>
      <c r="P815">
        <f t="shared" si="349"/>
        <v>230596.21235388459</v>
      </c>
      <c r="Q815">
        <f t="shared" si="350"/>
        <v>230577.37047094491</v>
      </c>
      <c r="R815">
        <f t="shared" si="351"/>
        <v>229787.63376205123</v>
      </c>
      <c r="S815">
        <f t="shared" si="352"/>
        <v>229444.11869746639</v>
      </c>
      <c r="T815">
        <f t="shared" si="353"/>
        <v>228501.30973025403</v>
      </c>
      <c r="U815">
        <f t="shared" si="354"/>
        <v>227588.82386868336</v>
      </c>
      <c r="V815">
        <f t="shared" si="378"/>
        <v>1</v>
      </c>
      <c r="W815">
        <f t="shared" si="379"/>
        <v>0</v>
      </c>
      <c r="X815">
        <f t="shared" si="380"/>
        <v>0</v>
      </c>
      <c r="Y815">
        <f t="shared" si="381"/>
        <v>0</v>
      </c>
      <c r="Z815">
        <f t="shared" si="382"/>
        <v>0</v>
      </c>
      <c r="AA815">
        <f t="shared" ref="AA815" si="390">IF(MAX(P815:U815)=U815, 1, 0)</f>
        <v>0</v>
      </c>
      <c r="AC815">
        <f t="shared" si="371"/>
        <v>230596.21235388459</v>
      </c>
      <c r="AD815">
        <f t="shared" si="372"/>
        <v>230577.37047094491</v>
      </c>
      <c r="AE815">
        <f t="shared" si="373"/>
        <v>229787.63376205123</v>
      </c>
      <c r="AF815">
        <f t="shared" si="374"/>
        <v>229444.11869746639</v>
      </c>
      <c r="AG815">
        <f t="shared" si="375"/>
        <v>228501.30973025403</v>
      </c>
      <c r="AH815">
        <f t="shared" si="376"/>
        <v>227588.82386868336</v>
      </c>
      <c r="AI815">
        <f t="shared" si="389"/>
        <v>230596.21235388459</v>
      </c>
    </row>
    <row r="816" spans="2:35" x14ac:dyDescent="0.3">
      <c r="B816">
        <v>773</v>
      </c>
      <c r="C816">
        <v>76920.944099999993</v>
      </c>
      <c r="D816">
        <v>76841.247399999993</v>
      </c>
      <c r="E816">
        <v>77716.443700000003</v>
      </c>
      <c r="F816">
        <v>77760.445900000006</v>
      </c>
      <c r="G816">
        <v>78486.545199999993</v>
      </c>
      <c r="H816">
        <v>79572.151199999993</v>
      </c>
      <c r="I816">
        <v>10.549028555647462</v>
      </c>
      <c r="J816">
        <v>10.523719095617347</v>
      </c>
      <c r="K816">
        <v>10.496135231697975</v>
      </c>
      <c r="L816">
        <v>10.487296541931283</v>
      </c>
      <c r="M816">
        <v>10.466426709980125</v>
      </c>
      <c r="N816">
        <v>10.44125963766794</v>
      </c>
      <c r="P816">
        <f t="shared" si="349"/>
        <v>239549.91256942388</v>
      </c>
      <c r="Q816">
        <f t="shared" si="350"/>
        <v>238870.3254685204</v>
      </c>
      <c r="R816">
        <f t="shared" si="351"/>
        <v>237167.61325093923</v>
      </c>
      <c r="S816">
        <f t="shared" si="352"/>
        <v>236858.45035793848</v>
      </c>
      <c r="T816">
        <f t="shared" si="353"/>
        <v>235506.25609940372</v>
      </c>
      <c r="U816">
        <f t="shared" si="354"/>
        <v>233665.63793003824</v>
      </c>
      <c r="V816">
        <f t="shared" si="378"/>
        <v>1</v>
      </c>
      <c r="W816">
        <f t="shared" si="379"/>
        <v>0</v>
      </c>
      <c r="X816">
        <f t="shared" si="380"/>
        <v>0</v>
      </c>
      <c r="Y816">
        <f t="shared" si="381"/>
        <v>0</v>
      </c>
      <c r="Z816">
        <f t="shared" si="382"/>
        <v>0</v>
      </c>
      <c r="AC816">
        <f t="shared" si="371"/>
        <v>239549.91256942388</v>
      </c>
      <c r="AD816">
        <f t="shared" si="372"/>
        <v>238870.3254685204</v>
      </c>
      <c r="AE816">
        <f t="shared" si="373"/>
        <v>237167.61325093923</v>
      </c>
      <c r="AF816">
        <f t="shared" si="374"/>
        <v>236858.45035793848</v>
      </c>
      <c r="AG816">
        <f t="shared" si="375"/>
        <v>235506.25609940372</v>
      </c>
      <c r="AH816">
        <f t="shared" si="376"/>
        <v>233665.63793003824</v>
      </c>
      <c r="AI816">
        <f t="shared" si="389"/>
        <v>239549.91256942388</v>
      </c>
    </row>
    <row r="817" spans="2:35" x14ac:dyDescent="0.3">
      <c r="B817">
        <v>774</v>
      </c>
      <c r="C817">
        <v>66101.954199999993</v>
      </c>
      <c r="D817">
        <v>65410.1999</v>
      </c>
      <c r="E817">
        <v>65970.896200000003</v>
      </c>
      <c r="F817">
        <v>65952.487800000003</v>
      </c>
      <c r="G817">
        <v>66490.093099999998</v>
      </c>
      <c r="H817">
        <v>66938.122300000003</v>
      </c>
      <c r="I817">
        <v>9.7055473833930446</v>
      </c>
      <c r="J817">
        <v>9.6828850776030677</v>
      </c>
      <c r="K817">
        <v>9.6652538550275526</v>
      </c>
      <c r="L817">
        <v>9.6573328187477152</v>
      </c>
      <c r="M817">
        <v>9.6427251398218647</v>
      </c>
      <c r="N817">
        <v>9.6229590211426483</v>
      </c>
      <c r="P817">
        <f t="shared" si="349"/>
        <v>225064.46730179136</v>
      </c>
      <c r="Q817">
        <f t="shared" si="350"/>
        <v>225076.35242809204</v>
      </c>
      <c r="R817">
        <f t="shared" si="351"/>
        <v>223986.71945082658</v>
      </c>
      <c r="S817">
        <f t="shared" si="352"/>
        <v>223767.49676243146</v>
      </c>
      <c r="T817">
        <f t="shared" si="353"/>
        <v>222791.66109465592</v>
      </c>
      <c r="U817">
        <f t="shared" si="354"/>
        <v>221750.64833427948</v>
      </c>
      <c r="V817">
        <f t="shared" si="378"/>
        <v>0</v>
      </c>
      <c r="W817">
        <f t="shared" si="379"/>
        <v>1</v>
      </c>
      <c r="X817">
        <f t="shared" si="380"/>
        <v>0</v>
      </c>
      <c r="Y817">
        <f t="shared" si="381"/>
        <v>0</v>
      </c>
      <c r="Z817">
        <f t="shared" si="382"/>
        <v>0</v>
      </c>
      <c r="AA817">
        <f t="shared" ref="AA817" si="391">IF(MAX(P817:U817)=U817, 1, 0)</f>
        <v>0</v>
      </c>
      <c r="AC817">
        <f t="shared" si="371"/>
        <v>225064.46730179136</v>
      </c>
      <c r="AD817">
        <f t="shared" si="372"/>
        <v>225076.35242809204</v>
      </c>
      <c r="AE817">
        <f t="shared" si="373"/>
        <v>223986.71945082658</v>
      </c>
      <c r="AF817">
        <f t="shared" si="374"/>
        <v>223767.49676243146</v>
      </c>
      <c r="AG817">
        <f t="shared" si="375"/>
        <v>222791.66109465592</v>
      </c>
      <c r="AH817">
        <f t="shared" si="376"/>
        <v>221750.64833427948</v>
      </c>
      <c r="AI817">
        <f t="shared" si="389"/>
        <v>225076.35242809204</v>
      </c>
    </row>
    <row r="818" spans="2:35" x14ac:dyDescent="0.3">
      <c r="B818">
        <v>775</v>
      </c>
      <c r="C818">
        <v>70898.676300000006</v>
      </c>
      <c r="D818">
        <v>69418.741699999999</v>
      </c>
      <c r="E818">
        <v>69240.116099999999</v>
      </c>
      <c r="F818">
        <v>68931.348199999993</v>
      </c>
      <c r="G818">
        <v>68908.332299999995</v>
      </c>
      <c r="H818">
        <v>68725.475699999995</v>
      </c>
      <c r="I818">
        <v>7.8351517056257025</v>
      </c>
      <c r="J818">
        <v>7.7951005283375219</v>
      </c>
      <c r="K818">
        <v>7.7722308227965344</v>
      </c>
      <c r="L818">
        <v>7.7523536714266941</v>
      </c>
      <c r="M818">
        <v>7.7347476446770056</v>
      </c>
      <c r="N818">
        <v>7.698513085998183</v>
      </c>
      <c r="P818">
        <f t="shared" si="349"/>
        <v>164155.87486877106</v>
      </c>
      <c r="Q818">
        <f t="shared" si="350"/>
        <v>164434.27415012568</v>
      </c>
      <c r="R818">
        <f t="shared" si="351"/>
        <v>163926.80858389603</v>
      </c>
      <c r="S818">
        <f t="shared" si="352"/>
        <v>163639.26194280083</v>
      </c>
      <c r="T818">
        <f t="shared" si="353"/>
        <v>163134.09704031015</v>
      </c>
      <c r="U818">
        <f t="shared" si="354"/>
        <v>162229.91687994549</v>
      </c>
      <c r="V818">
        <f t="shared" si="378"/>
        <v>0</v>
      </c>
      <c r="W818">
        <f t="shared" si="379"/>
        <v>1</v>
      </c>
      <c r="X818">
        <f t="shared" si="380"/>
        <v>0</v>
      </c>
      <c r="Y818">
        <f t="shared" si="381"/>
        <v>0</v>
      </c>
      <c r="Z818">
        <f t="shared" si="382"/>
        <v>0</v>
      </c>
      <c r="AC818">
        <f t="shared" si="371"/>
        <v>164155.87486877106</v>
      </c>
      <c r="AD818">
        <f t="shared" si="372"/>
        <v>164434.27415012568</v>
      </c>
      <c r="AE818">
        <f t="shared" si="373"/>
        <v>163926.80858389603</v>
      </c>
      <c r="AF818">
        <f t="shared" si="374"/>
        <v>163639.26194280083</v>
      </c>
      <c r="AG818">
        <f t="shared" si="375"/>
        <v>163134.09704031015</v>
      </c>
      <c r="AH818">
        <f t="shared" si="376"/>
        <v>162229.91687994549</v>
      </c>
      <c r="AI818">
        <f t="shared" si="389"/>
        <v>164434.27415012568</v>
      </c>
    </row>
    <row r="819" spans="2:35" x14ac:dyDescent="0.3">
      <c r="B819">
        <v>776</v>
      </c>
      <c r="C819">
        <v>69256.553599999999</v>
      </c>
      <c r="D819">
        <v>69061.536200000002</v>
      </c>
      <c r="E819">
        <v>69999.745800000004</v>
      </c>
      <c r="F819">
        <v>70345.794599999994</v>
      </c>
      <c r="G819">
        <v>70899.3511</v>
      </c>
      <c r="H819">
        <v>72034.707299999995</v>
      </c>
      <c r="I819">
        <v>9.9272489841375844</v>
      </c>
      <c r="J819">
        <v>9.8703559027981118</v>
      </c>
      <c r="K819">
        <v>9.8449506838968261</v>
      </c>
      <c r="L819">
        <v>9.8171775237260697</v>
      </c>
      <c r="M819">
        <v>9.7935809373051619</v>
      </c>
      <c r="N819">
        <v>9.7363546309995428</v>
      </c>
      <c r="P819">
        <f t="shared" si="349"/>
        <v>228560.91592412756</v>
      </c>
      <c r="Q819">
        <f t="shared" si="350"/>
        <v>227049.14088394333</v>
      </c>
      <c r="R819">
        <f t="shared" si="351"/>
        <v>225348.77471690477</v>
      </c>
      <c r="S819">
        <f t="shared" si="352"/>
        <v>224169.5311117821</v>
      </c>
      <c r="T819">
        <f t="shared" si="353"/>
        <v>222908.07701915488</v>
      </c>
      <c r="U819">
        <f t="shared" si="354"/>
        <v>220055.93162998627</v>
      </c>
      <c r="V819">
        <f t="shared" si="378"/>
        <v>1</v>
      </c>
      <c r="W819">
        <f t="shared" si="379"/>
        <v>0</v>
      </c>
      <c r="X819">
        <f t="shared" si="380"/>
        <v>0</v>
      </c>
      <c r="Y819">
        <f t="shared" si="381"/>
        <v>0</v>
      </c>
      <c r="Z819">
        <f t="shared" si="382"/>
        <v>0</v>
      </c>
      <c r="AA819">
        <f t="shared" ref="AA819" si="392">IF(MAX(P819:U819)=U819, 1, 0)</f>
        <v>0</v>
      </c>
      <c r="AC819">
        <f t="shared" si="371"/>
        <v>228560.91592412756</v>
      </c>
      <c r="AD819">
        <f t="shared" si="372"/>
        <v>227049.14088394333</v>
      </c>
      <c r="AE819">
        <f t="shared" si="373"/>
        <v>225348.77471690477</v>
      </c>
      <c r="AF819">
        <f t="shared" si="374"/>
        <v>224169.5311117821</v>
      </c>
      <c r="AG819">
        <f t="shared" si="375"/>
        <v>222908.07701915488</v>
      </c>
      <c r="AH819">
        <f t="shared" si="376"/>
        <v>220055.93162998627</v>
      </c>
      <c r="AI819">
        <f t="shared" si="389"/>
        <v>228560.91592412756</v>
      </c>
    </row>
    <row r="820" spans="2:35" x14ac:dyDescent="0.3">
      <c r="B820">
        <v>777</v>
      </c>
      <c r="C820">
        <v>68385.176699999996</v>
      </c>
      <c r="D820">
        <v>67906.649999999994</v>
      </c>
      <c r="E820">
        <v>68345.852499999994</v>
      </c>
      <c r="F820">
        <v>68301.301999999996</v>
      </c>
      <c r="G820">
        <v>68842.700100000002</v>
      </c>
      <c r="H820">
        <v>69348.6204</v>
      </c>
      <c r="I820">
        <v>10.031966443257463</v>
      </c>
      <c r="J820">
        <v>9.9987835258905982</v>
      </c>
      <c r="K820">
        <v>9.9776286189998054</v>
      </c>
      <c r="L820">
        <v>9.9659773678553236</v>
      </c>
      <c r="M820">
        <v>9.9478666015489026</v>
      </c>
      <c r="N820">
        <v>9.920800580276973</v>
      </c>
      <c r="P820">
        <f t="shared" si="349"/>
        <v>232573.81659772387</v>
      </c>
      <c r="Q820">
        <f t="shared" si="350"/>
        <v>232056.85577671797</v>
      </c>
      <c r="R820">
        <f t="shared" si="351"/>
        <v>230983.00606999418</v>
      </c>
      <c r="S820">
        <f t="shared" si="352"/>
        <v>230678.0190356597</v>
      </c>
      <c r="T820">
        <f t="shared" si="353"/>
        <v>229593.29794646706</v>
      </c>
      <c r="U820">
        <f t="shared" si="354"/>
        <v>228275.3970083092</v>
      </c>
      <c r="V820">
        <f t="shared" si="378"/>
        <v>1</v>
      </c>
      <c r="W820">
        <f t="shared" si="379"/>
        <v>0</v>
      </c>
      <c r="X820">
        <f t="shared" si="380"/>
        <v>0</v>
      </c>
      <c r="Y820">
        <f t="shared" si="381"/>
        <v>0</v>
      </c>
      <c r="Z820">
        <f t="shared" si="382"/>
        <v>0</v>
      </c>
      <c r="AC820">
        <f t="shared" si="371"/>
        <v>232573.81659772387</v>
      </c>
      <c r="AD820">
        <f t="shared" si="372"/>
        <v>232056.85577671797</v>
      </c>
      <c r="AE820">
        <f t="shared" si="373"/>
        <v>230983.00606999418</v>
      </c>
      <c r="AF820">
        <f t="shared" si="374"/>
        <v>230678.0190356597</v>
      </c>
      <c r="AG820">
        <f t="shared" si="375"/>
        <v>229593.29794646706</v>
      </c>
      <c r="AH820">
        <f t="shared" si="376"/>
        <v>228275.3970083092</v>
      </c>
      <c r="AI820">
        <f t="shared" si="389"/>
        <v>232573.81659772387</v>
      </c>
    </row>
    <row r="821" spans="2:35" x14ac:dyDescent="0.3">
      <c r="B821">
        <v>778</v>
      </c>
      <c r="C821">
        <v>69406.198300000004</v>
      </c>
      <c r="D821">
        <v>69161.603700000007</v>
      </c>
      <c r="E821">
        <v>69818.801300000006</v>
      </c>
      <c r="F821">
        <v>69803.955300000001</v>
      </c>
      <c r="G821">
        <v>70858.930999999997</v>
      </c>
      <c r="H821">
        <v>71443.097999999998</v>
      </c>
      <c r="I821">
        <v>10.784113678922774</v>
      </c>
      <c r="J821">
        <v>10.73556171958248</v>
      </c>
      <c r="K821">
        <v>10.705340978699095</v>
      </c>
      <c r="L821">
        <v>10.694796051482534</v>
      </c>
      <c r="M821">
        <v>10.65023442553013</v>
      </c>
      <c r="N821">
        <v>10.618808204006175</v>
      </c>
      <c r="P821">
        <f t="shared" si="349"/>
        <v>254117.21206768323</v>
      </c>
      <c r="Q821">
        <f t="shared" si="350"/>
        <v>252905.2478874744</v>
      </c>
      <c r="R821">
        <f t="shared" si="351"/>
        <v>251341.42806097283</v>
      </c>
      <c r="S821">
        <f t="shared" si="352"/>
        <v>251039.92624447602</v>
      </c>
      <c r="T821">
        <f t="shared" si="353"/>
        <v>248648.10176590388</v>
      </c>
      <c r="U821">
        <f t="shared" si="354"/>
        <v>247121.14812018524</v>
      </c>
      <c r="V821">
        <f t="shared" si="378"/>
        <v>1</v>
      </c>
      <c r="W821">
        <f t="shared" si="379"/>
        <v>0</v>
      </c>
      <c r="X821">
        <f t="shared" si="380"/>
        <v>0</v>
      </c>
      <c r="Y821">
        <f t="shared" si="381"/>
        <v>0</v>
      </c>
      <c r="Z821">
        <f t="shared" si="382"/>
        <v>0</v>
      </c>
      <c r="AA821">
        <f t="shared" ref="AA821" si="393">IF(MAX(P821:U821)=U821, 1, 0)</f>
        <v>0</v>
      </c>
      <c r="AC821">
        <f t="shared" si="371"/>
        <v>254117.21206768323</v>
      </c>
      <c r="AD821">
        <f t="shared" si="372"/>
        <v>252905.2478874744</v>
      </c>
      <c r="AE821">
        <f t="shared" si="373"/>
        <v>251341.42806097283</v>
      </c>
      <c r="AF821">
        <f t="shared" si="374"/>
        <v>251039.92624447602</v>
      </c>
      <c r="AG821">
        <f t="shared" si="375"/>
        <v>248648.10176590388</v>
      </c>
      <c r="AH821">
        <f t="shared" si="376"/>
        <v>247121.14812018524</v>
      </c>
      <c r="AI821">
        <f t="shared" si="389"/>
        <v>254117.21206768323</v>
      </c>
    </row>
    <row r="822" spans="2:35" x14ac:dyDescent="0.3">
      <c r="B822">
        <v>779</v>
      </c>
      <c r="C822">
        <v>63584.752200000003</v>
      </c>
      <c r="D822">
        <v>62120.717900000003</v>
      </c>
      <c r="E822">
        <v>62047.503900000003</v>
      </c>
      <c r="F822">
        <v>61812.839800000002</v>
      </c>
      <c r="G822">
        <v>61691.552499999998</v>
      </c>
      <c r="H822">
        <v>61591.4499</v>
      </c>
      <c r="I822">
        <v>11.281146876628059</v>
      </c>
      <c r="J822">
        <v>11.244161427510155</v>
      </c>
      <c r="K822">
        <v>11.226921381880492</v>
      </c>
      <c r="L822">
        <v>11.20672257227127</v>
      </c>
      <c r="M822">
        <v>11.180843846800359</v>
      </c>
      <c r="N822">
        <v>11.156914287105314</v>
      </c>
      <c r="P822">
        <f t="shared" si="349"/>
        <v>274849.65409884177</v>
      </c>
      <c r="Q822">
        <f t="shared" si="350"/>
        <v>275204.12492530467</v>
      </c>
      <c r="R822">
        <f t="shared" si="351"/>
        <v>274760.13755641476</v>
      </c>
      <c r="S822">
        <f t="shared" si="352"/>
        <v>274388.83736813808</v>
      </c>
      <c r="T822">
        <f t="shared" si="353"/>
        <v>273733.76290401077</v>
      </c>
      <c r="U822">
        <f t="shared" si="354"/>
        <v>273115.97871315939</v>
      </c>
      <c r="V822">
        <f t="shared" si="378"/>
        <v>0</v>
      </c>
      <c r="W822">
        <f t="shared" si="379"/>
        <v>1</v>
      </c>
      <c r="X822">
        <f t="shared" si="380"/>
        <v>0</v>
      </c>
      <c r="Y822">
        <f t="shared" si="381"/>
        <v>0</v>
      </c>
      <c r="Z822">
        <f t="shared" si="382"/>
        <v>0</v>
      </c>
      <c r="AC822">
        <f t="shared" si="371"/>
        <v>274849.65409884177</v>
      </c>
      <c r="AD822">
        <f t="shared" si="372"/>
        <v>275204.12492530467</v>
      </c>
      <c r="AE822">
        <f t="shared" si="373"/>
        <v>274760.13755641476</v>
      </c>
      <c r="AF822">
        <f t="shared" si="374"/>
        <v>274388.83736813808</v>
      </c>
      <c r="AG822">
        <f t="shared" si="375"/>
        <v>273733.76290401077</v>
      </c>
      <c r="AH822">
        <f t="shared" si="376"/>
        <v>273115.97871315939</v>
      </c>
      <c r="AI822">
        <f t="shared" si="389"/>
        <v>275204.12492530467</v>
      </c>
    </row>
    <row r="823" spans="2:35" x14ac:dyDescent="0.3">
      <c r="B823">
        <v>780</v>
      </c>
      <c r="C823">
        <v>81720.439700000003</v>
      </c>
      <c r="D823">
        <v>80925.810299999997</v>
      </c>
      <c r="E823">
        <v>81224.4329</v>
      </c>
      <c r="F823">
        <v>81255.199299999993</v>
      </c>
      <c r="G823">
        <v>81758.893100000001</v>
      </c>
      <c r="H823">
        <v>81954.422900000005</v>
      </c>
      <c r="I823">
        <v>11.128747754197567</v>
      </c>
      <c r="J823">
        <v>11.105088998358024</v>
      </c>
      <c r="K823">
        <v>11.092837308603981</v>
      </c>
      <c r="L823">
        <v>11.081862382539361</v>
      </c>
      <c r="M823">
        <v>11.065046751584275</v>
      </c>
      <c r="N823">
        <v>11.042234221380214</v>
      </c>
      <c r="P823">
        <f t="shared" si="349"/>
        <v>252141.99292592704</v>
      </c>
      <c r="Q823">
        <f t="shared" si="350"/>
        <v>252226.85965074069</v>
      </c>
      <c r="R823">
        <f t="shared" si="351"/>
        <v>251560.68635811942</v>
      </c>
      <c r="S823">
        <f t="shared" si="352"/>
        <v>251200.67217618087</v>
      </c>
      <c r="T823">
        <f t="shared" si="353"/>
        <v>250192.50944752822</v>
      </c>
      <c r="U823">
        <f t="shared" si="354"/>
        <v>249312.6037414064</v>
      </c>
      <c r="V823">
        <f t="shared" si="378"/>
        <v>0</v>
      </c>
      <c r="W823">
        <f t="shared" si="379"/>
        <v>1</v>
      </c>
      <c r="X823">
        <f t="shared" si="380"/>
        <v>0</v>
      </c>
      <c r="Y823">
        <f t="shared" si="381"/>
        <v>0</v>
      </c>
      <c r="Z823">
        <f t="shared" si="382"/>
        <v>0</v>
      </c>
      <c r="AA823">
        <f t="shared" ref="AA823" si="394">IF(MAX(P823:U823)=U823, 1, 0)</f>
        <v>0</v>
      </c>
      <c r="AC823">
        <f t="shared" si="371"/>
        <v>252141.99292592704</v>
      </c>
      <c r="AD823">
        <f t="shared" si="372"/>
        <v>252226.85965074069</v>
      </c>
      <c r="AE823">
        <f t="shared" si="373"/>
        <v>251560.68635811942</v>
      </c>
      <c r="AF823">
        <f t="shared" si="374"/>
        <v>251200.67217618087</v>
      </c>
      <c r="AG823">
        <f t="shared" si="375"/>
        <v>250192.50944752822</v>
      </c>
      <c r="AH823">
        <f t="shared" si="376"/>
        <v>249312.6037414064</v>
      </c>
      <c r="AI823">
        <f t="shared" si="389"/>
        <v>252226.85965074069</v>
      </c>
    </row>
    <row r="824" spans="2:35" x14ac:dyDescent="0.3">
      <c r="B824">
        <v>781</v>
      </c>
      <c r="C824">
        <v>80474.957399999999</v>
      </c>
      <c r="D824">
        <v>80427.001999999993</v>
      </c>
      <c r="E824">
        <v>81126.701300000001</v>
      </c>
      <c r="F824">
        <v>81220.146500000003</v>
      </c>
      <c r="G824">
        <v>82033.800399999993</v>
      </c>
      <c r="H824">
        <v>83243.298200000005</v>
      </c>
      <c r="I824">
        <v>8.9798002949839084</v>
      </c>
      <c r="J824">
        <v>8.9700786729805397</v>
      </c>
      <c r="K824">
        <v>8.9640429297021367</v>
      </c>
      <c r="L824">
        <v>8.961357789129698</v>
      </c>
      <c r="M824">
        <v>8.9542027158805162</v>
      </c>
      <c r="N824">
        <v>8.9456750463724308</v>
      </c>
      <c r="P824">
        <f t="shared" si="349"/>
        <v>188919.05144951725</v>
      </c>
      <c r="Q824">
        <f t="shared" si="350"/>
        <v>188675.35818941623</v>
      </c>
      <c r="R824">
        <f t="shared" si="351"/>
        <v>187794.58659106406</v>
      </c>
      <c r="S824">
        <f t="shared" si="352"/>
        <v>187620.58717389093</v>
      </c>
      <c r="T824">
        <f t="shared" si="353"/>
        <v>186592.2810764155</v>
      </c>
      <c r="U824">
        <f t="shared" si="354"/>
        <v>185126.95319117291</v>
      </c>
      <c r="V824">
        <f t="shared" si="378"/>
        <v>1</v>
      </c>
      <c r="W824">
        <f t="shared" si="379"/>
        <v>0</v>
      </c>
      <c r="X824">
        <f t="shared" si="380"/>
        <v>0</v>
      </c>
      <c r="Y824">
        <f t="shared" si="381"/>
        <v>0</v>
      </c>
      <c r="Z824">
        <f t="shared" si="382"/>
        <v>0</v>
      </c>
      <c r="AC824">
        <f t="shared" si="371"/>
        <v>188919.05144951725</v>
      </c>
      <c r="AD824">
        <f t="shared" si="372"/>
        <v>188675.35818941623</v>
      </c>
      <c r="AE824">
        <f t="shared" si="373"/>
        <v>187794.58659106406</v>
      </c>
      <c r="AF824">
        <f t="shared" si="374"/>
        <v>187620.58717389093</v>
      </c>
      <c r="AG824">
        <f t="shared" si="375"/>
        <v>186592.2810764155</v>
      </c>
      <c r="AH824">
        <f t="shared" si="376"/>
        <v>185126.95319117291</v>
      </c>
      <c r="AI824">
        <f t="shared" si="389"/>
        <v>188919.05144951725</v>
      </c>
    </row>
    <row r="825" spans="2:35" x14ac:dyDescent="0.3">
      <c r="B825">
        <v>782</v>
      </c>
      <c r="C825">
        <v>75182.296700000006</v>
      </c>
      <c r="D825">
        <v>74628.267099999997</v>
      </c>
      <c r="E825">
        <v>75247.462499999994</v>
      </c>
      <c r="F825">
        <v>75257.720100000006</v>
      </c>
      <c r="G825">
        <v>75767.646999999997</v>
      </c>
      <c r="H825">
        <v>76276.592999999993</v>
      </c>
      <c r="I825">
        <v>10.635911311924129</v>
      </c>
      <c r="J825">
        <v>10.612287292668391</v>
      </c>
      <c r="K825">
        <v>10.594709359766565</v>
      </c>
      <c r="L825">
        <v>10.589452739358192</v>
      </c>
      <c r="M825">
        <v>10.570879397603591</v>
      </c>
      <c r="N825">
        <v>10.554880063784095</v>
      </c>
      <c r="P825">
        <f t="shared" si="349"/>
        <v>243895.04265772388</v>
      </c>
      <c r="Q825">
        <f t="shared" si="350"/>
        <v>243740.35168005171</v>
      </c>
      <c r="R825">
        <f t="shared" si="351"/>
        <v>242593.81829299693</v>
      </c>
      <c r="S825">
        <f t="shared" si="352"/>
        <v>242425.86208074578</v>
      </c>
      <c r="T825">
        <f t="shared" si="353"/>
        <v>241358.7349281077</v>
      </c>
      <c r="U825">
        <f t="shared" si="354"/>
        <v>240369.80891352287</v>
      </c>
      <c r="V825">
        <f t="shared" si="378"/>
        <v>1</v>
      </c>
      <c r="W825">
        <f t="shared" si="379"/>
        <v>0</v>
      </c>
      <c r="X825">
        <f t="shared" si="380"/>
        <v>0</v>
      </c>
      <c r="Y825">
        <f t="shared" si="381"/>
        <v>0</v>
      </c>
      <c r="Z825">
        <f t="shared" si="382"/>
        <v>0</v>
      </c>
      <c r="AA825">
        <f t="shared" ref="AA825" si="395">IF(MAX(P825:U825)=U825, 1, 0)</f>
        <v>0</v>
      </c>
      <c r="AC825">
        <f t="shared" si="371"/>
        <v>243895.04265772388</v>
      </c>
      <c r="AD825">
        <f t="shared" si="372"/>
        <v>243740.35168005171</v>
      </c>
      <c r="AE825">
        <f t="shared" si="373"/>
        <v>242593.81829299693</v>
      </c>
      <c r="AF825">
        <f t="shared" si="374"/>
        <v>242425.86208074578</v>
      </c>
      <c r="AG825">
        <f t="shared" si="375"/>
        <v>241358.7349281077</v>
      </c>
      <c r="AH825">
        <f t="shared" si="376"/>
        <v>240369.80891352287</v>
      </c>
      <c r="AI825">
        <f t="shared" si="389"/>
        <v>243895.04265772388</v>
      </c>
    </row>
    <row r="826" spans="2:35" x14ac:dyDescent="0.3">
      <c r="B826">
        <v>783</v>
      </c>
      <c r="C826">
        <v>68634.587799999994</v>
      </c>
      <c r="D826">
        <v>67229.846900000004</v>
      </c>
      <c r="E826">
        <v>67359.458299999998</v>
      </c>
      <c r="F826">
        <v>67046.252299999993</v>
      </c>
      <c r="G826">
        <v>67147.311600000001</v>
      </c>
      <c r="H826">
        <v>66808.5288</v>
      </c>
      <c r="I826">
        <v>10.321472423270929</v>
      </c>
      <c r="J826">
        <v>10.264928750298127</v>
      </c>
      <c r="K826">
        <v>10.219529190035511</v>
      </c>
      <c r="L826">
        <v>10.20449720501667</v>
      </c>
      <c r="M826">
        <v>10.163921751444313</v>
      </c>
      <c r="N826">
        <v>10.106282798340374</v>
      </c>
      <c r="P826">
        <f t="shared" si="349"/>
        <v>241009.58489812788</v>
      </c>
      <c r="Q826">
        <f t="shared" si="350"/>
        <v>240718.01560894382</v>
      </c>
      <c r="R826">
        <f t="shared" si="351"/>
        <v>239226.41740106529</v>
      </c>
      <c r="S826">
        <f t="shared" si="352"/>
        <v>239088.66385050013</v>
      </c>
      <c r="T826">
        <f t="shared" si="353"/>
        <v>237770.34094332939</v>
      </c>
      <c r="U826">
        <f t="shared" si="354"/>
        <v>236379.9551502112</v>
      </c>
      <c r="V826">
        <f t="shared" si="378"/>
        <v>1</v>
      </c>
      <c r="W826">
        <f t="shared" si="379"/>
        <v>0</v>
      </c>
      <c r="X826">
        <f t="shared" si="380"/>
        <v>0</v>
      </c>
      <c r="Y826">
        <f t="shared" si="381"/>
        <v>0</v>
      </c>
      <c r="Z826">
        <f t="shared" si="382"/>
        <v>0</v>
      </c>
      <c r="AC826">
        <f t="shared" si="371"/>
        <v>241009.58489812788</v>
      </c>
      <c r="AD826">
        <f t="shared" si="372"/>
        <v>240718.01560894382</v>
      </c>
      <c r="AE826">
        <f t="shared" si="373"/>
        <v>239226.41740106529</v>
      </c>
      <c r="AF826">
        <f t="shared" si="374"/>
        <v>239088.66385050013</v>
      </c>
      <c r="AG826">
        <f t="shared" si="375"/>
        <v>237770.34094332939</v>
      </c>
      <c r="AH826">
        <f t="shared" si="376"/>
        <v>236379.9551502112</v>
      </c>
      <c r="AI826">
        <f t="shared" si="389"/>
        <v>241009.58489812788</v>
      </c>
    </row>
    <row r="827" spans="2:35" x14ac:dyDescent="0.3">
      <c r="B827">
        <v>784</v>
      </c>
      <c r="C827">
        <v>75882.025099999999</v>
      </c>
      <c r="D827">
        <v>74649.180500000002</v>
      </c>
      <c r="E827">
        <v>74775.479500000001</v>
      </c>
      <c r="F827">
        <v>74541.352799999993</v>
      </c>
      <c r="G827">
        <v>74548.485400000005</v>
      </c>
      <c r="H827">
        <v>74756.398799999995</v>
      </c>
      <c r="I827">
        <v>8.5489094967692676</v>
      </c>
      <c r="J827">
        <v>8.5161142242124264</v>
      </c>
      <c r="K827">
        <v>8.4925406453274093</v>
      </c>
      <c r="L827">
        <v>8.4814001188558219</v>
      </c>
      <c r="M827">
        <v>8.4559523378339794</v>
      </c>
      <c r="N827">
        <v>8.4304690393423858</v>
      </c>
      <c r="P827">
        <f t="shared" si="349"/>
        <v>180585.25980307802</v>
      </c>
      <c r="Q827">
        <f t="shared" si="350"/>
        <v>180834.24622637278</v>
      </c>
      <c r="R827">
        <f t="shared" si="351"/>
        <v>180000.73985982226</v>
      </c>
      <c r="S827">
        <f t="shared" si="352"/>
        <v>179900.65076567465</v>
      </c>
      <c r="T827">
        <f t="shared" si="353"/>
        <v>179130.08473501937</v>
      </c>
      <c r="U827">
        <f t="shared" si="354"/>
        <v>178157.67238027157</v>
      </c>
      <c r="V827">
        <f t="shared" si="378"/>
        <v>0</v>
      </c>
      <c r="W827">
        <f t="shared" si="379"/>
        <v>1</v>
      </c>
      <c r="X827">
        <f t="shared" si="380"/>
        <v>0</v>
      </c>
      <c r="Y827">
        <f t="shared" si="381"/>
        <v>0</v>
      </c>
      <c r="Z827">
        <f t="shared" si="382"/>
        <v>0</v>
      </c>
      <c r="AA827">
        <f t="shared" ref="AA827" si="396">IF(MAX(P827:U827)=U827, 1, 0)</f>
        <v>0</v>
      </c>
      <c r="AC827">
        <f t="shared" si="371"/>
        <v>180585.25980307802</v>
      </c>
      <c r="AD827">
        <f t="shared" si="372"/>
        <v>180834.24622637278</v>
      </c>
      <c r="AE827">
        <f t="shared" si="373"/>
        <v>180000.73985982226</v>
      </c>
      <c r="AF827">
        <f t="shared" si="374"/>
        <v>179900.65076567465</v>
      </c>
      <c r="AG827">
        <f t="shared" si="375"/>
        <v>179130.08473501937</v>
      </c>
      <c r="AH827">
        <f t="shared" si="376"/>
        <v>178157.67238027157</v>
      </c>
      <c r="AI827">
        <f t="shared" si="389"/>
        <v>180834.24622637278</v>
      </c>
    </row>
    <row r="828" spans="2:35" x14ac:dyDescent="0.3">
      <c r="B828">
        <v>785</v>
      </c>
      <c r="C828">
        <v>73332.793600000005</v>
      </c>
      <c r="D828">
        <v>72871.049499999994</v>
      </c>
      <c r="E828">
        <v>73455.845799999996</v>
      </c>
      <c r="F828">
        <v>73621.179199999999</v>
      </c>
      <c r="G828">
        <v>74140.540599999993</v>
      </c>
      <c r="H828">
        <v>74741.534599999999</v>
      </c>
      <c r="I828">
        <v>9.136392378367546</v>
      </c>
      <c r="J828">
        <v>9.1048096126227236</v>
      </c>
      <c r="K828">
        <v>9.0921690312922561</v>
      </c>
      <c r="L828">
        <v>9.0792371809700789</v>
      </c>
      <c r="M828">
        <v>9.0541553093167018</v>
      </c>
      <c r="N828">
        <v>9.0332215781909238</v>
      </c>
      <c r="P828">
        <f t="shared" si="349"/>
        <v>200758.97775102637</v>
      </c>
      <c r="Q828">
        <f t="shared" si="350"/>
        <v>200273.2388786817</v>
      </c>
      <c r="R828">
        <f t="shared" si="351"/>
        <v>199309.22513876768</v>
      </c>
      <c r="S828">
        <f t="shared" si="352"/>
        <v>198755.93622910237</v>
      </c>
      <c r="T828">
        <f t="shared" si="353"/>
        <v>197484.11867950106</v>
      </c>
      <c r="U828">
        <f t="shared" si="354"/>
        <v>196255.1127457277</v>
      </c>
      <c r="V828">
        <f t="shared" si="378"/>
        <v>1</v>
      </c>
      <c r="W828">
        <f t="shared" si="379"/>
        <v>0</v>
      </c>
      <c r="X828">
        <f t="shared" si="380"/>
        <v>0</v>
      </c>
      <c r="Y828">
        <f t="shared" si="381"/>
        <v>0</v>
      </c>
      <c r="Z828">
        <f t="shared" si="382"/>
        <v>0</v>
      </c>
      <c r="AC828">
        <f t="shared" si="371"/>
        <v>200758.97775102637</v>
      </c>
      <c r="AD828">
        <f t="shared" si="372"/>
        <v>200273.2388786817</v>
      </c>
      <c r="AE828">
        <f t="shared" si="373"/>
        <v>199309.22513876768</v>
      </c>
      <c r="AF828">
        <f t="shared" si="374"/>
        <v>198755.93622910237</v>
      </c>
      <c r="AG828">
        <f t="shared" si="375"/>
        <v>197484.11867950106</v>
      </c>
      <c r="AH828">
        <f t="shared" si="376"/>
        <v>196255.1127457277</v>
      </c>
      <c r="AI828">
        <f t="shared" si="389"/>
        <v>200758.97775102637</v>
      </c>
    </row>
    <row r="829" spans="2:35" x14ac:dyDescent="0.3">
      <c r="B829">
        <v>786</v>
      </c>
      <c r="C829">
        <v>76972.043900000004</v>
      </c>
      <c r="D829">
        <v>75705.744699999996</v>
      </c>
      <c r="E829">
        <v>75877.170100000003</v>
      </c>
      <c r="F829">
        <v>75812.964099999997</v>
      </c>
      <c r="G829">
        <v>75840.534499999994</v>
      </c>
      <c r="H829">
        <v>75969.338300000003</v>
      </c>
      <c r="I829">
        <v>10.238511927251286</v>
      </c>
      <c r="J829">
        <v>10.202693067777815</v>
      </c>
      <c r="K829">
        <v>10.181450507475713</v>
      </c>
      <c r="L829">
        <v>10.170223618036317</v>
      </c>
      <c r="M829">
        <v>10.141524720381277</v>
      </c>
      <c r="N829">
        <v>10.111813202232936</v>
      </c>
      <c r="P829">
        <f t="shared" si="349"/>
        <v>230183.31391753862</v>
      </c>
      <c r="Q829">
        <f t="shared" si="350"/>
        <v>230375.04733333446</v>
      </c>
      <c r="R829">
        <f t="shared" si="351"/>
        <v>229566.34512427141</v>
      </c>
      <c r="S829">
        <f t="shared" si="352"/>
        <v>229293.74444108951</v>
      </c>
      <c r="T829">
        <f t="shared" si="353"/>
        <v>228405.20711143827</v>
      </c>
      <c r="U829">
        <f t="shared" si="354"/>
        <v>227385.05776698806</v>
      </c>
      <c r="V829">
        <f t="shared" si="378"/>
        <v>0</v>
      </c>
      <c r="W829">
        <f t="shared" si="379"/>
        <v>1</v>
      </c>
      <c r="X829">
        <f t="shared" si="380"/>
        <v>0</v>
      </c>
      <c r="Y829">
        <f t="shared" si="381"/>
        <v>0</v>
      </c>
      <c r="Z829">
        <f t="shared" si="382"/>
        <v>0</v>
      </c>
      <c r="AA829">
        <f t="shared" ref="AA829" si="397">IF(MAX(P829:U829)=U829, 1, 0)</f>
        <v>0</v>
      </c>
      <c r="AC829">
        <f t="shared" si="371"/>
        <v>230183.31391753862</v>
      </c>
      <c r="AD829">
        <f t="shared" si="372"/>
        <v>230375.04733333446</v>
      </c>
      <c r="AE829">
        <f t="shared" si="373"/>
        <v>229566.34512427141</v>
      </c>
      <c r="AF829">
        <f t="shared" si="374"/>
        <v>229293.74444108951</v>
      </c>
      <c r="AG829">
        <f t="shared" si="375"/>
        <v>228405.20711143827</v>
      </c>
      <c r="AH829">
        <f t="shared" si="376"/>
        <v>227385.05776698806</v>
      </c>
      <c r="AI829">
        <f t="shared" si="389"/>
        <v>230375.04733333446</v>
      </c>
    </row>
    <row r="830" spans="2:35" x14ac:dyDescent="0.3">
      <c r="B830">
        <v>787</v>
      </c>
      <c r="C830">
        <v>72960.307400000005</v>
      </c>
      <c r="D830">
        <v>71536.571100000001</v>
      </c>
      <c r="E830">
        <v>71220.501300000004</v>
      </c>
      <c r="F830">
        <v>70933.456300000005</v>
      </c>
      <c r="G830">
        <v>70820.138999999996</v>
      </c>
      <c r="H830">
        <v>70498.570900000006</v>
      </c>
      <c r="I830">
        <v>11.178316183014708</v>
      </c>
      <c r="J830">
        <v>11.159631744332625</v>
      </c>
      <c r="K830">
        <v>11.142125831781243</v>
      </c>
      <c r="L830">
        <v>11.135713758679445</v>
      </c>
      <c r="M830">
        <v>11.124871046957175</v>
      </c>
      <c r="N830">
        <v>11.108627110640807</v>
      </c>
      <c r="P830">
        <f t="shared" si="349"/>
        <v>262389.17809044127</v>
      </c>
      <c r="Q830">
        <f t="shared" si="350"/>
        <v>263252.38122997875</v>
      </c>
      <c r="R830">
        <f t="shared" si="351"/>
        <v>263043.27365343727</v>
      </c>
      <c r="S830">
        <f t="shared" si="352"/>
        <v>263137.95646038337</v>
      </c>
      <c r="T830">
        <f t="shared" si="353"/>
        <v>262925.9924087153</v>
      </c>
      <c r="U830">
        <f t="shared" si="354"/>
        <v>262760.24241922423</v>
      </c>
      <c r="V830">
        <f t="shared" si="378"/>
        <v>0</v>
      </c>
      <c r="W830">
        <f t="shared" si="379"/>
        <v>1</v>
      </c>
      <c r="X830">
        <f t="shared" si="380"/>
        <v>0</v>
      </c>
      <c r="Y830">
        <f t="shared" si="381"/>
        <v>0</v>
      </c>
      <c r="Z830">
        <f t="shared" si="382"/>
        <v>0</v>
      </c>
      <c r="AC830">
        <f t="shared" si="371"/>
        <v>262389.17809044127</v>
      </c>
      <c r="AD830">
        <f t="shared" si="372"/>
        <v>263252.38122997875</v>
      </c>
      <c r="AE830">
        <f t="shared" si="373"/>
        <v>263043.27365343727</v>
      </c>
      <c r="AF830">
        <f t="shared" si="374"/>
        <v>263137.95646038337</v>
      </c>
      <c r="AG830">
        <f t="shared" si="375"/>
        <v>262925.9924087153</v>
      </c>
      <c r="AH830">
        <f t="shared" si="376"/>
        <v>262760.24241922423</v>
      </c>
      <c r="AI830">
        <f t="shared" si="389"/>
        <v>263252.38122997875</v>
      </c>
    </row>
    <row r="831" spans="2:35" x14ac:dyDescent="0.3">
      <c r="B831">
        <v>788</v>
      </c>
      <c r="C831">
        <v>70928.111300000004</v>
      </c>
      <c r="D831">
        <v>70020.355899999995</v>
      </c>
      <c r="E831">
        <v>70651.319499999998</v>
      </c>
      <c r="F831">
        <v>70499.440799999997</v>
      </c>
      <c r="G831">
        <v>70832.547600000005</v>
      </c>
      <c r="H831">
        <v>71258.565499999997</v>
      </c>
      <c r="I831">
        <v>10.277120565672861</v>
      </c>
      <c r="J831">
        <v>10.263520443606886</v>
      </c>
      <c r="K831">
        <v>10.243761439208702</v>
      </c>
      <c r="L831">
        <v>10.240759724151392</v>
      </c>
      <c r="M831">
        <v>10.227763777380742</v>
      </c>
      <c r="N831">
        <v>10.211819740050311</v>
      </c>
      <c r="P831">
        <f t="shared" si="349"/>
        <v>237385.50567018584</v>
      </c>
      <c r="Q831">
        <f t="shared" si="350"/>
        <v>237885.25740820661</v>
      </c>
      <c r="R831">
        <f t="shared" si="351"/>
        <v>236661.52367626107</v>
      </c>
      <c r="S831">
        <f t="shared" si="352"/>
        <v>236723.35092454177</v>
      </c>
      <c r="T831">
        <f t="shared" si="353"/>
        <v>236000.36572142231</v>
      </c>
      <c r="U831">
        <f t="shared" si="354"/>
        <v>235096.02670150934</v>
      </c>
      <c r="V831">
        <f t="shared" si="378"/>
        <v>0</v>
      </c>
      <c r="W831">
        <f t="shared" si="379"/>
        <v>1</v>
      </c>
      <c r="X831">
        <f t="shared" si="380"/>
        <v>0</v>
      </c>
      <c r="Y831">
        <f t="shared" si="381"/>
        <v>0</v>
      </c>
      <c r="Z831">
        <f t="shared" si="382"/>
        <v>0</v>
      </c>
      <c r="AA831">
        <f t="shared" ref="AA831" si="398">IF(MAX(P831:U831)=U831, 1, 0)</f>
        <v>0</v>
      </c>
      <c r="AC831">
        <f t="shared" si="371"/>
        <v>237385.50567018584</v>
      </c>
      <c r="AD831">
        <f t="shared" si="372"/>
        <v>237885.25740820661</v>
      </c>
      <c r="AE831">
        <f t="shared" si="373"/>
        <v>236661.52367626107</v>
      </c>
      <c r="AF831">
        <f t="shared" si="374"/>
        <v>236723.35092454177</v>
      </c>
      <c r="AG831">
        <f t="shared" si="375"/>
        <v>236000.36572142231</v>
      </c>
      <c r="AH831">
        <f t="shared" si="376"/>
        <v>235096.02670150934</v>
      </c>
      <c r="AI831">
        <f t="shared" si="389"/>
        <v>237885.25740820661</v>
      </c>
    </row>
    <row r="832" spans="2:35" x14ac:dyDescent="0.3">
      <c r="B832">
        <v>789</v>
      </c>
      <c r="C832">
        <v>74661.997900000002</v>
      </c>
      <c r="D832">
        <v>73882.258000000002</v>
      </c>
      <c r="E832">
        <v>74338.350699999995</v>
      </c>
      <c r="F832">
        <v>74146.599900000001</v>
      </c>
      <c r="G832">
        <v>74476.099199999997</v>
      </c>
      <c r="H832">
        <v>74914.846799999999</v>
      </c>
      <c r="I832">
        <v>11.216735067968997</v>
      </c>
      <c r="J832">
        <v>11.185921713750291</v>
      </c>
      <c r="K832">
        <v>11.16233021787775</v>
      </c>
      <c r="L832">
        <v>11.154604777310169</v>
      </c>
      <c r="M832">
        <v>11.1343926923327</v>
      </c>
      <c r="N832">
        <v>11.100210559337896</v>
      </c>
      <c r="P832">
        <f t="shared" si="349"/>
        <v>261840.05413906992</v>
      </c>
      <c r="Q832">
        <f t="shared" si="350"/>
        <v>261695.39341250874</v>
      </c>
      <c r="R832">
        <f t="shared" si="351"/>
        <v>260531.5558363325</v>
      </c>
      <c r="S832">
        <f t="shared" si="352"/>
        <v>260491.54341930509</v>
      </c>
      <c r="T832">
        <f t="shared" si="353"/>
        <v>259555.68156998098</v>
      </c>
      <c r="U832">
        <f t="shared" si="354"/>
        <v>258091.4699801369</v>
      </c>
      <c r="V832">
        <f t="shared" si="378"/>
        <v>1</v>
      </c>
      <c r="W832">
        <f t="shared" si="379"/>
        <v>0</v>
      </c>
      <c r="X832">
        <f t="shared" si="380"/>
        <v>0</v>
      </c>
      <c r="Y832">
        <f t="shared" si="381"/>
        <v>0</v>
      </c>
      <c r="Z832">
        <f t="shared" si="382"/>
        <v>0</v>
      </c>
      <c r="AC832">
        <f t="shared" si="371"/>
        <v>261840.05413906992</v>
      </c>
      <c r="AD832">
        <f t="shared" si="372"/>
        <v>261695.39341250874</v>
      </c>
      <c r="AE832">
        <f t="shared" si="373"/>
        <v>260531.5558363325</v>
      </c>
      <c r="AF832">
        <f t="shared" si="374"/>
        <v>260491.54341930509</v>
      </c>
      <c r="AG832">
        <f t="shared" si="375"/>
        <v>259555.68156998098</v>
      </c>
      <c r="AH832">
        <f t="shared" si="376"/>
        <v>258091.4699801369</v>
      </c>
      <c r="AI832">
        <f t="shared" si="389"/>
        <v>261840.05413906992</v>
      </c>
    </row>
    <row r="833" spans="2:35" x14ac:dyDescent="0.3">
      <c r="B833">
        <v>790</v>
      </c>
      <c r="C833">
        <v>75700.406000000003</v>
      </c>
      <c r="D833">
        <v>74927.139800000004</v>
      </c>
      <c r="E833">
        <v>75564.409400000004</v>
      </c>
      <c r="F833">
        <v>75575.998399999997</v>
      </c>
      <c r="G833">
        <v>75969.441200000001</v>
      </c>
      <c r="H833">
        <v>76614.933499999999</v>
      </c>
      <c r="I833">
        <v>9.2010447639146378</v>
      </c>
      <c r="J833">
        <v>9.1956324272140932</v>
      </c>
      <c r="K833">
        <v>9.1940860009067062</v>
      </c>
      <c r="L833">
        <v>9.1934165577129594</v>
      </c>
      <c r="M833">
        <v>9.1899235675403741</v>
      </c>
      <c r="N833">
        <v>9.187097654426017</v>
      </c>
      <c r="P833">
        <f t="shared" ref="P833:P896" si="399">Threshold*I833-C833</f>
        <v>200330.9369174391</v>
      </c>
      <c r="Q833">
        <f t="shared" ref="Q833:Q896" si="400">Threshold*J833-D833</f>
        <v>200941.83301642281</v>
      </c>
      <c r="R833">
        <f t="shared" ref="R833:R896" si="401">Threshold*K833-E833</f>
        <v>200258.17062720121</v>
      </c>
      <c r="S833">
        <f t="shared" ref="S833:S896" si="402">Threshold*L833-F833</f>
        <v>200226.49833138881</v>
      </c>
      <c r="T833">
        <f t="shared" ref="T833:T896" si="403">Threshold*M833-G833</f>
        <v>199728.26582621119</v>
      </c>
      <c r="U833">
        <f t="shared" ref="U833:U896" si="404">Threshold*N833-H833</f>
        <v>198997.99613278051</v>
      </c>
      <c r="V833">
        <f t="shared" si="378"/>
        <v>0</v>
      </c>
      <c r="W833">
        <f t="shared" si="379"/>
        <v>1</v>
      </c>
      <c r="X833">
        <f t="shared" si="380"/>
        <v>0</v>
      </c>
      <c r="Y833">
        <f t="shared" si="381"/>
        <v>0</v>
      </c>
      <c r="Z833">
        <f t="shared" si="382"/>
        <v>0</v>
      </c>
      <c r="AA833">
        <f t="shared" ref="AA833" si="405">IF(MAX(P833:U833)=U833, 1, 0)</f>
        <v>0</v>
      </c>
      <c r="AC833">
        <f t="shared" si="371"/>
        <v>200330.9369174391</v>
      </c>
      <c r="AD833">
        <f t="shared" si="372"/>
        <v>200941.83301642281</v>
      </c>
      <c r="AE833">
        <f t="shared" si="373"/>
        <v>200258.17062720121</v>
      </c>
      <c r="AF833">
        <f t="shared" si="374"/>
        <v>200226.49833138881</v>
      </c>
      <c r="AG833">
        <f t="shared" si="375"/>
        <v>199728.26582621119</v>
      </c>
      <c r="AH833">
        <f t="shared" si="376"/>
        <v>198997.99613278051</v>
      </c>
      <c r="AI833">
        <f t="shared" si="389"/>
        <v>200941.83301642281</v>
      </c>
    </row>
    <row r="834" spans="2:35" x14ac:dyDescent="0.3">
      <c r="B834">
        <v>791</v>
      </c>
      <c r="C834">
        <v>77325.282200000001</v>
      </c>
      <c r="D834">
        <v>76126.4899</v>
      </c>
      <c r="E834">
        <v>76414.265199999994</v>
      </c>
      <c r="F834">
        <v>76165.487399999998</v>
      </c>
      <c r="G834">
        <v>76360.397299999997</v>
      </c>
      <c r="H834">
        <v>76449.3603</v>
      </c>
      <c r="I834">
        <v>10.166539811866325</v>
      </c>
      <c r="J834">
        <v>10.114221601177103</v>
      </c>
      <c r="K834">
        <v>10.072697766728281</v>
      </c>
      <c r="L834">
        <v>10.047975596387172</v>
      </c>
      <c r="M834">
        <v>10.022660108265908</v>
      </c>
      <c r="N834">
        <v>9.983897413822362</v>
      </c>
      <c r="P834">
        <f t="shared" si="399"/>
        <v>227670.91215598973</v>
      </c>
      <c r="Q834">
        <f t="shared" si="400"/>
        <v>227300.15813531313</v>
      </c>
      <c r="R834">
        <f t="shared" si="401"/>
        <v>225766.66780184841</v>
      </c>
      <c r="S834">
        <f t="shared" si="402"/>
        <v>225273.78049161518</v>
      </c>
      <c r="T834">
        <f t="shared" si="403"/>
        <v>224319.40594797721</v>
      </c>
      <c r="U834">
        <f t="shared" si="404"/>
        <v>223067.56211467087</v>
      </c>
      <c r="V834">
        <f t="shared" si="378"/>
        <v>1</v>
      </c>
      <c r="W834">
        <f t="shared" si="379"/>
        <v>0</v>
      </c>
      <c r="X834">
        <f t="shared" si="380"/>
        <v>0</v>
      </c>
      <c r="Y834">
        <f t="shared" si="381"/>
        <v>0</v>
      </c>
      <c r="Z834">
        <f t="shared" si="382"/>
        <v>0</v>
      </c>
      <c r="AC834">
        <f t="shared" si="371"/>
        <v>227670.91215598973</v>
      </c>
      <c r="AD834">
        <f t="shared" si="372"/>
        <v>227300.15813531313</v>
      </c>
      <c r="AE834">
        <f t="shared" si="373"/>
        <v>225766.66780184841</v>
      </c>
      <c r="AF834">
        <f t="shared" si="374"/>
        <v>225273.78049161518</v>
      </c>
      <c r="AG834">
        <f t="shared" si="375"/>
        <v>224319.40594797721</v>
      </c>
      <c r="AH834">
        <f t="shared" si="376"/>
        <v>223067.56211467087</v>
      </c>
      <c r="AI834">
        <f t="shared" si="389"/>
        <v>227670.91215598973</v>
      </c>
    </row>
    <row r="835" spans="2:35" x14ac:dyDescent="0.3">
      <c r="B835">
        <v>792</v>
      </c>
      <c r="C835">
        <v>71927.049400000004</v>
      </c>
      <c r="D835">
        <v>72853.084700000007</v>
      </c>
      <c r="E835">
        <v>74194.006599999993</v>
      </c>
      <c r="F835">
        <v>74369.364799999996</v>
      </c>
      <c r="G835">
        <v>75648.867499999993</v>
      </c>
      <c r="H835">
        <v>77087.752600000007</v>
      </c>
      <c r="I835">
        <v>10.113647570249245</v>
      </c>
      <c r="J835">
        <v>10.051226643826643</v>
      </c>
      <c r="K835">
        <v>10.008236270890329</v>
      </c>
      <c r="L835">
        <v>9.99452309193898</v>
      </c>
      <c r="M835">
        <v>9.9576337742201488</v>
      </c>
      <c r="N835">
        <v>9.9128140191935561</v>
      </c>
      <c r="P835">
        <f t="shared" si="399"/>
        <v>231482.37770747737</v>
      </c>
      <c r="Q835">
        <f t="shared" si="400"/>
        <v>228683.7146147993</v>
      </c>
      <c r="R835">
        <f t="shared" si="401"/>
        <v>226053.08152670987</v>
      </c>
      <c r="S835">
        <f t="shared" si="402"/>
        <v>225466.32795816939</v>
      </c>
      <c r="T835">
        <f t="shared" si="403"/>
        <v>223080.14572660445</v>
      </c>
      <c r="U835">
        <f t="shared" si="404"/>
        <v>220296.66797580669</v>
      </c>
      <c r="V835">
        <f t="shared" si="378"/>
        <v>1</v>
      </c>
      <c r="W835">
        <f t="shared" si="379"/>
        <v>0</v>
      </c>
      <c r="X835">
        <f t="shared" si="380"/>
        <v>0</v>
      </c>
      <c r="Y835">
        <f t="shared" si="381"/>
        <v>0</v>
      </c>
      <c r="Z835">
        <f t="shared" si="382"/>
        <v>0</v>
      </c>
      <c r="AA835">
        <f t="shared" ref="AA835" si="406">IF(MAX(P835:U835)=U835, 1, 0)</f>
        <v>0</v>
      </c>
      <c r="AC835">
        <f t="shared" si="371"/>
        <v>231482.37770747737</v>
      </c>
      <c r="AD835">
        <f t="shared" si="372"/>
        <v>228683.7146147993</v>
      </c>
      <c r="AE835">
        <f t="shared" si="373"/>
        <v>226053.08152670987</v>
      </c>
      <c r="AF835">
        <f t="shared" si="374"/>
        <v>225466.32795816939</v>
      </c>
      <c r="AG835">
        <f t="shared" si="375"/>
        <v>223080.14572660445</v>
      </c>
      <c r="AH835">
        <f t="shared" si="376"/>
        <v>220296.66797580669</v>
      </c>
      <c r="AI835">
        <f t="shared" si="389"/>
        <v>231482.37770747737</v>
      </c>
    </row>
    <row r="836" spans="2:35" x14ac:dyDescent="0.3">
      <c r="B836">
        <v>793</v>
      </c>
      <c r="C836">
        <v>85442.205600000001</v>
      </c>
      <c r="D836">
        <v>84309.420299999998</v>
      </c>
      <c r="E836">
        <v>84331.900699999998</v>
      </c>
      <c r="F836">
        <v>84161.374200000006</v>
      </c>
      <c r="G836">
        <v>84389.3995</v>
      </c>
      <c r="H836">
        <v>84240.3701</v>
      </c>
      <c r="I836">
        <v>10.09257552146353</v>
      </c>
      <c r="J836">
        <v>10.067262498037577</v>
      </c>
      <c r="K836">
        <v>10.050653037182352</v>
      </c>
      <c r="L836">
        <v>10.04242869847827</v>
      </c>
      <c r="M836">
        <v>10.027597818298684</v>
      </c>
      <c r="N836">
        <v>10.00465649171171</v>
      </c>
      <c r="P836">
        <f t="shared" si="399"/>
        <v>217335.06004390592</v>
      </c>
      <c r="Q836">
        <f t="shared" si="400"/>
        <v>217708.45464112732</v>
      </c>
      <c r="R836">
        <f t="shared" si="401"/>
        <v>217187.69041547057</v>
      </c>
      <c r="S836">
        <f t="shared" si="402"/>
        <v>217111.48675434809</v>
      </c>
      <c r="T836">
        <f t="shared" si="403"/>
        <v>216438.53504896053</v>
      </c>
      <c r="U836">
        <f t="shared" si="404"/>
        <v>215899.32465135131</v>
      </c>
      <c r="V836">
        <f t="shared" si="378"/>
        <v>0</v>
      </c>
      <c r="W836">
        <f t="shared" si="379"/>
        <v>1</v>
      </c>
      <c r="X836">
        <f t="shared" si="380"/>
        <v>0</v>
      </c>
      <c r="Y836">
        <f t="shared" si="381"/>
        <v>0</v>
      </c>
      <c r="Z836">
        <f t="shared" si="382"/>
        <v>0</v>
      </c>
      <c r="AC836">
        <f t="shared" si="371"/>
        <v>217335.06004390592</v>
      </c>
      <c r="AD836">
        <f t="shared" si="372"/>
        <v>217708.45464112732</v>
      </c>
      <c r="AE836">
        <f t="shared" si="373"/>
        <v>217187.69041547057</v>
      </c>
      <c r="AF836">
        <f t="shared" si="374"/>
        <v>217111.48675434809</v>
      </c>
      <c r="AG836">
        <f t="shared" si="375"/>
        <v>216438.53504896053</v>
      </c>
      <c r="AH836">
        <f t="shared" si="376"/>
        <v>215899.32465135131</v>
      </c>
      <c r="AI836">
        <f t="shared" si="389"/>
        <v>217708.45464112732</v>
      </c>
    </row>
    <row r="837" spans="2:35" x14ac:dyDescent="0.3">
      <c r="B837">
        <v>794</v>
      </c>
      <c r="C837">
        <v>80377.142999999996</v>
      </c>
      <c r="D837">
        <v>79427.239700000006</v>
      </c>
      <c r="E837">
        <v>79841.694600000003</v>
      </c>
      <c r="F837">
        <v>79804.311499999996</v>
      </c>
      <c r="G837">
        <v>79989.695500000002</v>
      </c>
      <c r="H837">
        <v>80262.693299999999</v>
      </c>
      <c r="I837">
        <v>10.84826424251475</v>
      </c>
      <c r="J837">
        <v>10.797855377731247</v>
      </c>
      <c r="K837">
        <v>10.76088237121126</v>
      </c>
      <c r="L837">
        <v>10.734445840892811</v>
      </c>
      <c r="M837">
        <v>10.690776584834722</v>
      </c>
      <c r="N837">
        <v>10.646777889249552</v>
      </c>
      <c r="P837">
        <f t="shared" si="399"/>
        <v>245070.78427544254</v>
      </c>
      <c r="Q837">
        <f t="shared" si="400"/>
        <v>244508.42163193741</v>
      </c>
      <c r="R837">
        <f t="shared" si="401"/>
        <v>242984.7765363378</v>
      </c>
      <c r="S837">
        <f t="shared" si="402"/>
        <v>242229.06372678431</v>
      </c>
      <c r="T837">
        <f t="shared" si="403"/>
        <v>240733.60204504165</v>
      </c>
      <c r="U837">
        <f t="shared" si="404"/>
        <v>239140.64337748656</v>
      </c>
      <c r="V837">
        <f t="shared" si="378"/>
        <v>1</v>
      </c>
      <c r="W837">
        <f t="shared" si="379"/>
        <v>0</v>
      </c>
      <c r="X837">
        <f t="shared" si="380"/>
        <v>0</v>
      </c>
      <c r="Y837">
        <f t="shared" si="381"/>
        <v>0</v>
      </c>
      <c r="Z837">
        <f t="shared" si="382"/>
        <v>0</v>
      </c>
      <c r="AA837">
        <f t="shared" ref="AA837" si="407">IF(MAX(P837:U837)=U837, 1, 0)</f>
        <v>0</v>
      </c>
      <c r="AC837">
        <f t="shared" si="371"/>
        <v>245070.78427544254</v>
      </c>
      <c r="AD837">
        <f t="shared" si="372"/>
        <v>244508.42163193741</v>
      </c>
      <c r="AE837">
        <f t="shared" si="373"/>
        <v>242984.7765363378</v>
      </c>
      <c r="AF837">
        <f t="shared" si="374"/>
        <v>242229.06372678431</v>
      </c>
      <c r="AG837">
        <f t="shared" si="375"/>
        <v>240733.60204504165</v>
      </c>
      <c r="AH837">
        <f t="shared" si="376"/>
        <v>239140.64337748656</v>
      </c>
      <c r="AI837">
        <f t="shared" si="389"/>
        <v>245070.78427544254</v>
      </c>
    </row>
    <row r="838" spans="2:35" x14ac:dyDescent="0.3">
      <c r="B838">
        <v>795</v>
      </c>
      <c r="C838">
        <v>65120.257400000002</v>
      </c>
      <c r="D838">
        <v>64744.3367</v>
      </c>
      <c r="E838">
        <v>65380.388099999996</v>
      </c>
      <c r="F838">
        <v>65452.365899999997</v>
      </c>
      <c r="G838">
        <v>65971.1158</v>
      </c>
      <c r="H838">
        <v>66663.094299999997</v>
      </c>
      <c r="I838">
        <v>9.7132141582743259</v>
      </c>
      <c r="J838">
        <v>9.6789380479575975</v>
      </c>
      <c r="K838">
        <v>9.6574052920430038</v>
      </c>
      <c r="L838">
        <v>9.6406858230173054</v>
      </c>
      <c r="M838">
        <v>9.6230243406531653</v>
      </c>
      <c r="N838">
        <v>9.5992877312218283</v>
      </c>
      <c r="P838">
        <f t="shared" si="399"/>
        <v>226276.16734822979</v>
      </c>
      <c r="Q838">
        <f t="shared" si="400"/>
        <v>225623.80473872792</v>
      </c>
      <c r="R838">
        <f t="shared" si="401"/>
        <v>224341.77066129015</v>
      </c>
      <c r="S838">
        <f t="shared" si="402"/>
        <v>223768.20879051913</v>
      </c>
      <c r="T838">
        <f t="shared" si="403"/>
        <v>222719.61441959496</v>
      </c>
      <c r="U838">
        <f t="shared" si="404"/>
        <v>221315.53763665486</v>
      </c>
      <c r="V838">
        <f t="shared" si="378"/>
        <v>1</v>
      </c>
      <c r="W838">
        <f t="shared" si="379"/>
        <v>0</v>
      </c>
      <c r="X838">
        <f t="shared" si="380"/>
        <v>0</v>
      </c>
      <c r="Y838">
        <f t="shared" si="381"/>
        <v>0</v>
      </c>
      <c r="Z838">
        <f t="shared" si="382"/>
        <v>0</v>
      </c>
      <c r="AC838">
        <f t="shared" si="371"/>
        <v>226276.16734822979</v>
      </c>
      <c r="AD838">
        <f t="shared" si="372"/>
        <v>225623.80473872792</v>
      </c>
      <c r="AE838">
        <f t="shared" si="373"/>
        <v>224341.77066129015</v>
      </c>
      <c r="AF838">
        <f t="shared" si="374"/>
        <v>223768.20879051913</v>
      </c>
      <c r="AG838">
        <f t="shared" si="375"/>
        <v>222719.61441959496</v>
      </c>
      <c r="AH838">
        <f t="shared" si="376"/>
        <v>221315.53763665486</v>
      </c>
      <c r="AI838">
        <f t="shared" si="389"/>
        <v>226276.16734822979</v>
      </c>
    </row>
    <row r="839" spans="2:35" x14ac:dyDescent="0.3">
      <c r="B839">
        <v>796</v>
      </c>
      <c r="C839">
        <v>71215.655499999993</v>
      </c>
      <c r="D839">
        <v>69296.611000000004</v>
      </c>
      <c r="E839">
        <v>68992.129199999996</v>
      </c>
      <c r="F839">
        <v>68585.928899999999</v>
      </c>
      <c r="G839">
        <v>68107.1253</v>
      </c>
      <c r="H839">
        <v>67780.683600000004</v>
      </c>
      <c r="I839">
        <v>9.6537303152220773</v>
      </c>
      <c r="J839">
        <v>9.6269615945249694</v>
      </c>
      <c r="K839">
        <v>9.6131168343295474</v>
      </c>
      <c r="L839">
        <v>9.6038905766934093</v>
      </c>
      <c r="M839">
        <v>9.5861501833432463</v>
      </c>
      <c r="N839">
        <v>9.5686746724012028</v>
      </c>
      <c r="P839">
        <f t="shared" si="399"/>
        <v>218396.25395666232</v>
      </c>
      <c r="Q839">
        <f t="shared" si="400"/>
        <v>219512.23683574909</v>
      </c>
      <c r="R839">
        <f t="shared" si="401"/>
        <v>219401.37582988644</v>
      </c>
      <c r="S839">
        <f t="shared" si="402"/>
        <v>219530.7884008023</v>
      </c>
      <c r="T839">
        <f t="shared" si="403"/>
        <v>219477.3802002974</v>
      </c>
      <c r="U839">
        <f t="shared" si="404"/>
        <v>219279.55657203612</v>
      </c>
      <c r="V839">
        <f t="shared" si="378"/>
        <v>0</v>
      </c>
      <c r="W839">
        <f t="shared" si="379"/>
        <v>0</v>
      </c>
      <c r="X839">
        <f t="shared" si="380"/>
        <v>0</v>
      </c>
      <c r="Y839">
        <f t="shared" si="381"/>
        <v>1</v>
      </c>
      <c r="Z839">
        <f t="shared" si="382"/>
        <v>0</v>
      </c>
      <c r="AA839">
        <f t="shared" ref="AA839" si="408">IF(MAX(P839:U839)=U839, 1, 0)</f>
        <v>0</v>
      </c>
      <c r="AC839">
        <f t="shared" si="371"/>
        <v>218396.25395666232</v>
      </c>
      <c r="AD839">
        <f t="shared" si="372"/>
        <v>219512.23683574909</v>
      </c>
      <c r="AE839">
        <f t="shared" si="373"/>
        <v>219401.37582988644</v>
      </c>
      <c r="AF839">
        <f t="shared" si="374"/>
        <v>219530.7884008023</v>
      </c>
      <c r="AG839">
        <f t="shared" si="375"/>
        <v>219477.3802002974</v>
      </c>
      <c r="AH839">
        <f t="shared" si="376"/>
        <v>219279.55657203612</v>
      </c>
      <c r="AI839">
        <f t="shared" si="389"/>
        <v>219530.7884008023</v>
      </c>
    </row>
    <row r="840" spans="2:35" x14ac:dyDescent="0.3">
      <c r="B840">
        <v>797</v>
      </c>
      <c r="C840">
        <v>71191.866999999998</v>
      </c>
      <c r="D840">
        <v>70780.375899999999</v>
      </c>
      <c r="E840">
        <v>71472.779699999999</v>
      </c>
      <c r="F840">
        <v>71563.206300000005</v>
      </c>
      <c r="G840">
        <v>71968.674799999993</v>
      </c>
      <c r="H840">
        <v>72747.799199999994</v>
      </c>
      <c r="I840">
        <v>9.2490899295648727</v>
      </c>
      <c r="J840">
        <v>9.2136464423932463</v>
      </c>
      <c r="K840">
        <v>9.1858782457697679</v>
      </c>
      <c r="L840">
        <v>9.1705599624030967</v>
      </c>
      <c r="M840">
        <v>9.1451397556014964</v>
      </c>
      <c r="N840">
        <v>9.1147870130481206</v>
      </c>
      <c r="P840">
        <f t="shared" si="399"/>
        <v>206280.83088694621</v>
      </c>
      <c r="Q840">
        <f t="shared" si="400"/>
        <v>205629.01737179741</v>
      </c>
      <c r="R840">
        <f t="shared" si="401"/>
        <v>204103.567673093</v>
      </c>
      <c r="S840">
        <f t="shared" si="402"/>
        <v>203553.59257209289</v>
      </c>
      <c r="T840">
        <f t="shared" si="403"/>
        <v>202385.5178680449</v>
      </c>
      <c r="U840">
        <f t="shared" si="404"/>
        <v>200695.81119144359</v>
      </c>
      <c r="V840">
        <f t="shared" si="378"/>
        <v>1</v>
      </c>
      <c r="W840">
        <f t="shared" si="379"/>
        <v>0</v>
      </c>
      <c r="X840">
        <f t="shared" si="380"/>
        <v>0</v>
      </c>
      <c r="Y840">
        <f t="shared" si="381"/>
        <v>0</v>
      </c>
      <c r="Z840">
        <f t="shared" si="382"/>
        <v>0</v>
      </c>
      <c r="AC840">
        <f t="shared" si="371"/>
        <v>206280.83088694621</v>
      </c>
      <c r="AD840">
        <f t="shared" si="372"/>
        <v>205629.01737179741</v>
      </c>
      <c r="AE840">
        <f t="shared" si="373"/>
        <v>204103.567673093</v>
      </c>
      <c r="AF840">
        <f t="shared" si="374"/>
        <v>203553.59257209289</v>
      </c>
      <c r="AG840">
        <f t="shared" si="375"/>
        <v>202385.5178680449</v>
      </c>
      <c r="AH840">
        <f t="shared" si="376"/>
        <v>200695.81119144359</v>
      </c>
      <c r="AI840">
        <f t="shared" si="389"/>
        <v>206280.83088694621</v>
      </c>
    </row>
    <row r="841" spans="2:35" x14ac:dyDescent="0.3">
      <c r="B841">
        <v>798</v>
      </c>
      <c r="C841">
        <v>74971.461599999995</v>
      </c>
      <c r="D841">
        <v>74276.984899999996</v>
      </c>
      <c r="E841">
        <v>74761.217900000003</v>
      </c>
      <c r="F841">
        <v>74714.426300000006</v>
      </c>
      <c r="G841">
        <v>75244.403300000005</v>
      </c>
      <c r="H841">
        <v>75736.185200000007</v>
      </c>
      <c r="I841">
        <v>8.9971450203919066</v>
      </c>
      <c r="J841">
        <v>8.9677491429629281</v>
      </c>
      <c r="K841">
        <v>8.9497598892901493</v>
      </c>
      <c r="L841">
        <v>8.9389648627720657</v>
      </c>
      <c r="M841">
        <v>8.9183814839376616</v>
      </c>
      <c r="N841">
        <v>8.8998868798244182</v>
      </c>
      <c r="P841">
        <f t="shared" si="399"/>
        <v>194942.88901175722</v>
      </c>
      <c r="Q841">
        <f t="shared" si="400"/>
        <v>194755.48938888789</v>
      </c>
      <c r="R841">
        <f t="shared" si="401"/>
        <v>193731.57877870451</v>
      </c>
      <c r="S841">
        <f t="shared" si="402"/>
        <v>193454.51958316198</v>
      </c>
      <c r="T841">
        <f t="shared" si="403"/>
        <v>192307.04121812986</v>
      </c>
      <c r="U841">
        <f t="shared" si="404"/>
        <v>191260.42119473254</v>
      </c>
      <c r="V841">
        <f t="shared" si="378"/>
        <v>1</v>
      </c>
      <c r="W841">
        <f t="shared" si="379"/>
        <v>0</v>
      </c>
      <c r="X841">
        <f t="shared" si="380"/>
        <v>0</v>
      </c>
      <c r="Y841">
        <f t="shared" si="381"/>
        <v>0</v>
      </c>
      <c r="Z841">
        <f t="shared" si="382"/>
        <v>0</v>
      </c>
      <c r="AA841">
        <f t="shared" ref="AA841" si="409">IF(MAX(P841:U841)=U841, 1, 0)</f>
        <v>0</v>
      </c>
      <c r="AC841">
        <f t="shared" si="371"/>
        <v>194942.88901175722</v>
      </c>
      <c r="AD841">
        <f t="shared" si="372"/>
        <v>194755.48938888789</v>
      </c>
      <c r="AE841">
        <f t="shared" si="373"/>
        <v>193731.57877870451</v>
      </c>
      <c r="AF841">
        <f t="shared" si="374"/>
        <v>193454.51958316198</v>
      </c>
      <c r="AG841">
        <f t="shared" si="375"/>
        <v>192307.04121812986</v>
      </c>
      <c r="AH841">
        <f t="shared" si="376"/>
        <v>191260.42119473254</v>
      </c>
      <c r="AI841">
        <f t="shared" si="389"/>
        <v>194942.88901175722</v>
      </c>
    </row>
    <row r="842" spans="2:35" x14ac:dyDescent="0.3">
      <c r="B842">
        <v>799</v>
      </c>
      <c r="C842">
        <v>80673.038100000005</v>
      </c>
      <c r="D842">
        <v>79115.272400000002</v>
      </c>
      <c r="E842">
        <v>79027.569300000003</v>
      </c>
      <c r="F842">
        <v>78573.204199999993</v>
      </c>
      <c r="G842">
        <v>78357.7742</v>
      </c>
      <c r="H842">
        <v>78206.801500000001</v>
      </c>
      <c r="I842">
        <v>10.375401619415284</v>
      </c>
      <c r="J842">
        <v>10.319469666308775</v>
      </c>
      <c r="K842">
        <v>10.293882689280787</v>
      </c>
      <c r="L842">
        <v>10.280430175481895</v>
      </c>
      <c r="M842">
        <v>10.229059490710288</v>
      </c>
      <c r="N842">
        <v>10.193918362686258</v>
      </c>
      <c r="P842">
        <f t="shared" si="399"/>
        <v>230589.01048245851</v>
      </c>
      <c r="Q842">
        <f t="shared" si="400"/>
        <v>230468.81758926326</v>
      </c>
      <c r="R842">
        <f t="shared" si="401"/>
        <v>229788.9113784236</v>
      </c>
      <c r="S842">
        <f t="shared" si="402"/>
        <v>229839.70106445684</v>
      </c>
      <c r="T842">
        <f t="shared" si="403"/>
        <v>228514.01052130864</v>
      </c>
      <c r="U842">
        <f t="shared" si="404"/>
        <v>227610.74938058772</v>
      </c>
      <c r="V842">
        <f t="shared" si="378"/>
        <v>1</v>
      </c>
      <c r="W842">
        <f t="shared" si="379"/>
        <v>0</v>
      </c>
      <c r="X842">
        <f t="shared" si="380"/>
        <v>0</v>
      </c>
      <c r="Y842">
        <f t="shared" si="381"/>
        <v>0</v>
      </c>
      <c r="Z842">
        <f t="shared" si="382"/>
        <v>0</v>
      </c>
      <c r="AC842">
        <f t="shared" si="371"/>
        <v>230589.01048245851</v>
      </c>
      <c r="AD842">
        <f t="shared" si="372"/>
        <v>230468.81758926326</v>
      </c>
      <c r="AE842">
        <f t="shared" si="373"/>
        <v>229788.9113784236</v>
      </c>
      <c r="AF842">
        <f t="shared" si="374"/>
        <v>229839.70106445684</v>
      </c>
      <c r="AG842">
        <f t="shared" si="375"/>
        <v>228514.01052130864</v>
      </c>
      <c r="AH842">
        <f t="shared" si="376"/>
        <v>227610.74938058772</v>
      </c>
      <c r="AI842">
        <f t="shared" si="389"/>
        <v>230589.01048245851</v>
      </c>
    </row>
    <row r="843" spans="2:35" x14ac:dyDescent="0.3">
      <c r="B843">
        <v>800</v>
      </c>
      <c r="C843">
        <v>76318.141900000002</v>
      </c>
      <c r="D843">
        <v>75678.611300000004</v>
      </c>
      <c r="E843">
        <v>76309.042100000006</v>
      </c>
      <c r="F843">
        <v>76291.732900000003</v>
      </c>
      <c r="G843">
        <v>76877.707699999999</v>
      </c>
      <c r="H843">
        <v>77431.551200000002</v>
      </c>
      <c r="I843">
        <v>11.135553447027744</v>
      </c>
      <c r="J843">
        <v>11.111234381712988</v>
      </c>
      <c r="K843">
        <v>11.088024622600035</v>
      </c>
      <c r="L843">
        <v>11.08260779732052</v>
      </c>
      <c r="M843">
        <v>11.059640641610379</v>
      </c>
      <c r="N843">
        <v>11.039401765300831</v>
      </c>
      <c r="P843">
        <f t="shared" si="399"/>
        <v>257748.46151083236</v>
      </c>
      <c r="Q843">
        <f t="shared" si="400"/>
        <v>257658.42015138967</v>
      </c>
      <c r="R843">
        <f t="shared" si="401"/>
        <v>256331.69657800102</v>
      </c>
      <c r="S843">
        <f t="shared" si="402"/>
        <v>256186.50101961562</v>
      </c>
      <c r="T843">
        <f t="shared" si="403"/>
        <v>254911.51154831136</v>
      </c>
      <c r="U843">
        <f t="shared" si="404"/>
        <v>253750.50175902492</v>
      </c>
      <c r="V843">
        <f t="shared" si="378"/>
        <v>1</v>
      </c>
      <c r="W843">
        <f t="shared" si="379"/>
        <v>0</v>
      </c>
      <c r="X843">
        <f t="shared" si="380"/>
        <v>0</v>
      </c>
      <c r="Y843">
        <f t="shared" si="381"/>
        <v>0</v>
      </c>
      <c r="Z843">
        <f t="shared" si="382"/>
        <v>0</v>
      </c>
      <c r="AA843">
        <f t="shared" ref="AA843" si="410">IF(MAX(P843:U843)=U843, 1, 0)</f>
        <v>0</v>
      </c>
      <c r="AC843">
        <f t="shared" si="371"/>
        <v>257748.46151083236</v>
      </c>
      <c r="AD843">
        <f t="shared" si="372"/>
        <v>257658.42015138967</v>
      </c>
      <c r="AE843">
        <f t="shared" si="373"/>
        <v>256331.69657800102</v>
      </c>
      <c r="AF843">
        <f t="shared" si="374"/>
        <v>256186.50101961562</v>
      </c>
      <c r="AG843">
        <f t="shared" si="375"/>
        <v>254911.51154831136</v>
      </c>
      <c r="AH843">
        <f t="shared" si="376"/>
        <v>253750.50175902492</v>
      </c>
      <c r="AI843">
        <f t="shared" si="389"/>
        <v>257748.46151083236</v>
      </c>
    </row>
    <row r="844" spans="2:35" x14ac:dyDescent="0.3">
      <c r="B844">
        <v>801</v>
      </c>
      <c r="C844">
        <v>85895.565199999997</v>
      </c>
      <c r="D844">
        <v>84991.700899999996</v>
      </c>
      <c r="E844">
        <v>85265.148400000005</v>
      </c>
      <c r="F844">
        <v>85190.908599999995</v>
      </c>
      <c r="G844">
        <v>85468.286800000002</v>
      </c>
      <c r="H844">
        <v>85692.055800000002</v>
      </c>
      <c r="I844">
        <v>8.9303606311421184</v>
      </c>
      <c r="J844">
        <v>8.9032270386300478</v>
      </c>
      <c r="K844">
        <v>8.892807150158383</v>
      </c>
      <c r="L844">
        <v>8.8843524581339786</v>
      </c>
      <c r="M844">
        <v>8.8689656950970868</v>
      </c>
      <c r="N844">
        <v>8.8521492339935524</v>
      </c>
      <c r="P844">
        <f t="shared" si="399"/>
        <v>182015.25373426353</v>
      </c>
      <c r="Q844">
        <f t="shared" si="400"/>
        <v>182105.11025890143</v>
      </c>
      <c r="R844">
        <f t="shared" si="401"/>
        <v>181519.06610475149</v>
      </c>
      <c r="S844">
        <f t="shared" si="402"/>
        <v>181339.66514401938</v>
      </c>
      <c r="T844">
        <f t="shared" si="403"/>
        <v>180600.68405291258</v>
      </c>
      <c r="U844">
        <f t="shared" si="404"/>
        <v>179872.42121980657</v>
      </c>
      <c r="V844">
        <f t="shared" si="378"/>
        <v>0</v>
      </c>
      <c r="W844">
        <f t="shared" si="379"/>
        <v>1</v>
      </c>
      <c r="X844">
        <f t="shared" si="380"/>
        <v>0</v>
      </c>
      <c r="Y844">
        <f t="shared" si="381"/>
        <v>0</v>
      </c>
      <c r="Z844">
        <f t="shared" si="382"/>
        <v>0</v>
      </c>
      <c r="AC844">
        <f t="shared" si="371"/>
        <v>182015.25373426353</v>
      </c>
      <c r="AD844">
        <f t="shared" si="372"/>
        <v>182105.11025890143</v>
      </c>
      <c r="AE844">
        <f t="shared" si="373"/>
        <v>181519.06610475149</v>
      </c>
      <c r="AF844">
        <f t="shared" si="374"/>
        <v>181339.66514401938</v>
      </c>
      <c r="AG844">
        <f t="shared" si="375"/>
        <v>180600.68405291258</v>
      </c>
      <c r="AH844">
        <f t="shared" si="376"/>
        <v>179872.42121980657</v>
      </c>
      <c r="AI844">
        <f t="shared" si="389"/>
        <v>182105.11025890143</v>
      </c>
    </row>
    <row r="845" spans="2:35" x14ac:dyDescent="0.3">
      <c r="B845">
        <v>802</v>
      </c>
      <c r="C845">
        <v>76505.210999999996</v>
      </c>
      <c r="D845">
        <v>75692.8505</v>
      </c>
      <c r="E845">
        <v>76023.926399999997</v>
      </c>
      <c r="F845">
        <v>75947.181800000006</v>
      </c>
      <c r="G845">
        <v>76345.843099999998</v>
      </c>
      <c r="H845">
        <v>76738.498200000002</v>
      </c>
      <c r="I845">
        <v>9.7556234852940857</v>
      </c>
      <c r="J845">
        <v>9.7187998096037056</v>
      </c>
      <c r="K845">
        <v>9.6795817779399265</v>
      </c>
      <c r="L845">
        <v>9.6681445109675757</v>
      </c>
      <c r="M845">
        <v>9.6375872055702665</v>
      </c>
      <c r="N845">
        <v>9.6087417497993961</v>
      </c>
      <c r="P845">
        <f t="shared" si="399"/>
        <v>216163.49355882255</v>
      </c>
      <c r="Q845">
        <f t="shared" si="400"/>
        <v>215871.14378811116</v>
      </c>
      <c r="R845">
        <f t="shared" si="401"/>
        <v>214363.52693819779</v>
      </c>
      <c r="S845">
        <f t="shared" si="402"/>
        <v>214097.15352902724</v>
      </c>
      <c r="T845">
        <f t="shared" si="403"/>
        <v>212781.77306710801</v>
      </c>
      <c r="U845">
        <f t="shared" si="404"/>
        <v>211523.75429398185</v>
      </c>
      <c r="V845">
        <f t="shared" si="378"/>
        <v>1</v>
      </c>
      <c r="W845">
        <f t="shared" si="379"/>
        <v>0</v>
      </c>
      <c r="X845">
        <f t="shared" si="380"/>
        <v>0</v>
      </c>
      <c r="Y845">
        <f t="shared" si="381"/>
        <v>0</v>
      </c>
      <c r="Z845">
        <f t="shared" si="382"/>
        <v>0</v>
      </c>
      <c r="AA845">
        <f t="shared" ref="AA845" si="411">IF(MAX(P845:U845)=U845, 1, 0)</f>
        <v>0</v>
      </c>
      <c r="AC845">
        <f t="shared" si="371"/>
        <v>216163.49355882255</v>
      </c>
      <c r="AD845">
        <f t="shared" si="372"/>
        <v>215871.14378811116</v>
      </c>
      <c r="AE845">
        <f t="shared" si="373"/>
        <v>214363.52693819779</v>
      </c>
      <c r="AF845">
        <f t="shared" si="374"/>
        <v>214097.15352902724</v>
      </c>
      <c r="AG845">
        <f t="shared" si="375"/>
        <v>212781.77306710801</v>
      </c>
      <c r="AH845">
        <f t="shared" si="376"/>
        <v>211523.75429398185</v>
      </c>
      <c r="AI845">
        <f t="shared" si="389"/>
        <v>216163.49355882255</v>
      </c>
    </row>
    <row r="846" spans="2:35" x14ac:dyDescent="0.3">
      <c r="B846">
        <v>803</v>
      </c>
      <c r="C846">
        <v>67254.898100000006</v>
      </c>
      <c r="D846">
        <v>66410.547000000006</v>
      </c>
      <c r="E846">
        <v>66992.886499999993</v>
      </c>
      <c r="F846">
        <v>67107.088300000003</v>
      </c>
      <c r="G846">
        <v>67490.110199999996</v>
      </c>
      <c r="H846">
        <v>67990.915399999998</v>
      </c>
      <c r="I846">
        <v>11.794170766356673</v>
      </c>
      <c r="J846">
        <v>11.765372220465435</v>
      </c>
      <c r="K846">
        <v>11.738693778960743</v>
      </c>
      <c r="L846">
        <v>11.72239144268338</v>
      </c>
      <c r="M846">
        <v>11.698737692021329</v>
      </c>
      <c r="N846">
        <v>11.676151802621154</v>
      </c>
      <c r="P846">
        <f t="shared" si="399"/>
        <v>286570.22489070019</v>
      </c>
      <c r="Q846">
        <f t="shared" si="400"/>
        <v>286550.61961396306</v>
      </c>
      <c r="R846">
        <f t="shared" si="401"/>
        <v>285167.92686882231</v>
      </c>
      <c r="S846">
        <f t="shared" si="402"/>
        <v>284564.65498050139</v>
      </c>
      <c r="T846">
        <f t="shared" si="403"/>
        <v>283472.02056063985</v>
      </c>
      <c r="U846">
        <f t="shared" si="404"/>
        <v>282293.63867863466</v>
      </c>
      <c r="V846">
        <f t="shared" si="378"/>
        <v>1</v>
      </c>
      <c r="W846">
        <f t="shared" si="379"/>
        <v>0</v>
      </c>
      <c r="X846">
        <f t="shared" si="380"/>
        <v>0</v>
      </c>
      <c r="Y846">
        <f t="shared" si="381"/>
        <v>0</v>
      </c>
      <c r="Z846">
        <f t="shared" si="382"/>
        <v>0</v>
      </c>
      <c r="AC846">
        <f t="shared" si="371"/>
        <v>286570.22489070019</v>
      </c>
      <c r="AD846">
        <f t="shared" si="372"/>
        <v>286550.61961396306</v>
      </c>
      <c r="AE846">
        <f t="shared" si="373"/>
        <v>285167.92686882231</v>
      </c>
      <c r="AF846">
        <f t="shared" si="374"/>
        <v>284564.65498050139</v>
      </c>
      <c r="AG846">
        <f t="shared" si="375"/>
        <v>283472.02056063985</v>
      </c>
      <c r="AH846">
        <f t="shared" si="376"/>
        <v>282293.63867863466</v>
      </c>
      <c r="AI846">
        <f t="shared" si="389"/>
        <v>286570.22489070019</v>
      </c>
    </row>
    <row r="847" spans="2:35" x14ac:dyDescent="0.3">
      <c r="B847">
        <v>804</v>
      </c>
      <c r="C847">
        <v>83419.922900000005</v>
      </c>
      <c r="D847">
        <v>82683.11</v>
      </c>
      <c r="E847">
        <v>83208.727499999994</v>
      </c>
      <c r="F847">
        <v>82937.387700000007</v>
      </c>
      <c r="G847">
        <v>83355.375799999994</v>
      </c>
      <c r="H847">
        <v>83705.654899999994</v>
      </c>
      <c r="I847">
        <v>11.006577852154159</v>
      </c>
      <c r="J847">
        <v>10.983322286033227</v>
      </c>
      <c r="K847">
        <v>10.957937541394559</v>
      </c>
      <c r="L847">
        <v>10.953764961540983</v>
      </c>
      <c r="M847">
        <v>10.934750876276434</v>
      </c>
      <c r="N847">
        <v>10.912558650451571</v>
      </c>
      <c r="P847">
        <f t="shared" si="399"/>
        <v>246777.41266462475</v>
      </c>
      <c r="Q847">
        <f t="shared" si="400"/>
        <v>246816.55858099682</v>
      </c>
      <c r="R847">
        <f t="shared" si="401"/>
        <v>245529.39874183678</v>
      </c>
      <c r="S847">
        <f t="shared" si="402"/>
        <v>245675.56114622951</v>
      </c>
      <c r="T847">
        <f t="shared" si="403"/>
        <v>244687.15048829303</v>
      </c>
      <c r="U847">
        <f t="shared" si="404"/>
        <v>243671.10461354713</v>
      </c>
      <c r="V847">
        <f t="shared" si="378"/>
        <v>0</v>
      </c>
      <c r="W847">
        <f t="shared" si="379"/>
        <v>1</v>
      </c>
      <c r="X847">
        <f t="shared" si="380"/>
        <v>0</v>
      </c>
      <c r="Y847">
        <f t="shared" si="381"/>
        <v>0</v>
      </c>
      <c r="Z847">
        <f t="shared" si="382"/>
        <v>0</v>
      </c>
      <c r="AA847">
        <f t="shared" ref="AA847" si="412">IF(MAX(P847:U847)=U847, 1, 0)</f>
        <v>0</v>
      </c>
      <c r="AC847">
        <f t="shared" si="371"/>
        <v>246777.41266462475</v>
      </c>
      <c r="AD847">
        <f t="shared" si="372"/>
        <v>246816.55858099682</v>
      </c>
      <c r="AE847">
        <f t="shared" si="373"/>
        <v>245529.39874183678</v>
      </c>
      <c r="AF847">
        <f t="shared" si="374"/>
        <v>245675.56114622951</v>
      </c>
      <c r="AG847">
        <f t="shared" si="375"/>
        <v>244687.15048829303</v>
      </c>
      <c r="AH847">
        <f t="shared" si="376"/>
        <v>243671.10461354713</v>
      </c>
      <c r="AI847">
        <f t="shared" si="389"/>
        <v>246816.55858099682</v>
      </c>
    </row>
    <row r="848" spans="2:35" x14ac:dyDescent="0.3">
      <c r="B848">
        <v>805</v>
      </c>
      <c r="C848">
        <v>67256.488899999997</v>
      </c>
      <c r="D848">
        <v>66199.197899999999</v>
      </c>
      <c r="E848">
        <v>66414.451499999996</v>
      </c>
      <c r="F848">
        <v>66420.6639</v>
      </c>
      <c r="G848">
        <v>66631.936300000001</v>
      </c>
      <c r="H848">
        <v>66960.4617</v>
      </c>
      <c r="I848">
        <v>10.269079946055665</v>
      </c>
      <c r="J848">
        <v>10.246569289621288</v>
      </c>
      <c r="K848">
        <v>10.22415344249236</v>
      </c>
      <c r="L848">
        <v>10.211284842121367</v>
      </c>
      <c r="M848">
        <v>10.18381161316446</v>
      </c>
      <c r="N848">
        <v>10.16932581722866</v>
      </c>
      <c r="P848">
        <f t="shared" si="399"/>
        <v>240815.90948166995</v>
      </c>
      <c r="Q848">
        <f t="shared" si="400"/>
        <v>241197.88078863863</v>
      </c>
      <c r="R848">
        <f t="shared" si="401"/>
        <v>240310.15177477084</v>
      </c>
      <c r="S848">
        <f t="shared" si="402"/>
        <v>239917.88136364106</v>
      </c>
      <c r="T848">
        <f t="shared" si="403"/>
        <v>238882.4120949338</v>
      </c>
      <c r="U848">
        <f t="shared" si="404"/>
        <v>238119.31281685981</v>
      </c>
      <c r="V848">
        <f t="shared" si="378"/>
        <v>0</v>
      </c>
      <c r="W848">
        <f t="shared" si="379"/>
        <v>1</v>
      </c>
      <c r="X848">
        <f t="shared" si="380"/>
        <v>0</v>
      </c>
      <c r="Y848">
        <f t="shared" si="381"/>
        <v>0</v>
      </c>
      <c r="Z848">
        <f t="shared" si="382"/>
        <v>0</v>
      </c>
      <c r="AC848">
        <f t="shared" si="371"/>
        <v>240815.90948166995</v>
      </c>
      <c r="AD848">
        <f t="shared" si="372"/>
        <v>241197.88078863863</v>
      </c>
      <c r="AE848">
        <f t="shared" si="373"/>
        <v>240310.15177477084</v>
      </c>
      <c r="AF848">
        <f t="shared" si="374"/>
        <v>239917.88136364106</v>
      </c>
      <c r="AG848">
        <f t="shared" si="375"/>
        <v>238882.4120949338</v>
      </c>
      <c r="AH848">
        <f t="shared" si="376"/>
        <v>238119.31281685981</v>
      </c>
      <c r="AI848">
        <f t="shared" si="389"/>
        <v>241197.88078863863</v>
      </c>
    </row>
    <row r="849" spans="2:35" x14ac:dyDescent="0.3">
      <c r="B849">
        <v>806</v>
      </c>
      <c r="C849">
        <v>70957.513699999996</v>
      </c>
      <c r="D849">
        <v>70415.126799999998</v>
      </c>
      <c r="E849">
        <v>71065.588699999993</v>
      </c>
      <c r="F849">
        <v>71161.543900000004</v>
      </c>
      <c r="G849">
        <v>71667.746899999998</v>
      </c>
      <c r="H849">
        <v>72237.422399999996</v>
      </c>
      <c r="I849">
        <v>10.015257348422312</v>
      </c>
      <c r="J849">
        <v>9.9697442868624044</v>
      </c>
      <c r="K849">
        <v>9.9357800538475232</v>
      </c>
      <c r="L849">
        <v>9.9207622975595875</v>
      </c>
      <c r="M849">
        <v>9.8720476815561984</v>
      </c>
      <c r="N849">
        <v>9.8378463451633653</v>
      </c>
      <c r="P849">
        <f t="shared" si="399"/>
        <v>229500.20675266936</v>
      </c>
      <c r="Q849">
        <f t="shared" si="400"/>
        <v>228677.20180587212</v>
      </c>
      <c r="R849">
        <f t="shared" si="401"/>
        <v>227007.81291542572</v>
      </c>
      <c r="S849">
        <f t="shared" si="402"/>
        <v>226461.32502678764</v>
      </c>
      <c r="T849">
        <f t="shared" si="403"/>
        <v>224493.68354668593</v>
      </c>
      <c r="U849">
        <f t="shared" si="404"/>
        <v>222897.96795490099</v>
      </c>
      <c r="V849">
        <f t="shared" si="378"/>
        <v>1</v>
      </c>
      <c r="W849">
        <f t="shared" si="379"/>
        <v>0</v>
      </c>
      <c r="X849">
        <f t="shared" si="380"/>
        <v>0</v>
      </c>
      <c r="Y849">
        <f t="shared" si="381"/>
        <v>0</v>
      </c>
      <c r="Z849">
        <f t="shared" si="382"/>
        <v>0</v>
      </c>
      <c r="AA849">
        <f t="shared" ref="AA849" si="413">IF(MAX(P849:U849)=U849, 1, 0)</f>
        <v>0</v>
      </c>
      <c r="AC849">
        <f t="shared" si="371"/>
        <v>229500.20675266936</v>
      </c>
      <c r="AD849">
        <f t="shared" si="372"/>
        <v>228677.20180587212</v>
      </c>
      <c r="AE849">
        <f t="shared" si="373"/>
        <v>227007.81291542572</v>
      </c>
      <c r="AF849">
        <f t="shared" si="374"/>
        <v>226461.32502678764</v>
      </c>
      <c r="AG849">
        <f t="shared" si="375"/>
        <v>224493.68354668593</v>
      </c>
      <c r="AH849">
        <f t="shared" si="376"/>
        <v>222897.96795490099</v>
      </c>
      <c r="AI849">
        <f t="shared" si="389"/>
        <v>229500.20675266936</v>
      </c>
    </row>
    <row r="850" spans="2:35" x14ac:dyDescent="0.3">
      <c r="B850">
        <v>807</v>
      </c>
      <c r="C850">
        <v>77969.094500000007</v>
      </c>
      <c r="D850">
        <v>77515.689400000003</v>
      </c>
      <c r="E850">
        <v>78464.778000000006</v>
      </c>
      <c r="F850">
        <v>78522.186300000001</v>
      </c>
      <c r="G850">
        <v>79049.499800000005</v>
      </c>
      <c r="H850">
        <v>79813.167000000001</v>
      </c>
      <c r="I850">
        <v>10.112777895399748</v>
      </c>
      <c r="J850">
        <v>10.085798623892815</v>
      </c>
      <c r="K850">
        <v>10.060177806371321</v>
      </c>
      <c r="L850">
        <v>10.051677127756152</v>
      </c>
      <c r="M850">
        <v>10.034570588863465</v>
      </c>
      <c r="N850">
        <v>10.011206898507524</v>
      </c>
      <c r="P850">
        <f t="shared" si="399"/>
        <v>225414.24236199242</v>
      </c>
      <c r="Q850">
        <f t="shared" si="400"/>
        <v>225058.26931678443</v>
      </c>
      <c r="R850">
        <f t="shared" si="401"/>
        <v>223340.55619113962</v>
      </c>
      <c r="S850">
        <f t="shared" si="402"/>
        <v>223028.12753268454</v>
      </c>
      <c r="T850">
        <f t="shared" si="403"/>
        <v>221987.61786590394</v>
      </c>
      <c r="U850">
        <f t="shared" si="404"/>
        <v>220523.03995522571</v>
      </c>
      <c r="V850">
        <f t="shared" si="378"/>
        <v>1</v>
      </c>
      <c r="W850">
        <f t="shared" si="379"/>
        <v>0</v>
      </c>
      <c r="X850">
        <f t="shared" si="380"/>
        <v>0</v>
      </c>
      <c r="Y850">
        <f t="shared" si="381"/>
        <v>0</v>
      </c>
      <c r="Z850">
        <f t="shared" si="382"/>
        <v>0</v>
      </c>
      <c r="AC850">
        <f t="shared" si="371"/>
        <v>225414.24236199242</v>
      </c>
      <c r="AD850">
        <f t="shared" si="372"/>
        <v>225058.26931678443</v>
      </c>
      <c r="AE850">
        <f t="shared" si="373"/>
        <v>223340.55619113962</v>
      </c>
      <c r="AF850">
        <f t="shared" si="374"/>
        <v>223028.12753268454</v>
      </c>
      <c r="AG850">
        <f t="shared" si="375"/>
        <v>221987.61786590394</v>
      </c>
      <c r="AH850">
        <f t="shared" si="376"/>
        <v>220523.03995522571</v>
      </c>
      <c r="AI850">
        <f t="shared" si="389"/>
        <v>225414.24236199242</v>
      </c>
    </row>
    <row r="851" spans="2:35" x14ac:dyDescent="0.3">
      <c r="B851">
        <v>808</v>
      </c>
      <c r="C851">
        <v>79143.189799999993</v>
      </c>
      <c r="D851">
        <v>77871.2739</v>
      </c>
      <c r="E851">
        <v>77732.923500000004</v>
      </c>
      <c r="F851">
        <v>77428.269100000005</v>
      </c>
      <c r="G851">
        <v>77431.174400000004</v>
      </c>
      <c r="H851">
        <v>77379.521099999998</v>
      </c>
      <c r="I851">
        <v>10.989455127099143</v>
      </c>
      <c r="J851">
        <v>10.952296687268317</v>
      </c>
      <c r="K851">
        <v>10.932818296809549</v>
      </c>
      <c r="L851">
        <v>10.920997461798905</v>
      </c>
      <c r="M851">
        <v>10.897041685426384</v>
      </c>
      <c r="N851">
        <v>10.872310663085978</v>
      </c>
      <c r="P851">
        <f t="shared" si="399"/>
        <v>250540.46401297429</v>
      </c>
      <c r="Q851">
        <f t="shared" si="400"/>
        <v>250697.62671804955</v>
      </c>
      <c r="R851">
        <f t="shared" si="401"/>
        <v>250251.62540428646</v>
      </c>
      <c r="S851">
        <f t="shared" si="402"/>
        <v>250201.65475396716</v>
      </c>
      <c r="T851">
        <f t="shared" si="403"/>
        <v>249480.07616279152</v>
      </c>
      <c r="U851">
        <f t="shared" si="404"/>
        <v>248789.79879257933</v>
      </c>
      <c r="V851">
        <f t="shared" si="378"/>
        <v>0</v>
      </c>
      <c r="W851">
        <f t="shared" si="379"/>
        <v>1</v>
      </c>
      <c r="X851">
        <f t="shared" si="380"/>
        <v>0</v>
      </c>
      <c r="Y851">
        <f t="shared" si="381"/>
        <v>0</v>
      </c>
      <c r="Z851">
        <f t="shared" si="382"/>
        <v>0</v>
      </c>
      <c r="AA851">
        <f t="shared" ref="AA851" si="414">IF(MAX(P851:U851)=U851, 1, 0)</f>
        <v>0</v>
      </c>
      <c r="AC851">
        <f t="shared" si="371"/>
        <v>250540.46401297429</v>
      </c>
      <c r="AD851">
        <f t="shared" si="372"/>
        <v>250697.62671804955</v>
      </c>
      <c r="AE851">
        <f t="shared" si="373"/>
        <v>250251.62540428646</v>
      </c>
      <c r="AF851">
        <f t="shared" si="374"/>
        <v>250201.65475396716</v>
      </c>
      <c r="AG851">
        <f t="shared" si="375"/>
        <v>249480.07616279152</v>
      </c>
      <c r="AH851">
        <f t="shared" si="376"/>
        <v>248789.79879257933</v>
      </c>
      <c r="AI851">
        <f t="shared" si="389"/>
        <v>250697.62671804955</v>
      </c>
    </row>
    <row r="852" spans="2:35" x14ac:dyDescent="0.3">
      <c r="B852">
        <v>809</v>
      </c>
      <c r="C852">
        <v>73613.664300000004</v>
      </c>
      <c r="D852">
        <v>73332.545599999998</v>
      </c>
      <c r="E852">
        <v>74094.464500000002</v>
      </c>
      <c r="F852">
        <v>74074.323099999994</v>
      </c>
      <c r="G852">
        <v>74931.577099999995</v>
      </c>
      <c r="H852">
        <v>75286.585399999996</v>
      </c>
      <c r="I852">
        <v>11.42589863618362</v>
      </c>
      <c r="J852">
        <v>11.376033921229029</v>
      </c>
      <c r="K852">
        <v>11.347945832572771</v>
      </c>
      <c r="L852">
        <v>11.332444936253868</v>
      </c>
      <c r="M852">
        <v>11.308158180721209</v>
      </c>
      <c r="N852">
        <v>11.269963480521293</v>
      </c>
      <c r="P852">
        <f t="shared" si="399"/>
        <v>269163.29478550859</v>
      </c>
      <c r="Q852">
        <f t="shared" si="400"/>
        <v>267948.47203687084</v>
      </c>
      <c r="R852">
        <f t="shared" si="401"/>
        <v>266343.91047718312</v>
      </c>
      <c r="S852">
        <f t="shared" si="402"/>
        <v>265899.02498761605</v>
      </c>
      <c r="T852">
        <f t="shared" si="403"/>
        <v>264313.16832163627</v>
      </c>
      <c r="U852">
        <f t="shared" si="404"/>
        <v>262812.31901563879</v>
      </c>
      <c r="V852">
        <f t="shared" si="378"/>
        <v>1</v>
      </c>
      <c r="W852">
        <f t="shared" si="379"/>
        <v>0</v>
      </c>
      <c r="X852">
        <f t="shared" si="380"/>
        <v>0</v>
      </c>
      <c r="Y852">
        <f t="shared" si="381"/>
        <v>0</v>
      </c>
      <c r="Z852">
        <f t="shared" si="382"/>
        <v>0</v>
      </c>
      <c r="AC852">
        <f t="shared" si="371"/>
        <v>269163.29478550859</v>
      </c>
      <c r="AD852">
        <f t="shared" si="372"/>
        <v>267948.47203687084</v>
      </c>
      <c r="AE852">
        <f t="shared" si="373"/>
        <v>266343.91047718312</v>
      </c>
      <c r="AF852">
        <f t="shared" si="374"/>
        <v>265899.02498761605</v>
      </c>
      <c r="AG852">
        <f t="shared" si="375"/>
        <v>264313.16832163627</v>
      </c>
      <c r="AH852">
        <f t="shared" si="376"/>
        <v>262812.31901563879</v>
      </c>
      <c r="AI852">
        <f t="shared" si="389"/>
        <v>269163.29478550859</v>
      </c>
    </row>
    <row r="853" spans="2:35" x14ac:dyDescent="0.3">
      <c r="B853">
        <v>810</v>
      </c>
      <c r="C853">
        <v>88822.554099999994</v>
      </c>
      <c r="D853">
        <v>86914.717000000004</v>
      </c>
      <c r="E853">
        <v>86345.550099999993</v>
      </c>
      <c r="F853">
        <v>86023.525800000003</v>
      </c>
      <c r="G853">
        <v>85548.496700000003</v>
      </c>
      <c r="H853">
        <v>84845.87</v>
      </c>
      <c r="I853">
        <v>8.9517216040022696</v>
      </c>
      <c r="J853">
        <v>8.9197335502317596</v>
      </c>
      <c r="K853">
        <v>8.895366792511016</v>
      </c>
      <c r="L853">
        <v>8.8912364728829303</v>
      </c>
      <c r="M853">
        <v>8.8617456854010221</v>
      </c>
      <c r="N853">
        <v>8.8317746532409576</v>
      </c>
      <c r="P853">
        <f t="shared" si="399"/>
        <v>179729.09402006806</v>
      </c>
      <c r="Q853">
        <f t="shared" si="400"/>
        <v>180677.2895069528</v>
      </c>
      <c r="R853">
        <f t="shared" si="401"/>
        <v>180515.4536753305</v>
      </c>
      <c r="S853">
        <f t="shared" si="402"/>
        <v>180713.5683864879</v>
      </c>
      <c r="T853">
        <f t="shared" si="403"/>
        <v>180303.87386203062</v>
      </c>
      <c r="U853">
        <f t="shared" si="404"/>
        <v>180107.36959722871</v>
      </c>
      <c r="V853">
        <f t="shared" si="378"/>
        <v>0</v>
      </c>
      <c r="W853">
        <f t="shared" si="379"/>
        <v>0</v>
      </c>
      <c r="X853">
        <f t="shared" si="380"/>
        <v>0</v>
      </c>
      <c r="Y853">
        <f t="shared" si="381"/>
        <v>1</v>
      </c>
      <c r="Z853">
        <f t="shared" si="382"/>
        <v>0</v>
      </c>
      <c r="AA853">
        <f t="shared" ref="AA853" si="415">IF(MAX(P853:U853)=U853, 1, 0)</f>
        <v>0</v>
      </c>
      <c r="AC853">
        <f t="shared" si="371"/>
        <v>179729.09402006806</v>
      </c>
      <c r="AD853">
        <f t="shared" si="372"/>
        <v>180677.2895069528</v>
      </c>
      <c r="AE853">
        <f t="shared" si="373"/>
        <v>180515.4536753305</v>
      </c>
      <c r="AF853">
        <f t="shared" si="374"/>
        <v>180713.5683864879</v>
      </c>
      <c r="AG853">
        <f t="shared" si="375"/>
        <v>180303.87386203062</v>
      </c>
      <c r="AH853">
        <f t="shared" si="376"/>
        <v>180107.36959722871</v>
      </c>
      <c r="AI853">
        <f t="shared" si="389"/>
        <v>180713.5683864879</v>
      </c>
    </row>
    <row r="854" spans="2:35" x14ac:dyDescent="0.3">
      <c r="B854">
        <v>811</v>
      </c>
      <c r="C854">
        <v>83761.870899999994</v>
      </c>
      <c r="D854">
        <v>84131.421000000002</v>
      </c>
      <c r="E854">
        <v>84965.290299999993</v>
      </c>
      <c r="F854">
        <v>85821.569699999993</v>
      </c>
      <c r="G854">
        <v>86560.129100000006</v>
      </c>
      <c r="H854">
        <v>87756.280599999998</v>
      </c>
      <c r="I854">
        <v>9.116143203251788</v>
      </c>
      <c r="J854">
        <v>9.0889801799193197</v>
      </c>
      <c r="K854">
        <v>9.0707445524202139</v>
      </c>
      <c r="L854">
        <v>9.0521155698398292</v>
      </c>
      <c r="M854">
        <v>9.0396972792556802</v>
      </c>
      <c r="N854">
        <v>9.015282918608321</v>
      </c>
      <c r="P854">
        <f t="shared" si="399"/>
        <v>189722.42519755365</v>
      </c>
      <c r="Q854">
        <f t="shared" si="400"/>
        <v>188537.9843975796</v>
      </c>
      <c r="R854">
        <f t="shared" si="401"/>
        <v>187157.04627260641</v>
      </c>
      <c r="S854">
        <f t="shared" si="402"/>
        <v>185741.89739519486</v>
      </c>
      <c r="T854">
        <f t="shared" si="403"/>
        <v>184630.78927767038</v>
      </c>
      <c r="U854">
        <f t="shared" si="404"/>
        <v>182702.20695824962</v>
      </c>
      <c r="V854">
        <f t="shared" si="378"/>
        <v>1</v>
      </c>
      <c r="W854">
        <f t="shared" si="379"/>
        <v>0</v>
      </c>
      <c r="X854">
        <f t="shared" si="380"/>
        <v>0</v>
      </c>
      <c r="Y854">
        <f t="shared" si="381"/>
        <v>0</v>
      </c>
      <c r="Z854">
        <f t="shared" si="382"/>
        <v>0</v>
      </c>
      <c r="AC854">
        <f t="shared" si="371"/>
        <v>189722.42519755365</v>
      </c>
      <c r="AD854">
        <f t="shared" si="372"/>
        <v>188537.9843975796</v>
      </c>
      <c r="AE854">
        <f t="shared" si="373"/>
        <v>187157.04627260641</v>
      </c>
      <c r="AF854">
        <f t="shared" si="374"/>
        <v>185741.89739519486</v>
      </c>
      <c r="AG854">
        <f t="shared" si="375"/>
        <v>184630.78927767038</v>
      </c>
      <c r="AH854">
        <f t="shared" si="376"/>
        <v>182702.20695824962</v>
      </c>
      <c r="AI854">
        <f t="shared" si="389"/>
        <v>189722.42519755365</v>
      </c>
    </row>
    <row r="855" spans="2:35" x14ac:dyDescent="0.3">
      <c r="B855">
        <v>812</v>
      </c>
      <c r="C855">
        <v>71790.717099999994</v>
      </c>
      <c r="D855">
        <v>70465.7644</v>
      </c>
      <c r="E855">
        <v>70369.238200000007</v>
      </c>
      <c r="F855">
        <v>69982.367700000003</v>
      </c>
      <c r="G855">
        <v>69754.004400000005</v>
      </c>
      <c r="H855">
        <v>69627.972699999998</v>
      </c>
      <c r="I855">
        <v>10.058416577521582</v>
      </c>
      <c r="J855">
        <v>10.027230957297972</v>
      </c>
      <c r="K855">
        <v>10.004057168245197</v>
      </c>
      <c r="L855">
        <v>9.997023433984177</v>
      </c>
      <c r="M855">
        <v>9.963048428737169</v>
      </c>
      <c r="N855">
        <v>9.9422357450351928</v>
      </c>
      <c r="P855">
        <f t="shared" si="399"/>
        <v>229961.78022564744</v>
      </c>
      <c r="Q855">
        <f t="shared" si="400"/>
        <v>230351.16431893915</v>
      </c>
      <c r="R855">
        <f t="shared" si="401"/>
        <v>229752.47684735589</v>
      </c>
      <c r="S855">
        <f t="shared" si="402"/>
        <v>229928.33531952533</v>
      </c>
      <c r="T855">
        <f t="shared" si="403"/>
        <v>229137.44846211505</v>
      </c>
      <c r="U855">
        <f t="shared" si="404"/>
        <v>228639.09965105582</v>
      </c>
      <c r="V855">
        <f t="shared" si="378"/>
        <v>0</v>
      </c>
      <c r="W855">
        <f t="shared" si="379"/>
        <v>1</v>
      </c>
      <c r="X855">
        <f t="shared" si="380"/>
        <v>0</v>
      </c>
      <c r="Y855">
        <f t="shared" si="381"/>
        <v>0</v>
      </c>
      <c r="Z855">
        <f t="shared" si="382"/>
        <v>0</v>
      </c>
      <c r="AA855">
        <f t="shared" ref="AA855" si="416">IF(MAX(P855:U855)=U855, 1, 0)</f>
        <v>0</v>
      </c>
      <c r="AC855">
        <f t="shared" si="371"/>
        <v>229961.78022564744</v>
      </c>
      <c r="AD855">
        <f t="shared" si="372"/>
        <v>230351.16431893915</v>
      </c>
      <c r="AE855">
        <f t="shared" si="373"/>
        <v>229752.47684735589</v>
      </c>
      <c r="AF855">
        <f t="shared" si="374"/>
        <v>229928.33531952533</v>
      </c>
      <c r="AG855">
        <f t="shared" si="375"/>
        <v>229137.44846211505</v>
      </c>
      <c r="AH855">
        <f t="shared" si="376"/>
        <v>228639.09965105582</v>
      </c>
      <c r="AI855">
        <f t="shared" si="389"/>
        <v>230351.16431893915</v>
      </c>
    </row>
    <row r="856" spans="2:35" x14ac:dyDescent="0.3">
      <c r="B856">
        <v>813</v>
      </c>
      <c r="C856">
        <v>75207.339399999997</v>
      </c>
      <c r="D856">
        <v>74200.774999999994</v>
      </c>
      <c r="E856">
        <v>74470.984400000001</v>
      </c>
      <c r="F856">
        <v>74317.878700000001</v>
      </c>
      <c r="G856">
        <v>74597.797300000006</v>
      </c>
      <c r="H856">
        <v>74652.265400000004</v>
      </c>
      <c r="I856">
        <v>10.102261541564568</v>
      </c>
      <c r="J856">
        <v>10.076963632243277</v>
      </c>
      <c r="K856">
        <v>10.060209555749228</v>
      </c>
      <c r="L856">
        <v>10.050459184261287</v>
      </c>
      <c r="M856">
        <v>10.026609083134389</v>
      </c>
      <c r="N856">
        <v>10.007035164092775</v>
      </c>
      <c r="P856">
        <f t="shared" si="399"/>
        <v>227860.50684693706</v>
      </c>
      <c r="Q856">
        <f t="shared" si="400"/>
        <v>228108.13396729834</v>
      </c>
      <c r="R856">
        <f t="shared" si="401"/>
        <v>227335.30227247684</v>
      </c>
      <c r="S856">
        <f t="shared" si="402"/>
        <v>227195.89682783862</v>
      </c>
      <c r="T856">
        <f t="shared" si="403"/>
        <v>226200.47519403163</v>
      </c>
      <c r="U856">
        <f t="shared" si="404"/>
        <v>225558.78952278322</v>
      </c>
      <c r="V856">
        <f t="shared" si="378"/>
        <v>0</v>
      </c>
      <c r="W856">
        <f t="shared" si="379"/>
        <v>1</v>
      </c>
      <c r="X856">
        <f t="shared" si="380"/>
        <v>0</v>
      </c>
      <c r="Y856">
        <f t="shared" si="381"/>
        <v>0</v>
      </c>
      <c r="Z856">
        <f t="shared" si="382"/>
        <v>0</v>
      </c>
      <c r="AC856">
        <f t="shared" si="371"/>
        <v>227860.50684693706</v>
      </c>
      <c r="AD856">
        <f t="shared" si="372"/>
        <v>228108.13396729834</v>
      </c>
      <c r="AE856">
        <f t="shared" si="373"/>
        <v>227335.30227247684</v>
      </c>
      <c r="AF856">
        <f t="shared" si="374"/>
        <v>227195.89682783862</v>
      </c>
      <c r="AG856">
        <f t="shared" si="375"/>
        <v>226200.47519403163</v>
      </c>
      <c r="AH856">
        <f t="shared" si="376"/>
        <v>225558.78952278322</v>
      </c>
      <c r="AI856">
        <f t="shared" si="389"/>
        <v>228108.13396729834</v>
      </c>
    </row>
    <row r="857" spans="2:35" x14ac:dyDescent="0.3">
      <c r="B857">
        <v>814</v>
      </c>
      <c r="C857">
        <v>90591.414300000004</v>
      </c>
      <c r="D857">
        <v>89408.023000000001</v>
      </c>
      <c r="E857">
        <v>89560.162400000001</v>
      </c>
      <c r="F857">
        <v>89446.060200000007</v>
      </c>
      <c r="G857">
        <v>89461.007800000007</v>
      </c>
      <c r="H857">
        <v>89575.281199999998</v>
      </c>
      <c r="I857">
        <v>9.1003518883872818</v>
      </c>
      <c r="J857">
        <v>9.0556915082384606</v>
      </c>
      <c r="K857">
        <v>9.0374577365934403</v>
      </c>
      <c r="L857">
        <v>9.0206587508210401</v>
      </c>
      <c r="M857">
        <v>8.9960209984391426</v>
      </c>
      <c r="N857">
        <v>8.9654102649570522</v>
      </c>
      <c r="P857">
        <f t="shared" si="399"/>
        <v>182419.14235161844</v>
      </c>
      <c r="Q857">
        <f t="shared" si="400"/>
        <v>182262.72224715381</v>
      </c>
      <c r="R857">
        <f t="shared" si="401"/>
        <v>181563.56969780321</v>
      </c>
      <c r="S857">
        <f t="shared" si="402"/>
        <v>181173.70232463122</v>
      </c>
      <c r="T857">
        <f t="shared" si="403"/>
        <v>180419.62215317425</v>
      </c>
      <c r="U857">
        <f t="shared" si="404"/>
        <v>179387.02674871156</v>
      </c>
      <c r="V857">
        <f t="shared" si="378"/>
        <v>1</v>
      </c>
      <c r="W857">
        <f t="shared" si="379"/>
        <v>0</v>
      </c>
      <c r="X857">
        <f t="shared" si="380"/>
        <v>0</v>
      </c>
      <c r="Y857">
        <f t="shared" si="381"/>
        <v>0</v>
      </c>
      <c r="Z857">
        <f t="shared" si="382"/>
        <v>0</v>
      </c>
      <c r="AA857">
        <f t="shared" ref="AA857" si="417">IF(MAX(P857:U857)=U857, 1, 0)</f>
        <v>0</v>
      </c>
      <c r="AC857">
        <f t="shared" si="371"/>
        <v>182419.14235161844</v>
      </c>
      <c r="AD857">
        <f t="shared" si="372"/>
        <v>182262.72224715381</v>
      </c>
      <c r="AE857">
        <f t="shared" si="373"/>
        <v>181563.56969780321</v>
      </c>
      <c r="AF857">
        <f t="shared" si="374"/>
        <v>181173.70232463122</v>
      </c>
      <c r="AG857">
        <f t="shared" si="375"/>
        <v>180419.62215317425</v>
      </c>
      <c r="AH857">
        <f t="shared" si="376"/>
        <v>179387.02674871156</v>
      </c>
      <c r="AI857">
        <f t="shared" si="389"/>
        <v>182419.14235161844</v>
      </c>
    </row>
    <row r="858" spans="2:35" x14ac:dyDescent="0.3">
      <c r="B858">
        <v>815</v>
      </c>
      <c r="C858">
        <v>87120.291700000002</v>
      </c>
      <c r="D858">
        <v>86144.391300000003</v>
      </c>
      <c r="E858">
        <v>86488.317800000004</v>
      </c>
      <c r="F858">
        <v>86299.332399999999</v>
      </c>
      <c r="G858">
        <v>86434.893500000006</v>
      </c>
      <c r="H858">
        <v>86684.624299999996</v>
      </c>
      <c r="I858">
        <v>11.414246938126672</v>
      </c>
      <c r="J858">
        <v>11.379814671808703</v>
      </c>
      <c r="K858">
        <v>11.353439715175917</v>
      </c>
      <c r="L858">
        <v>11.340372703891914</v>
      </c>
      <c r="M858">
        <v>11.314552663800617</v>
      </c>
      <c r="N858">
        <v>11.286523585604934</v>
      </c>
      <c r="P858">
        <f t="shared" si="399"/>
        <v>255307.11644380016</v>
      </c>
      <c r="Q858">
        <f t="shared" si="400"/>
        <v>255250.04885426105</v>
      </c>
      <c r="R858">
        <f t="shared" si="401"/>
        <v>254114.87365527748</v>
      </c>
      <c r="S858">
        <f t="shared" si="402"/>
        <v>253911.84871675738</v>
      </c>
      <c r="T858">
        <f t="shared" si="403"/>
        <v>253001.68641401851</v>
      </c>
      <c r="U858">
        <f t="shared" si="404"/>
        <v>251911.08326814804</v>
      </c>
      <c r="V858">
        <f t="shared" si="378"/>
        <v>1</v>
      </c>
      <c r="W858">
        <f t="shared" si="379"/>
        <v>0</v>
      </c>
      <c r="X858">
        <f t="shared" si="380"/>
        <v>0</v>
      </c>
      <c r="Y858">
        <f t="shared" si="381"/>
        <v>0</v>
      </c>
      <c r="Z858">
        <f t="shared" si="382"/>
        <v>0</v>
      </c>
      <c r="AC858">
        <f t="shared" si="371"/>
        <v>255307.11644380016</v>
      </c>
      <c r="AD858">
        <f t="shared" si="372"/>
        <v>255250.04885426105</v>
      </c>
      <c r="AE858">
        <f t="shared" si="373"/>
        <v>254114.87365527748</v>
      </c>
      <c r="AF858">
        <f t="shared" si="374"/>
        <v>253911.84871675738</v>
      </c>
      <c r="AG858">
        <f t="shared" si="375"/>
        <v>253001.68641401851</v>
      </c>
      <c r="AH858">
        <f t="shared" si="376"/>
        <v>251911.08326814804</v>
      </c>
      <c r="AI858">
        <f t="shared" si="389"/>
        <v>255307.11644380016</v>
      </c>
    </row>
    <row r="859" spans="2:35" x14ac:dyDescent="0.3">
      <c r="B859">
        <v>816</v>
      </c>
      <c r="C859">
        <v>74033.456699999995</v>
      </c>
      <c r="D859">
        <v>72947.416599999997</v>
      </c>
      <c r="E859">
        <v>72922.364000000001</v>
      </c>
      <c r="F859">
        <v>72566.334499999997</v>
      </c>
      <c r="G859">
        <v>72780.965100000001</v>
      </c>
      <c r="H859">
        <v>72775.642600000006</v>
      </c>
      <c r="I859">
        <v>10.96628799147269</v>
      </c>
      <c r="J859">
        <v>10.933280671925697</v>
      </c>
      <c r="K859">
        <v>10.915212698505005</v>
      </c>
      <c r="L859">
        <v>10.897515708980972</v>
      </c>
      <c r="M859">
        <v>10.885647438558038</v>
      </c>
      <c r="N859">
        <v>10.853546348211273</v>
      </c>
      <c r="P859">
        <f t="shared" si="399"/>
        <v>254955.18304418074</v>
      </c>
      <c r="Q859">
        <f t="shared" si="400"/>
        <v>255051.00355777092</v>
      </c>
      <c r="R859">
        <f t="shared" si="401"/>
        <v>254534.01695515017</v>
      </c>
      <c r="S859">
        <f t="shared" si="402"/>
        <v>254359.13676942914</v>
      </c>
      <c r="T859">
        <f t="shared" si="403"/>
        <v>253788.45805674113</v>
      </c>
      <c r="U859">
        <f t="shared" si="404"/>
        <v>252830.74784633814</v>
      </c>
      <c r="V859">
        <f t="shared" si="378"/>
        <v>0</v>
      </c>
      <c r="W859">
        <f t="shared" si="379"/>
        <v>1</v>
      </c>
      <c r="X859">
        <f t="shared" si="380"/>
        <v>0</v>
      </c>
      <c r="Y859">
        <f t="shared" si="381"/>
        <v>0</v>
      </c>
      <c r="Z859">
        <f t="shared" si="382"/>
        <v>0</v>
      </c>
      <c r="AA859">
        <f t="shared" ref="AA859" si="418">IF(MAX(P859:U859)=U859, 1, 0)</f>
        <v>0</v>
      </c>
      <c r="AC859">
        <f t="shared" si="371"/>
        <v>254955.18304418074</v>
      </c>
      <c r="AD859">
        <f t="shared" si="372"/>
        <v>255051.00355777092</v>
      </c>
      <c r="AE859">
        <f t="shared" si="373"/>
        <v>254534.01695515017</v>
      </c>
      <c r="AF859">
        <f t="shared" si="374"/>
        <v>254359.13676942914</v>
      </c>
      <c r="AG859">
        <f t="shared" si="375"/>
        <v>253788.45805674113</v>
      </c>
      <c r="AH859">
        <f t="shared" si="376"/>
        <v>252830.74784633814</v>
      </c>
      <c r="AI859">
        <f t="shared" si="389"/>
        <v>255051.00355777092</v>
      </c>
    </row>
    <row r="860" spans="2:35" x14ac:dyDescent="0.3">
      <c r="B860">
        <v>817</v>
      </c>
      <c r="C860">
        <v>67934.961299999995</v>
      </c>
      <c r="D860">
        <v>67460.892000000007</v>
      </c>
      <c r="E860">
        <v>67817.122600000002</v>
      </c>
      <c r="F860">
        <v>67887.765499999994</v>
      </c>
      <c r="G860">
        <v>68563.979099999997</v>
      </c>
      <c r="H860">
        <v>68922.780400000003</v>
      </c>
      <c r="I860">
        <v>10.99280047068261</v>
      </c>
      <c r="J860">
        <v>10.952101147172971</v>
      </c>
      <c r="K860">
        <v>10.927384658603986</v>
      </c>
      <c r="L860">
        <v>10.905964863222103</v>
      </c>
      <c r="M860">
        <v>10.881769503875981</v>
      </c>
      <c r="N860">
        <v>10.855068433069242</v>
      </c>
      <c r="P860">
        <f t="shared" si="399"/>
        <v>261849.0528204783</v>
      </c>
      <c r="Q860">
        <f t="shared" si="400"/>
        <v>261102.14241518913</v>
      </c>
      <c r="R860">
        <f t="shared" si="401"/>
        <v>260004.41715811956</v>
      </c>
      <c r="S860">
        <f t="shared" si="402"/>
        <v>259291.18039666308</v>
      </c>
      <c r="T860">
        <f t="shared" si="403"/>
        <v>257889.10601627943</v>
      </c>
      <c r="U860">
        <f t="shared" si="404"/>
        <v>256729.27259207726</v>
      </c>
      <c r="V860">
        <f t="shared" si="378"/>
        <v>1</v>
      </c>
      <c r="W860">
        <f t="shared" si="379"/>
        <v>0</v>
      </c>
      <c r="X860">
        <f t="shared" si="380"/>
        <v>0</v>
      </c>
      <c r="Y860">
        <f t="shared" si="381"/>
        <v>0</v>
      </c>
      <c r="Z860">
        <f t="shared" si="382"/>
        <v>0</v>
      </c>
      <c r="AC860">
        <f t="shared" si="371"/>
        <v>261849.0528204783</v>
      </c>
      <c r="AD860">
        <f t="shared" si="372"/>
        <v>261102.14241518913</v>
      </c>
      <c r="AE860">
        <f t="shared" si="373"/>
        <v>260004.41715811956</v>
      </c>
      <c r="AF860">
        <f t="shared" si="374"/>
        <v>259291.18039666308</v>
      </c>
      <c r="AG860">
        <f t="shared" si="375"/>
        <v>257889.10601627943</v>
      </c>
      <c r="AH860">
        <f t="shared" si="376"/>
        <v>256729.27259207726</v>
      </c>
      <c r="AI860">
        <f t="shared" si="389"/>
        <v>261849.0528204783</v>
      </c>
    </row>
    <row r="861" spans="2:35" x14ac:dyDescent="0.3">
      <c r="B861">
        <v>818</v>
      </c>
      <c r="C861">
        <v>77263.786999999997</v>
      </c>
      <c r="D861">
        <v>76699.018599999996</v>
      </c>
      <c r="E861">
        <v>77237.476800000004</v>
      </c>
      <c r="F861">
        <v>77205.264899999995</v>
      </c>
      <c r="G861">
        <v>77930.011199999994</v>
      </c>
      <c r="H861">
        <v>78508.575200000007</v>
      </c>
      <c r="I861">
        <v>10.068067808074357</v>
      </c>
      <c r="J861">
        <v>10.046031061811666</v>
      </c>
      <c r="K861">
        <v>10.029243102496338</v>
      </c>
      <c r="L861">
        <v>10.027533404185261</v>
      </c>
      <c r="M861">
        <v>10.011290482723224</v>
      </c>
      <c r="N861">
        <v>9.9871612581865676</v>
      </c>
      <c r="P861">
        <f t="shared" si="399"/>
        <v>224778.24724223069</v>
      </c>
      <c r="Q861">
        <f t="shared" si="400"/>
        <v>224681.91325434996</v>
      </c>
      <c r="R861">
        <f t="shared" si="401"/>
        <v>223639.81627489015</v>
      </c>
      <c r="S861">
        <f t="shared" si="402"/>
        <v>223620.73722555785</v>
      </c>
      <c r="T861">
        <f t="shared" si="403"/>
        <v>222408.70328169671</v>
      </c>
      <c r="U861">
        <f t="shared" si="404"/>
        <v>221106.26254559698</v>
      </c>
      <c r="V861">
        <f t="shared" si="378"/>
        <v>1</v>
      </c>
      <c r="W861">
        <f t="shared" si="379"/>
        <v>0</v>
      </c>
      <c r="X861">
        <f t="shared" si="380"/>
        <v>0</v>
      </c>
      <c r="Y861">
        <f t="shared" si="381"/>
        <v>0</v>
      </c>
      <c r="Z861">
        <f t="shared" si="382"/>
        <v>0</v>
      </c>
      <c r="AA861">
        <f t="shared" ref="AA861" si="419">IF(MAX(P861:U861)=U861, 1, 0)</f>
        <v>0</v>
      </c>
      <c r="AC861">
        <f t="shared" si="371"/>
        <v>224778.24724223069</v>
      </c>
      <c r="AD861">
        <f t="shared" si="372"/>
        <v>224681.91325434996</v>
      </c>
      <c r="AE861">
        <f t="shared" si="373"/>
        <v>223639.81627489015</v>
      </c>
      <c r="AF861">
        <f t="shared" si="374"/>
        <v>223620.73722555785</v>
      </c>
      <c r="AG861">
        <f t="shared" si="375"/>
        <v>222408.70328169671</v>
      </c>
      <c r="AH861">
        <f t="shared" si="376"/>
        <v>221106.26254559698</v>
      </c>
      <c r="AI861">
        <f t="shared" si="389"/>
        <v>224778.24724223069</v>
      </c>
    </row>
    <row r="862" spans="2:35" x14ac:dyDescent="0.3">
      <c r="B862">
        <v>819</v>
      </c>
      <c r="C862">
        <v>75203.779399999999</v>
      </c>
      <c r="D862">
        <v>73759.731199999995</v>
      </c>
      <c r="E862">
        <v>73772.103499999997</v>
      </c>
      <c r="F862">
        <v>73385.758700000006</v>
      </c>
      <c r="G862">
        <v>73377.568400000004</v>
      </c>
      <c r="H862">
        <v>73282.669800000003</v>
      </c>
      <c r="I862">
        <v>11.211214764636438</v>
      </c>
      <c r="J862">
        <v>11.179420262706058</v>
      </c>
      <c r="K862">
        <v>11.155351417704301</v>
      </c>
      <c r="L862">
        <v>11.150369013722512</v>
      </c>
      <c r="M862">
        <v>11.126443181154963</v>
      </c>
      <c r="N862">
        <v>11.095167327743683</v>
      </c>
      <c r="P862">
        <f t="shared" si="399"/>
        <v>261132.6635390931</v>
      </c>
      <c r="Q862">
        <f t="shared" si="400"/>
        <v>261622.87668118178</v>
      </c>
      <c r="R862">
        <f t="shared" si="401"/>
        <v>260888.43903112903</v>
      </c>
      <c r="S862">
        <f t="shared" si="402"/>
        <v>261125.31171167537</v>
      </c>
      <c r="T862">
        <f t="shared" si="403"/>
        <v>260415.72703464888</v>
      </c>
      <c r="U862">
        <f t="shared" si="404"/>
        <v>259572.3500323105</v>
      </c>
      <c r="V862">
        <f t="shared" si="378"/>
        <v>0</v>
      </c>
      <c r="W862">
        <f t="shared" si="379"/>
        <v>1</v>
      </c>
      <c r="X862">
        <f t="shared" si="380"/>
        <v>0</v>
      </c>
      <c r="Y862">
        <f t="shared" si="381"/>
        <v>0</v>
      </c>
      <c r="Z862">
        <f t="shared" si="382"/>
        <v>0</v>
      </c>
      <c r="AC862">
        <f t="shared" si="371"/>
        <v>261132.6635390931</v>
      </c>
      <c r="AD862">
        <f t="shared" si="372"/>
        <v>261622.87668118178</v>
      </c>
      <c r="AE862">
        <f t="shared" si="373"/>
        <v>260888.43903112903</v>
      </c>
      <c r="AF862">
        <f t="shared" si="374"/>
        <v>261125.31171167537</v>
      </c>
      <c r="AG862">
        <f t="shared" si="375"/>
        <v>260415.72703464888</v>
      </c>
      <c r="AH862">
        <f t="shared" si="376"/>
        <v>259572.3500323105</v>
      </c>
      <c r="AI862">
        <f t="shared" si="389"/>
        <v>261622.87668118178</v>
      </c>
    </row>
    <row r="863" spans="2:35" x14ac:dyDescent="0.3">
      <c r="B863">
        <v>820</v>
      </c>
      <c r="C863">
        <v>78418.433099999995</v>
      </c>
      <c r="D863">
        <v>77144.364000000001</v>
      </c>
      <c r="E863">
        <v>77221.513600000006</v>
      </c>
      <c r="F863">
        <v>76970.552500000005</v>
      </c>
      <c r="G863">
        <v>77174.398400000005</v>
      </c>
      <c r="H863">
        <v>77155.521399999998</v>
      </c>
      <c r="I863">
        <v>11.814007573661863</v>
      </c>
      <c r="J863">
        <v>11.745429623520279</v>
      </c>
      <c r="K863">
        <v>11.668247054637007</v>
      </c>
      <c r="L863">
        <v>11.658502459443492</v>
      </c>
      <c r="M863">
        <v>11.582576798258511</v>
      </c>
      <c r="N863">
        <v>11.521948390341429</v>
      </c>
      <c r="P863">
        <f t="shared" si="399"/>
        <v>276001.79410985589</v>
      </c>
      <c r="Q863">
        <f t="shared" si="400"/>
        <v>275218.52470560838</v>
      </c>
      <c r="R863">
        <f t="shared" si="401"/>
        <v>272825.89803911018</v>
      </c>
      <c r="S863">
        <f t="shared" si="402"/>
        <v>272784.52128330478</v>
      </c>
      <c r="T863">
        <f t="shared" si="403"/>
        <v>270302.9055477553</v>
      </c>
      <c r="U863">
        <f t="shared" si="404"/>
        <v>268502.93031024281</v>
      </c>
      <c r="V863">
        <f t="shared" si="378"/>
        <v>1</v>
      </c>
      <c r="W863">
        <f t="shared" si="379"/>
        <v>0</v>
      </c>
      <c r="X863">
        <f t="shared" si="380"/>
        <v>0</v>
      </c>
      <c r="Y863">
        <f t="shared" si="381"/>
        <v>0</v>
      </c>
      <c r="Z863">
        <f t="shared" si="382"/>
        <v>0</v>
      </c>
      <c r="AA863">
        <f t="shared" ref="AA863" si="420">IF(MAX(P863:U863)=U863, 1, 0)</f>
        <v>0</v>
      </c>
      <c r="AC863">
        <f t="shared" si="371"/>
        <v>276001.79410985589</v>
      </c>
      <c r="AD863">
        <f t="shared" si="372"/>
        <v>275218.52470560838</v>
      </c>
      <c r="AE863">
        <f t="shared" si="373"/>
        <v>272825.89803911018</v>
      </c>
      <c r="AF863">
        <f t="shared" si="374"/>
        <v>272784.52128330478</v>
      </c>
      <c r="AG863">
        <f t="shared" si="375"/>
        <v>270302.9055477553</v>
      </c>
      <c r="AH863">
        <f t="shared" si="376"/>
        <v>268502.93031024281</v>
      </c>
      <c r="AI863">
        <f t="shared" si="389"/>
        <v>276001.79410985589</v>
      </c>
    </row>
    <row r="864" spans="2:35" x14ac:dyDescent="0.3">
      <c r="B864">
        <v>821</v>
      </c>
      <c r="C864">
        <v>84081.076799999995</v>
      </c>
      <c r="D864">
        <v>84274.322100000005</v>
      </c>
      <c r="E864">
        <v>85272.723899999997</v>
      </c>
      <c r="F864">
        <v>85594.468500000003</v>
      </c>
      <c r="G864">
        <v>86822.311700000006</v>
      </c>
      <c r="H864">
        <v>87881.554499999998</v>
      </c>
      <c r="I864">
        <v>10.715320806820221</v>
      </c>
      <c r="J864">
        <v>10.686924385649068</v>
      </c>
      <c r="K864">
        <v>10.66733663536982</v>
      </c>
      <c r="L864">
        <v>10.658685344521317</v>
      </c>
      <c r="M864">
        <v>10.64085143347277</v>
      </c>
      <c r="N864">
        <v>10.616289316360289</v>
      </c>
      <c r="P864">
        <f t="shared" si="399"/>
        <v>237378.54740460665</v>
      </c>
      <c r="Q864">
        <f t="shared" si="400"/>
        <v>236333.40946947201</v>
      </c>
      <c r="R864">
        <f t="shared" si="401"/>
        <v>234747.37516109459</v>
      </c>
      <c r="S864">
        <f t="shared" si="402"/>
        <v>234166.0918356395</v>
      </c>
      <c r="T864">
        <f t="shared" si="403"/>
        <v>232403.23130418308</v>
      </c>
      <c r="U864">
        <f t="shared" si="404"/>
        <v>230607.12499080869</v>
      </c>
      <c r="V864">
        <f t="shared" si="378"/>
        <v>1</v>
      </c>
      <c r="W864">
        <f t="shared" si="379"/>
        <v>0</v>
      </c>
      <c r="X864">
        <f t="shared" si="380"/>
        <v>0</v>
      </c>
      <c r="Y864">
        <f t="shared" si="381"/>
        <v>0</v>
      </c>
      <c r="Z864">
        <f t="shared" si="382"/>
        <v>0</v>
      </c>
      <c r="AC864">
        <f t="shared" ref="AC864:AC927" si="421">Threshold*I864-C864</f>
        <v>237378.54740460665</v>
      </c>
      <c r="AD864">
        <f t="shared" ref="AD864:AD927" si="422">Threshold*J864-D864</f>
        <v>236333.40946947201</v>
      </c>
      <c r="AE864">
        <f t="shared" ref="AE864:AE927" si="423">Threshold*K864-E864</f>
        <v>234747.37516109459</v>
      </c>
      <c r="AF864">
        <f t="shared" ref="AF864:AF927" si="424">Threshold*L864-F864</f>
        <v>234166.0918356395</v>
      </c>
      <c r="AG864">
        <f t="shared" ref="AG864:AG927" si="425">Threshold*M864-G864</f>
        <v>232403.23130418308</v>
      </c>
      <c r="AH864">
        <f t="shared" ref="AH864:AH927" si="426">Threshold*N864-H864</f>
        <v>230607.12499080869</v>
      </c>
      <c r="AI864">
        <f t="shared" si="389"/>
        <v>237378.54740460665</v>
      </c>
    </row>
    <row r="865" spans="2:35" x14ac:dyDescent="0.3">
      <c r="B865">
        <v>822</v>
      </c>
      <c r="C865">
        <v>78690.954899999997</v>
      </c>
      <c r="D865">
        <v>78220.243900000001</v>
      </c>
      <c r="E865">
        <v>78961.407200000001</v>
      </c>
      <c r="F865">
        <v>78909.241999999998</v>
      </c>
      <c r="G865">
        <v>79407.858399999997</v>
      </c>
      <c r="H865">
        <v>80292.200299999997</v>
      </c>
      <c r="I865">
        <v>10.574895958477617</v>
      </c>
      <c r="J865">
        <v>10.552741508543015</v>
      </c>
      <c r="K865">
        <v>10.529630905259138</v>
      </c>
      <c r="L865">
        <v>10.52198368534655</v>
      </c>
      <c r="M865">
        <v>10.499451615492044</v>
      </c>
      <c r="N865">
        <v>10.482442869582867</v>
      </c>
      <c r="P865">
        <f t="shared" si="399"/>
        <v>238555.92385432852</v>
      </c>
      <c r="Q865">
        <f t="shared" si="400"/>
        <v>238362.00135629042</v>
      </c>
      <c r="R865">
        <f t="shared" si="401"/>
        <v>236927.51995777414</v>
      </c>
      <c r="S865">
        <f t="shared" si="402"/>
        <v>236750.26856039648</v>
      </c>
      <c r="T865">
        <f t="shared" si="403"/>
        <v>235575.69006476129</v>
      </c>
      <c r="U865">
        <f t="shared" si="404"/>
        <v>234181.08578748602</v>
      </c>
      <c r="V865">
        <f t="shared" si="378"/>
        <v>1</v>
      </c>
      <c r="W865">
        <f t="shared" si="379"/>
        <v>0</v>
      </c>
      <c r="X865">
        <f t="shared" si="380"/>
        <v>0</v>
      </c>
      <c r="Y865">
        <f t="shared" si="381"/>
        <v>0</v>
      </c>
      <c r="Z865">
        <f t="shared" si="382"/>
        <v>0</v>
      </c>
      <c r="AA865">
        <f t="shared" ref="AA865" si="427">IF(MAX(P865:U865)=U865, 1, 0)</f>
        <v>0</v>
      </c>
      <c r="AC865">
        <f t="shared" si="421"/>
        <v>238555.92385432852</v>
      </c>
      <c r="AD865">
        <f t="shared" si="422"/>
        <v>238362.00135629042</v>
      </c>
      <c r="AE865">
        <f t="shared" si="423"/>
        <v>236927.51995777414</v>
      </c>
      <c r="AF865">
        <f t="shared" si="424"/>
        <v>236750.26856039648</v>
      </c>
      <c r="AG865">
        <f t="shared" si="425"/>
        <v>235575.69006476129</v>
      </c>
      <c r="AH865">
        <f t="shared" si="426"/>
        <v>234181.08578748602</v>
      </c>
      <c r="AI865">
        <f t="shared" si="389"/>
        <v>238555.92385432852</v>
      </c>
    </row>
    <row r="866" spans="2:35" x14ac:dyDescent="0.3">
      <c r="B866">
        <v>823</v>
      </c>
      <c r="C866">
        <v>83981.910900000003</v>
      </c>
      <c r="D866">
        <v>82231.376000000004</v>
      </c>
      <c r="E866">
        <v>81752.766000000003</v>
      </c>
      <c r="F866">
        <v>81372.140100000004</v>
      </c>
      <c r="G866">
        <v>80825.942899999995</v>
      </c>
      <c r="H866">
        <v>80612.695000000007</v>
      </c>
      <c r="I866">
        <v>10.46849608736489</v>
      </c>
      <c r="J866">
        <v>10.448452892860599</v>
      </c>
      <c r="K866">
        <v>10.430317700764874</v>
      </c>
      <c r="L866">
        <v>10.424818810616904</v>
      </c>
      <c r="M866">
        <v>10.403857537814604</v>
      </c>
      <c r="N866">
        <v>10.391873927805225</v>
      </c>
      <c r="P866">
        <f t="shared" si="399"/>
        <v>230072.97172094672</v>
      </c>
      <c r="Q866">
        <f t="shared" si="400"/>
        <v>231222.210785818</v>
      </c>
      <c r="R866">
        <f t="shared" si="401"/>
        <v>231156.76502294623</v>
      </c>
      <c r="S866">
        <f t="shared" si="402"/>
        <v>231372.42421850708</v>
      </c>
      <c r="T866">
        <f t="shared" si="403"/>
        <v>231289.78323443813</v>
      </c>
      <c r="U866">
        <f t="shared" si="404"/>
        <v>231143.52283415676</v>
      </c>
      <c r="V866">
        <f t="shared" ref="V866:V929" si="428">IF(MAX(P866:U866)=P866, 1, 0)</f>
        <v>0</v>
      </c>
      <c r="W866">
        <f t="shared" ref="W866:W929" si="429">IF(MAX(P866:U866)=Q866, 1, 0)</f>
        <v>0</v>
      </c>
      <c r="X866">
        <f t="shared" ref="X866:X929" si="430">IF(MAX(P866:U866)=R866, 1, 0)</f>
        <v>0</v>
      </c>
      <c r="Y866">
        <f t="shared" ref="Y866:Y929" si="431">IF(MAX(P866:U866)=S866, 1, 0)</f>
        <v>1</v>
      </c>
      <c r="Z866">
        <f t="shared" ref="Z866:Z929" si="432">IF(MAX(P866:U866)=T866, 1, 0)</f>
        <v>0</v>
      </c>
      <c r="AC866">
        <f t="shared" si="421"/>
        <v>230072.97172094672</v>
      </c>
      <c r="AD866">
        <f t="shared" si="422"/>
        <v>231222.210785818</v>
      </c>
      <c r="AE866">
        <f t="shared" si="423"/>
        <v>231156.76502294623</v>
      </c>
      <c r="AF866">
        <f t="shared" si="424"/>
        <v>231372.42421850708</v>
      </c>
      <c r="AG866">
        <f t="shared" si="425"/>
        <v>231289.78323443813</v>
      </c>
      <c r="AH866">
        <f t="shared" si="426"/>
        <v>231143.52283415676</v>
      </c>
      <c r="AI866">
        <f t="shared" si="389"/>
        <v>231372.42421850708</v>
      </c>
    </row>
    <row r="867" spans="2:35" x14ac:dyDescent="0.3">
      <c r="B867">
        <v>824</v>
      </c>
      <c r="C867">
        <v>84069.008700000006</v>
      </c>
      <c r="D867">
        <v>84634.026500000007</v>
      </c>
      <c r="E867">
        <v>85245.771999999997</v>
      </c>
      <c r="F867">
        <v>85647.460600000006</v>
      </c>
      <c r="G867">
        <v>86291.300900000002</v>
      </c>
      <c r="H867">
        <v>87523.067299999995</v>
      </c>
      <c r="I867">
        <v>11.605574034944505</v>
      </c>
      <c r="J867">
        <v>11.545636423802357</v>
      </c>
      <c r="K867">
        <v>11.511335728328866</v>
      </c>
      <c r="L867">
        <v>11.495826880445577</v>
      </c>
      <c r="M867">
        <v>11.467961960032268</v>
      </c>
      <c r="N867">
        <v>11.42422819564244</v>
      </c>
      <c r="P867">
        <f t="shared" si="399"/>
        <v>264098.21234833513</v>
      </c>
      <c r="Q867">
        <f t="shared" si="400"/>
        <v>261735.06621407068</v>
      </c>
      <c r="R867">
        <f t="shared" si="401"/>
        <v>260094.29984986602</v>
      </c>
      <c r="S867">
        <f t="shared" si="402"/>
        <v>259227.34581336734</v>
      </c>
      <c r="T867">
        <f t="shared" si="403"/>
        <v>257747.55790096804</v>
      </c>
      <c r="U867">
        <f t="shared" si="404"/>
        <v>255203.77856927318</v>
      </c>
      <c r="V867">
        <f t="shared" si="428"/>
        <v>1</v>
      </c>
      <c r="W867">
        <f t="shared" si="429"/>
        <v>0</v>
      </c>
      <c r="X867">
        <f t="shared" si="430"/>
        <v>0</v>
      </c>
      <c r="Y867">
        <f t="shared" si="431"/>
        <v>0</v>
      </c>
      <c r="Z867">
        <f t="shared" si="432"/>
        <v>0</v>
      </c>
      <c r="AA867">
        <f t="shared" ref="AA867" si="433">IF(MAX(P867:U867)=U867, 1, 0)</f>
        <v>0</v>
      </c>
      <c r="AC867">
        <f t="shared" si="421"/>
        <v>264098.21234833513</v>
      </c>
      <c r="AD867">
        <f t="shared" si="422"/>
        <v>261735.06621407068</v>
      </c>
      <c r="AE867">
        <f t="shared" si="423"/>
        <v>260094.29984986602</v>
      </c>
      <c r="AF867">
        <f t="shared" si="424"/>
        <v>259227.34581336734</v>
      </c>
      <c r="AG867">
        <f t="shared" si="425"/>
        <v>257747.55790096804</v>
      </c>
      <c r="AH867">
        <f t="shared" si="426"/>
        <v>255203.77856927318</v>
      </c>
      <c r="AI867">
        <f t="shared" si="389"/>
        <v>264098.21234833513</v>
      </c>
    </row>
    <row r="868" spans="2:35" x14ac:dyDescent="0.3">
      <c r="B868">
        <v>825</v>
      </c>
      <c r="C868">
        <v>76403.010800000004</v>
      </c>
      <c r="D868">
        <v>75341.3079</v>
      </c>
      <c r="E868">
        <v>75529.998000000007</v>
      </c>
      <c r="F868">
        <v>75346.686300000001</v>
      </c>
      <c r="G868">
        <v>75622.485400000005</v>
      </c>
      <c r="H868">
        <v>75752.683999999994</v>
      </c>
      <c r="I868">
        <v>11.061024914314931</v>
      </c>
      <c r="J868">
        <v>11.012806883951811</v>
      </c>
      <c r="K868">
        <v>10.97333675581357</v>
      </c>
      <c r="L868">
        <v>10.96262667756077</v>
      </c>
      <c r="M868">
        <v>10.92481313296407</v>
      </c>
      <c r="N868">
        <v>10.878415675119259</v>
      </c>
      <c r="P868">
        <f t="shared" si="399"/>
        <v>255427.73662944796</v>
      </c>
      <c r="Q868">
        <f t="shared" si="400"/>
        <v>255042.89861855429</v>
      </c>
      <c r="R868">
        <f t="shared" si="401"/>
        <v>253670.10467440705</v>
      </c>
      <c r="S868">
        <f t="shared" si="402"/>
        <v>253532.11402682308</v>
      </c>
      <c r="T868">
        <f t="shared" si="403"/>
        <v>252121.90858892212</v>
      </c>
      <c r="U868">
        <f t="shared" si="404"/>
        <v>250599.78625357774</v>
      </c>
      <c r="V868">
        <f t="shared" si="428"/>
        <v>1</v>
      </c>
      <c r="W868">
        <f t="shared" si="429"/>
        <v>0</v>
      </c>
      <c r="X868">
        <f t="shared" si="430"/>
        <v>0</v>
      </c>
      <c r="Y868">
        <f t="shared" si="431"/>
        <v>0</v>
      </c>
      <c r="Z868">
        <f t="shared" si="432"/>
        <v>0</v>
      </c>
      <c r="AC868">
        <f t="shared" si="421"/>
        <v>255427.73662944796</v>
      </c>
      <c r="AD868">
        <f t="shared" si="422"/>
        <v>255042.89861855429</v>
      </c>
      <c r="AE868">
        <f t="shared" si="423"/>
        <v>253670.10467440705</v>
      </c>
      <c r="AF868">
        <f t="shared" si="424"/>
        <v>253532.11402682308</v>
      </c>
      <c r="AG868">
        <f t="shared" si="425"/>
        <v>252121.90858892212</v>
      </c>
      <c r="AH868">
        <f t="shared" si="426"/>
        <v>250599.78625357774</v>
      </c>
      <c r="AI868">
        <f t="shared" si="389"/>
        <v>255427.73662944796</v>
      </c>
    </row>
    <row r="869" spans="2:35" x14ac:dyDescent="0.3">
      <c r="B869">
        <v>826</v>
      </c>
      <c r="C869">
        <v>67967.043699999995</v>
      </c>
      <c r="D869">
        <v>67627.829899999997</v>
      </c>
      <c r="E869">
        <v>67954.602700000003</v>
      </c>
      <c r="F869">
        <v>67854.182100000005</v>
      </c>
      <c r="G869">
        <v>68487.386599999998</v>
      </c>
      <c r="H869">
        <v>69161.019199999995</v>
      </c>
      <c r="I869">
        <v>10.214680379470797</v>
      </c>
      <c r="J869">
        <v>10.16107604909068</v>
      </c>
      <c r="K869">
        <v>10.140817527079829</v>
      </c>
      <c r="L869">
        <v>10.132509969746204</v>
      </c>
      <c r="M869">
        <v>10.090525415934502</v>
      </c>
      <c r="N869">
        <v>10.065218610233559</v>
      </c>
      <c r="P869">
        <f t="shared" si="399"/>
        <v>238473.36768412392</v>
      </c>
      <c r="Q869">
        <f t="shared" si="400"/>
        <v>237204.45157272037</v>
      </c>
      <c r="R869">
        <f t="shared" si="401"/>
        <v>236269.92311239487</v>
      </c>
      <c r="S869">
        <f t="shared" si="402"/>
        <v>236121.11699238609</v>
      </c>
      <c r="T869">
        <f t="shared" si="403"/>
        <v>234228.37587803506</v>
      </c>
      <c r="U869">
        <f t="shared" si="404"/>
        <v>232795.5391070068</v>
      </c>
      <c r="V869">
        <f t="shared" si="428"/>
        <v>1</v>
      </c>
      <c r="W869">
        <f t="shared" si="429"/>
        <v>0</v>
      </c>
      <c r="X869">
        <f t="shared" si="430"/>
        <v>0</v>
      </c>
      <c r="Y869">
        <f t="shared" si="431"/>
        <v>0</v>
      </c>
      <c r="Z869">
        <f t="shared" si="432"/>
        <v>0</v>
      </c>
      <c r="AA869">
        <f t="shared" ref="AA869" si="434">IF(MAX(P869:U869)=U869, 1, 0)</f>
        <v>0</v>
      </c>
      <c r="AC869">
        <f t="shared" si="421"/>
        <v>238473.36768412392</v>
      </c>
      <c r="AD869">
        <f t="shared" si="422"/>
        <v>237204.45157272037</v>
      </c>
      <c r="AE869">
        <f t="shared" si="423"/>
        <v>236269.92311239487</v>
      </c>
      <c r="AF869">
        <f t="shared" si="424"/>
        <v>236121.11699238609</v>
      </c>
      <c r="AG869">
        <f t="shared" si="425"/>
        <v>234228.37587803506</v>
      </c>
      <c r="AH869">
        <f t="shared" si="426"/>
        <v>232795.5391070068</v>
      </c>
      <c r="AI869">
        <f t="shared" si="389"/>
        <v>238473.36768412392</v>
      </c>
    </row>
    <row r="870" spans="2:35" x14ac:dyDescent="0.3">
      <c r="B870">
        <v>827</v>
      </c>
      <c r="C870">
        <v>86709.557400000005</v>
      </c>
      <c r="D870">
        <v>85943.097599999994</v>
      </c>
      <c r="E870">
        <v>86114.216100000005</v>
      </c>
      <c r="F870">
        <v>86183.889800000004</v>
      </c>
      <c r="G870">
        <v>86474.198600000003</v>
      </c>
      <c r="H870">
        <v>86757.437000000005</v>
      </c>
      <c r="I870">
        <v>9.5450866356062587</v>
      </c>
      <c r="J870">
        <v>9.5084022086543936</v>
      </c>
      <c r="K870">
        <v>9.483583151501854</v>
      </c>
      <c r="L870">
        <v>9.4625889919256618</v>
      </c>
      <c r="M870">
        <v>9.4294917694035192</v>
      </c>
      <c r="N870">
        <v>9.4135988412388745</v>
      </c>
      <c r="P870">
        <f t="shared" si="399"/>
        <v>199643.04166818777</v>
      </c>
      <c r="Q870">
        <f t="shared" si="400"/>
        <v>199308.96865963185</v>
      </c>
      <c r="R870">
        <f t="shared" si="401"/>
        <v>198393.27844505559</v>
      </c>
      <c r="S870">
        <f t="shared" si="402"/>
        <v>197693.77995776985</v>
      </c>
      <c r="T870">
        <f t="shared" si="403"/>
        <v>196410.5544821056</v>
      </c>
      <c r="U870">
        <f t="shared" si="404"/>
        <v>195650.5282371662</v>
      </c>
      <c r="V870">
        <f t="shared" si="428"/>
        <v>1</v>
      </c>
      <c r="W870">
        <f t="shared" si="429"/>
        <v>0</v>
      </c>
      <c r="X870">
        <f t="shared" si="430"/>
        <v>0</v>
      </c>
      <c r="Y870">
        <f t="shared" si="431"/>
        <v>0</v>
      </c>
      <c r="Z870">
        <f t="shared" si="432"/>
        <v>0</v>
      </c>
      <c r="AC870">
        <f t="shared" si="421"/>
        <v>199643.04166818777</v>
      </c>
      <c r="AD870">
        <f t="shared" si="422"/>
        <v>199308.96865963185</v>
      </c>
      <c r="AE870">
        <f t="shared" si="423"/>
        <v>198393.27844505559</v>
      </c>
      <c r="AF870">
        <f t="shared" si="424"/>
        <v>197693.77995776985</v>
      </c>
      <c r="AG870">
        <f t="shared" si="425"/>
        <v>196410.5544821056</v>
      </c>
      <c r="AH870">
        <f t="shared" si="426"/>
        <v>195650.5282371662</v>
      </c>
      <c r="AI870">
        <f t="shared" si="389"/>
        <v>199643.04166818777</v>
      </c>
    </row>
    <row r="871" spans="2:35" x14ac:dyDescent="0.3">
      <c r="B871">
        <v>828</v>
      </c>
      <c r="C871">
        <v>78030.558799999999</v>
      </c>
      <c r="D871">
        <v>77366.856700000004</v>
      </c>
      <c r="E871">
        <v>77836.681899999996</v>
      </c>
      <c r="F871">
        <v>77705.449600000007</v>
      </c>
      <c r="G871">
        <v>78255.892099999997</v>
      </c>
      <c r="H871">
        <v>78600.622199999998</v>
      </c>
      <c r="I871">
        <v>10.349579267811453</v>
      </c>
      <c r="J871">
        <v>10.318171360511853</v>
      </c>
      <c r="K871">
        <v>10.302732723757018</v>
      </c>
      <c r="L871">
        <v>10.298822411384505</v>
      </c>
      <c r="M871">
        <v>10.276734146127195</v>
      </c>
      <c r="N871">
        <v>10.252874012999282</v>
      </c>
      <c r="P871">
        <f t="shared" si="399"/>
        <v>232456.81923434359</v>
      </c>
      <c r="Q871">
        <f t="shared" si="400"/>
        <v>232178.28411535558</v>
      </c>
      <c r="R871">
        <f t="shared" si="401"/>
        <v>231245.29981271052</v>
      </c>
      <c r="S871">
        <f t="shared" si="402"/>
        <v>231259.22274153517</v>
      </c>
      <c r="T871">
        <f t="shared" si="403"/>
        <v>230046.13228381588</v>
      </c>
      <c r="U871">
        <f t="shared" si="404"/>
        <v>228985.59818997845</v>
      </c>
      <c r="V871">
        <f t="shared" si="428"/>
        <v>1</v>
      </c>
      <c r="W871">
        <f t="shared" si="429"/>
        <v>0</v>
      </c>
      <c r="X871">
        <f t="shared" si="430"/>
        <v>0</v>
      </c>
      <c r="Y871">
        <f t="shared" si="431"/>
        <v>0</v>
      </c>
      <c r="Z871">
        <f t="shared" si="432"/>
        <v>0</v>
      </c>
      <c r="AA871">
        <f t="shared" ref="AA871" si="435">IF(MAX(P871:U871)=U871, 1, 0)</f>
        <v>0</v>
      </c>
      <c r="AC871">
        <f t="shared" si="421"/>
        <v>232456.81923434359</v>
      </c>
      <c r="AD871">
        <f t="shared" si="422"/>
        <v>232178.28411535558</v>
      </c>
      <c r="AE871">
        <f t="shared" si="423"/>
        <v>231245.29981271052</v>
      </c>
      <c r="AF871">
        <f t="shared" si="424"/>
        <v>231259.22274153517</v>
      </c>
      <c r="AG871">
        <f t="shared" si="425"/>
        <v>230046.13228381588</v>
      </c>
      <c r="AH871">
        <f t="shared" si="426"/>
        <v>228985.59818997845</v>
      </c>
      <c r="AI871">
        <f t="shared" si="389"/>
        <v>232456.81923434359</v>
      </c>
    </row>
    <row r="872" spans="2:35" x14ac:dyDescent="0.3">
      <c r="B872">
        <v>829</v>
      </c>
      <c r="C872">
        <v>79755.467699999994</v>
      </c>
      <c r="D872">
        <v>78596.861399999994</v>
      </c>
      <c r="E872">
        <v>78735.991899999994</v>
      </c>
      <c r="F872">
        <v>78446.963499999998</v>
      </c>
      <c r="G872">
        <v>78571.474000000002</v>
      </c>
      <c r="H872">
        <v>78840.303499999995</v>
      </c>
      <c r="I872">
        <v>11.465879244576255</v>
      </c>
      <c r="J872">
        <v>11.426710667687004</v>
      </c>
      <c r="K872">
        <v>11.400131607731135</v>
      </c>
      <c r="L872">
        <v>11.391819448528194</v>
      </c>
      <c r="M872">
        <v>11.362682450913866</v>
      </c>
      <c r="N872">
        <v>11.329809597299192</v>
      </c>
      <c r="P872">
        <f t="shared" si="399"/>
        <v>264220.90963728767</v>
      </c>
      <c r="Q872">
        <f t="shared" si="400"/>
        <v>264204.45863061014</v>
      </c>
      <c r="R872">
        <f t="shared" si="401"/>
        <v>263267.95633193408</v>
      </c>
      <c r="S872">
        <f t="shared" si="402"/>
        <v>263307.61995584582</v>
      </c>
      <c r="T872">
        <f t="shared" si="403"/>
        <v>262308.99952741596</v>
      </c>
      <c r="U872">
        <f t="shared" si="404"/>
        <v>261053.98441897577</v>
      </c>
      <c r="V872">
        <f t="shared" si="428"/>
        <v>1</v>
      </c>
      <c r="W872">
        <f t="shared" si="429"/>
        <v>0</v>
      </c>
      <c r="X872">
        <f t="shared" si="430"/>
        <v>0</v>
      </c>
      <c r="Y872">
        <f t="shared" si="431"/>
        <v>0</v>
      </c>
      <c r="Z872">
        <f t="shared" si="432"/>
        <v>0</v>
      </c>
      <c r="AC872">
        <f t="shared" si="421"/>
        <v>264220.90963728767</v>
      </c>
      <c r="AD872">
        <f t="shared" si="422"/>
        <v>264204.45863061014</v>
      </c>
      <c r="AE872">
        <f t="shared" si="423"/>
        <v>263267.95633193408</v>
      </c>
      <c r="AF872">
        <f t="shared" si="424"/>
        <v>263307.61995584582</v>
      </c>
      <c r="AG872">
        <f t="shared" si="425"/>
        <v>262308.99952741596</v>
      </c>
      <c r="AH872">
        <f t="shared" si="426"/>
        <v>261053.98441897577</v>
      </c>
      <c r="AI872">
        <f t="shared" si="389"/>
        <v>264220.90963728767</v>
      </c>
    </row>
    <row r="873" spans="2:35" x14ac:dyDescent="0.3">
      <c r="B873">
        <v>830</v>
      </c>
      <c r="C873">
        <v>77820.027600000001</v>
      </c>
      <c r="D873">
        <v>77458.665399999998</v>
      </c>
      <c r="E873">
        <v>77986.510699999999</v>
      </c>
      <c r="F873">
        <v>78128.714300000007</v>
      </c>
      <c r="G873">
        <v>78826.1106</v>
      </c>
      <c r="H873">
        <v>79588.034100000004</v>
      </c>
      <c r="I873">
        <v>9.9490530989295713</v>
      </c>
      <c r="J873">
        <v>9.9294631182862716</v>
      </c>
      <c r="K873">
        <v>9.9091844974255228</v>
      </c>
      <c r="L873">
        <v>9.9001957227350719</v>
      </c>
      <c r="M873">
        <v>9.8831263260466695</v>
      </c>
      <c r="N873">
        <v>9.8599565978482744</v>
      </c>
      <c r="P873">
        <f t="shared" si="399"/>
        <v>220651.56536788712</v>
      </c>
      <c r="Q873">
        <f t="shared" si="400"/>
        <v>220425.22814858815</v>
      </c>
      <c r="R873">
        <f t="shared" si="401"/>
        <v>219289.0242227657</v>
      </c>
      <c r="S873">
        <f t="shared" si="402"/>
        <v>218877.15738205216</v>
      </c>
      <c r="T873">
        <f t="shared" si="403"/>
        <v>217667.67918140005</v>
      </c>
      <c r="U873">
        <f t="shared" si="404"/>
        <v>216210.66383544821</v>
      </c>
      <c r="V873">
        <f t="shared" si="428"/>
        <v>1</v>
      </c>
      <c r="W873">
        <f t="shared" si="429"/>
        <v>0</v>
      </c>
      <c r="X873">
        <f t="shared" si="430"/>
        <v>0</v>
      </c>
      <c r="Y873">
        <f t="shared" si="431"/>
        <v>0</v>
      </c>
      <c r="Z873">
        <f t="shared" si="432"/>
        <v>0</v>
      </c>
      <c r="AA873">
        <f t="shared" ref="AA873" si="436">IF(MAX(P873:U873)=U873, 1, 0)</f>
        <v>0</v>
      </c>
      <c r="AC873">
        <f t="shared" si="421"/>
        <v>220651.56536788712</v>
      </c>
      <c r="AD873">
        <f t="shared" si="422"/>
        <v>220425.22814858815</v>
      </c>
      <c r="AE873">
        <f t="shared" si="423"/>
        <v>219289.0242227657</v>
      </c>
      <c r="AF873">
        <f t="shared" si="424"/>
        <v>218877.15738205216</v>
      </c>
      <c r="AG873">
        <f t="shared" si="425"/>
        <v>217667.67918140005</v>
      </c>
      <c r="AH873">
        <f t="shared" si="426"/>
        <v>216210.66383544821</v>
      </c>
      <c r="AI873">
        <f t="shared" si="389"/>
        <v>220651.56536788712</v>
      </c>
    </row>
    <row r="874" spans="2:35" x14ac:dyDescent="0.3">
      <c r="B874">
        <v>831</v>
      </c>
      <c r="C874">
        <v>84025.047500000001</v>
      </c>
      <c r="D874">
        <v>84280.527000000002</v>
      </c>
      <c r="E874">
        <v>85096.029200000004</v>
      </c>
      <c r="F874">
        <v>85565.868400000007</v>
      </c>
      <c r="G874">
        <v>86244.7307</v>
      </c>
      <c r="H874">
        <v>87147.967499999999</v>
      </c>
      <c r="I874">
        <v>10.595030351938256</v>
      </c>
      <c r="J874">
        <v>10.54994348582377</v>
      </c>
      <c r="K874">
        <v>10.524460813132329</v>
      </c>
      <c r="L874">
        <v>10.506230137974784</v>
      </c>
      <c r="M874">
        <v>10.473259255671932</v>
      </c>
      <c r="N874">
        <v>10.432484817194855</v>
      </c>
      <c r="P874">
        <f t="shared" si="399"/>
        <v>233825.86305814766</v>
      </c>
      <c r="Q874">
        <f t="shared" si="400"/>
        <v>232217.77757471311</v>
      </c>
      <c r="R874">
        <f t="shared" si="401"/>
        <v>230637.79519396985</v>
      </c>
      <c r="S874">
        <f t="shared" si="402"/>
        <v>229621.03573924353</v>
      </c>
      <c r="T874">
        <f t="shared" si="403"/>
        <v>227953.04697015794</v>
      </c>
      <c r="U874">
        <f t="shared" si="404"/>
        <v>225826.57701584566</v>
      </c>
      <c r="V874">
        <f t="shared" si="428"/>
        <v>1</v>
      </c>
      <c r="W874">
        <f t="shared" si="429"/>
        <v>0</v>
      </c>
      <c r="X874">
        <f t="shared" si="430"/>
        <v>0</v>
      </c>
      <c r="Y874">
        <f t="shared" si="431"/>
        <v>0</v>
      </c>
      <c r="Z874">
        <f t="shared" si="432"/>
        <v>0</v>
      </c>
      <c r="AC874">
        <f t="shared" si="421"/>
        <v>233825.86305814766</v>
      </c>
      <c r="AD874">
        <f t="shared" si="422"/>
        <v>232217.77757471311</v>
      </c>
      <c r="AE874">
        <f t="shared" si="423"/>
        <v>230637.79519396985</v>
      </c>
      <c r="AF874">
        <f t="shared" si="424"/>
        <v>229621.03573924353</v>
      </c>
      <c r="AG874">
        <f t="shared" si="425"/>
        <v>227953.04697015794</v>
      </c>
      <c r="AH874">
        <f t="shared" si="426"/>
        <v>225826.57701584566</v>
      </c>
      <c r="AI874">
        <f t="shared" si="389"/>
        <v>233825.86305814766</v>
      </c>
    </row>
    <row r="875" spans="2:35" x14ac:dyDescent="0.3">
      <c r="B875">
        <v>832</v>
      </c>
      <c r="C875">
        <v>72540.150200000004</v>
      </c>
      <c r="D875">
        <v>72791.338000000003</v>
      </c>
      <c r="E875">
        <v>73758.033100000001</v>
      </c>
      <c r="F875">
        <v>73937.274600000004</v>
      </c>
      <c r="G875">
        <v>75182.333299999998</v>
      </c>
      <c r="H875">
        <v>76158.233999999997</v>
      </c>
      <c r="I875">
        <v>10.253787927812548</v>
      </c>
      <c r="J875">
        <v>10.232513763029262</v>
      </c>
      <c r="K875">
        <v>10.219343326249922</v>
      </c>
      <c r="L875">
        <v>10.210894690194522</v>
      </c>
      <c r="M875">
        <v>10.191338624355778</v>
      </c>
      <c r="N875">
        <v>10.176554388057093</v>
      </c>
      <c r="P875">
        <f t="shared" si="399"/>
        <v>235073.48763437642</v>
      </c>
      <c r="Q875">
        <f t="shared" si="400"/>
        <v>234184.07489087788</v>
      </c>
      <c r="R875">
        <f t="shared" si="401"/>
        <v>232822.26668749767</v>
      </c>
      <c r="S875">
        <f t="shared" si="402"/>
        <v>232389.56610583566</v>
      </c>
      <c r="T875">
        <f t="shared" si="403"/>
        <v>230557.82543067331</v>
      </c>
      <c r="U875">
        <f t="shared" si="404"/>
        <v>229138.3976417128</v>
      </c>
      <c r="V875">
        <f t="shared" si="428"/>
        <v>1</v>
      </c>
      <c r="W875">
        <f t="shared" si="429"/>
        <v>0</v>
      </c>
      <c r="X875">
        <f t="shared" si="430"/>
        <v>0</v>
      </c>
      <c r="Y875">
        <f t="shared" si="431"/>
        <v>0</v>
      </c>
      <c r="Z875">
        <f t="shared" si="432"/>
        <v>0</v>
      </c>
      <c r="AA875">
        <f t="shared" ref="AA875" si="437">IF(MAX(P875:U875)=U875, 1, 0)</f>
        <v>0</v>
      </c>
      <c r="AC875">
        <f t="shared" si="421"/>
        <v>235073.48763437642</v>
      </c>
      <c r="AD875">
        <f t="shared" si="422"/>
        <v>234184.07489087788</v>
      </c>
      <c r="AE875">
        <f t="shared" si="423"/>
        <v>232822.26668749767</v>
      </c>
      <c r="AF875">
        <f t="shared" si="424"/>
        <v>232389.56610583566</v>
      </c>
      <c r="AG875">
        <f t="shared" si="425"/>
        <v>230557.82543067331</v>
      </c>
      <c r="AH875">
        <f t="shared" si="426"/>
        <v>229138.3976417128</v>
      </c>
      <c r="AI875">
        <f t="shared" si="389"/>
        <v>235073.48763437642</v>
      </c>
    </row>
    <row r="876" spans="2:35" x14ac:dyDescent="0.3">
      <c r="B876">
        <v>833</v>
      </c>
      <c r="C876">
        <v>79215.499100000001</v>
      </c>
      <c r="D876">
        <v>79504.968399999998</v>
      </c>
      <c r="E876">
        <v>80608.2785</v>
      </c>
      <c r="F876">
        <v>81107.448000000004</v>
      </c>
      <c r="G876">
        <v>82082.556500000006</v>
      </c>
      <c r="H876">
        <v>83386.6345</v>
      </c>
      <c r="I876">
        <v>8.6911562918080385</v>
      </c>
      <c r="J876">
        <v>8.6714690797671032</v>
      </c>
      <c r="K876">
        <v>8.6620228465649252</v>
      </c>
      <c r="L876">
        <v>8.6510826317812022</v>
      </c>
      <c r="M876">
        <v>8.6400246822721858</v>
      </c>
      <c r="N876">
        <v>8.6250980421486361</v>
      </c>
      <c r="P876">
        <f t="shared" si="399"/>
        <v>181519.18965424114</v>
      </c>
      <c r="Q876">
        <f t="shared" si="400"/>
        <v>180639.10399301309</v>
      </c>
      <c r="R876">
        <f t="shared" si="401"/>
        <v>179252.40689694777</v>
      </c>
      <c r="S876">
        <f t="shared" si="402"/>
        <v>178425.03095343607</v>
      </c>
      <c r="T876">
        <f t="shared" si="403"/>
        <v>177118.18396816557</v>
      </c>
      <c r="U876">
        <f t="shared" si="404"/>
        <v>175366.30676445906</v>
      </c>
      <c r="V876">
        <f t="shared" si="428"/>
        <v>1</v>
      </c>
      <c r="W876">
        <f t="shared" si="429"/>
        <v>0</v>
      </c>
      <c r="X876">
        <f t="shared" si="430"/>
        <v>0</v>
      </c>
      <c r="Y876">
        <f t="shared" si="431"/>
        <v>0</v>
      </c>
      <c r="Z876">
        <f t="shared" si="432"/>
        <v>0</v>
      </c>
      <c r="AC876">
        <f t="shared" si="421"/>
        <v>181519.18965424114</v>
      </c>
      <c r="AD876">
        <f t="shared" si="422"/>
        <v>180639.10399301309</v>
      </c>
      <c r="AE876">
        <f t="shared" si="423"/>
        <v>179252.40689694777</v>
      </c>
      <c r="AF876">
        <f t="shared" si="424"/>
        <v>178425.03095343607</v>
      </c>
      <c r="AG876">
        <f t="shared" si="425"/>
        <v>177118.18396816557</v>
      </c>
      <c r="AH876">
        <f t="shared" si="426"/>
        <v>175366.30676445906</v>
      </c>
      <c r="AI876">
        <f t="shared" si="389"/>
        <v>181519.18965424114</v>
      </c>
    </row>
    <row r="877" spans="2:35" x14ac:dyDescent="0.3">
      <c r="B877">
        <v>834</v>
      </c>
      <c r="C877">
        <v>70241.825400000002</v>
      </c>
      <c r="D877">
        <v>70625.620200000005</v>
      </c>
      <c r="E877">
        <v>71505.003800000006</v>
      </c>
      <c r="F877">
        <v>71683.770900000003</v>
      </c>
      <c r="G877">
        <v>72836.103199999998</v>
      </c>
      <c r="H877">
        <v>73726.225900000005</v>
      </c>
      <c r="I877">
        <v>8.4735242583880463</v>
      </c>
      <c r="J877">
        <v>8.4670286730642879</v>
      </c>
      <c r="K877">
        <v>8.4631724409123184</v>
      </c>
      <c r="L877">
        <v>8.4620364318565144</v>
      </c>
      <c r="M877">
        <v>8.4572463733405119</v>
      </c>
      <c r="N877">
        <v>8.454457228618784</v>
      </c>
      <c r="P877">
        <f t="shared" si="399"/>
        <v>183963.90235164139</v>
      </c>
      <c r="Q877">
        <f t="shared" si="400"/>
        <v>183385.23999192863</v>
      </c>
      <c r="R877">
        <f t="shared" si="401"/>
        <v>182390.16942736955</v>
      </c>
      <c r="S877">
        <f t="shared" si="402"/>
        <v>182177.32205569543</v>
      </c>
      <c r="T877">
        <f t="shared" si="403"/>
        <v>180881.28800021537</v>
      </c>
      <c r="U877">
        <f t="shared" si="404"/>
        <v>179907.49095856352</v>
      </c>
      <c r="V877">
        <f t="shared" si="428"/>
        <v>1</v>
      </c>
      <c r="W877">
        <f t="shared" si="429"/>
        <v>0</v>
      </c>
      <c r="X877">
        <f t="shared" si="430"/>
        <v>0</v>
      </c>
      <c r="Y877">
        <f t="shared" si="431"/>
        <v>0</v>
      </c>
      <c r="Z877">
        <f t="shared" si="432"/>
        <v>0</v>
      </c>
      <c r="AA877">
        <f t="shared" ref="AA877" si="438">IF(MAX(P877:U877)=U877, 1, 0)</f>
        <v>0</v>
      </c>
      <c r="AC877">
        <f t="shared" si="421"/>
        <v>183963.90235164139</v>
      </c>
      <c r="AD877">
        <f t="shared" si="422"/>
        <v>183385.23999192863</v>
      </c>
      <c r="AE877">
        <f t="shared" si="423"/>
        <v>182390.16942736955</v>
      </c>
      <c r="AF877">
        <f t="shared" si="424"/>
        <v>182177.32205569543</v>
      </c>
      <c r="AG877">
        <f t="shared" si="425"/>
        <v>180881.28800021537</v>
      </c>
      <c r="AH877">
        <f t="shared" si="426"/>
        <v>179907.49095856352</v>
      </c>
      <c r="AI877">
        <f t="shared" ref="AI877:AI940" si="439">MAX(AC877:AH877)</f>
        <v>183963.90235164139</v>
      </c>
    </row>
    <row r="878" spans="2:35" x14ac:dyDescent="0.3">
      <c r="B878">
        <v>835</v>
      </c>
      <c r="C878">
        <v>62254.215100000001</v>
      </c>
      <c r="D878">
        <v>61924.7048</v>
      </c>
      <c r="E878">
        <v>62751.095800000003</v>
      </c>
      <c r="F878">
        <v>62647.622000000003</v>
      </c>
      <c r="G878">
        <v>63460.366499999996</v>
      </c>
      <c r="H878">
        <v>64029.110800000002</v>
      </c>
      <c r="I878">
        <v>8.3569944694615206</v>
      </c>
      <c r="J878">
        <v>8.2857461606354246</v>
      </c>
      <c r="K878">
        <v>8.2396754043478477</v>
      </c>
      <c r="L878">
        <v>8.2319548091355301</v>
      </c>
      <c r="M878">
        <v>8.1765264213367495</v>
      </c>
      <c r="N878">
        <v>8.129876295829483</v>
      </c>
      <c r="P878">
        <f t="shared" si="399"/>
        <v>188455.6189838456</v>
      </c>
      <c r="Q878">
        <f t="shared" si="400"/>
        <v>186647.68001906274</v>
      </c>
      <c r="R878">
        <f t="shared" si="401"/>
        <v>184439.16633043543</v>
      </c>
      <c r="S878">
        <f t="shared" si="402"/>
        <v>184311.02227406591</v>
      </c>
      <c r="T878">
        <f t="shared" si="403"/>
        <v>181835.42614010247</v>
      </c>
      <c r="U878">
        <f t="shared" si="404"/>
        <v>179867.17807488449</v>
      </c>
      <c r="V878">
        <f t="shared" si="428"/>
        <v>1</v>
      </c>
      <c r="W878">
        <f t="shared" si="429"/>
        <v>0</v>
      </c>
      <c r="X878">
        <f t="shared" si="430"/>
        <v>0</v>
      </c>
      <c r="Y878">
        <f t="shared" si="431"/>
        <v>0</v>
      </c>
      <c r="Z878">
        <f t="shared" si="432"/>
        <v>0</v>
      </c>
      <c r="AC878">
        <f t="shared" si="421"/>
        <v>188455.6189838456</v>
      </c>
      <c r="AD878">
        <f t="shared" si="422"/>
        <v>186647.68001906274</v>
      </c>
      <c r="AE878">
        <f t="shared" si="423"/>
        <v>184439.16633043543</v>
      </c>
      <c r="AF878">
        <f t="shared" si="424"/>
        <v>184311.02227406591</v>
      </c>
      <c r="AG878">
        <f t="shared" si="425"/>
        <v>181835.42614010247</v>
      </c>
      <c r="AH878">
        <f t="shared" si="426"/>
        <v>179867.17807488449</v>
      </c>
      <c r="AI878">
        <f t="shared" si="439"/>
        <v>188455.6189838456</v>
      </c>
    </row>
    <row r="879" spans="2:35" x14ac:dyDescent="0.3">
      <c r="B879">
        <v>836</v>
      </c>
      <c r="C879">
        <v>80208.922300000006</v>
      </c>
      <c r="D879">
        <v>78879.135399999999</v>
      </c>
      <c r="E879">
        <v>78835.695999999996</v>
      </c>
      <c r="F879">
        <v>78527.910699999993</v>
      </c>
      <c r="G879">
        <v>78454.789000000004</v>
      </c>
      <c r="H879">
        <v>78366.497399999993</v>
      </c>
      <c r="I879">
        <v>9.6404977558968454</v>
      </c>
      <c r="J879">
        <v>9.602515792629605</v>
      </c>
      <c r="K879">
        <v>9.5826429484624285</v>
      </c>
      <c r="L879">
        <v>9.5800487193452675</v>
      </c>
      <c r="M879">
        <v>9.5385979640534444</v>
      </c>
      <c r="N879">
        <v>9.5090704860023347</v>
      </c>
      <c r="P879">
        <f t="shared" si="399"/>
        <v>209006.01037690535</v>
      </c>
      <c r="Q879">
        <f t="shared" si="400"/>
        <v>209196.33837888818</v>
      </c>
      <c r="R879">
        <f t="shared" si="401"/>
        <v>208643.59245387284</v>
      </c>
      <c r="S879">
        <f t="shared" si="402"/>
        <v>208873.55088035803</v>
      </c>
      <c r="T879">
        <f t="shared" si="403"/>
        <v>207703.14992160333</v>
      </c>
      <c r="U879">
        <f t="shared" si="404"/>
        <v>206905.61718007002</v>
      </c>
      <c r="V879">
        <f t="shared" si="428"/>
        <v>0</v>
      </c>
      <c r="W879">
        <f t="shared" si="429"/>
        <v>1</v>
      </c>
      <c r="X879">
        <f t="shared" si="430"/>
        <v>0</v>
      </c>
      <c r="Y879">
        <f t="shared" si="431"/>
        <v>0</v>
      </c>
      <c r="Z879">
        <f t="shared" si="432"/>
        <v>0</v>
      </c>
      <c r="AA879">
        <f t="shared" ref="AA879" si="440">IF(MAX(P879:U879)=U879, 1, 0)</f>
        <v>0</v>
      </c>
      <c r="AC879">
        <f t="shared" si="421"/>
        <v>209006.01037690535</v>
      </c>
      <c r="AD879">
        <f t="shared" si="422"/>
        <v>209196.33837888818</v>
      </c>
      <c r="AE879">
        <f t="shared" si="423"/>
        <v>208643.59245387284</v>
      </c>
      <c r="AF879">
        <f t="shared" si="424"/>
        <v>208873.55088035803</v>
      </c>
      <c r="AG879">
        <f t="shared" si="425"/>
        <v>207703.14992160333</v>
      </c>
      <c r="AH879">
        <f t="shared" si="426"/>
        <v>206905.61718007002</v>
      </c>
      <c r="AI879">
        <f t="shared" si="439"/>
        <v>209196.33837888818</v>
      </c>
    </row>
    <row r="880" spans="2:35" x14ac:dyDescent="0.3">
      <c r="B880">
        <v>837</v>
      </c>
      <c r="C880">
        <v>83664.720799999996</v>
      </c>
      <c r="D880">
        <v>84152.796100000007</v>
      </c>
      <c r="E880">
        <v>85293.225399999996</v>
      </c>
      <c r="F880">
        <v>85844.858699999997</v>
      </c>
      <c r="G880">
        <v>86986.517099999997</v>
      </c>
      <c r="H880">
        <v>88480.108500000002</v>
      </c>
      <c r="I880">
        <v>9.9588712236584271</v>
      </c>
      <c r="J880">
        <v>9.9293844371563491</v>
      </c>
      <c r="K880">
        <v>9.9071909071942326</v>
      </c>
      <c r="L880">
        <v>9.8944540542216153</v>
      </c>
      <c r="M880">
        <v>9.8748985050675167</v>
      </c>
      <c r="N880">
        <v>9.8481343021192878</v>
      </c>
      <c r="P880">
        <f t="shared" si="399"/>
        <v>215101.41590975283</v>
      </c>
      <c r="Q880">
        <f t="shared" si="400"/>
        <v>213728.73701469044</v>
      </c>
      <c r="R880">
        <f t="shared" si="401"/>
        <v>211922.50181582698</v>
      </c>
      <c r="S880">
        <f t="shared" si="402"/>
        <v>210988.76292664849</v>
      </c>
      <c r="T880">
        <f t="shared" si="403"/>
        <v>209260.43805202551</v>
      </c>
      <c r="U880">
        <f t="shared" si="404"/>
        <v>206963.92056357863</v>
      </c>
      <c r="V880">
        <f t="shared" si="428"/>
        <v>1</v>
      </c>
      <c r="W880">
        <f t="shared" si="429"/>
        <v>0</v>
      </c>
      <c r="X880">
        <f t="shared" si="430"/>
        <v>0</v>
      </c>
      <c r="Y880">
        <f t="shared" si="431"/>
        <v>0</v>
      </c>
      <c r="Z880">
        <f t="shared" si="432"/>
        <v>0</v>
      </c>
      <c r="AC880">
        <f t="shared" si="421"/>
        <v>215101.41590975283</v>
      </c>
      <c r="AD880">
        <f t="shared" si="422"/>
        <v>213728.73701469044</v>
      </c>
      <c r="AE880">
        <f t="shared" si="423"/>
        <v>211922.50181582698</v>
      </c>
      <c r="AF880">
        <f t="shared" si="424"/>
        <v>210988.76292664849</v>
      </c>
      <c r="AG880">
        <f t="shared" si="425"/>
        <v>209260.43805202551</v>
      </c>
      <c r="AH880">
        <f t="shared" si="426"/>
        <v>206963.92056357863</v>
      </c>
      <c r="AI880">
        <f t="shared" si="439"/>
        <v>215101.41590975283</v>
      </c>
    </row>
    <row r="881" spans="2:35" x14ac:dyDescent="0.3">
      <c r="B881">
        <v>838</v>
      </c>
      <c r="C881">
        <v>73034.092900000003</v>
      </c>
      <c r="D881">
        <v>71906.170299999998</v>
      </c>
      <c r="E881">
        <v>71957.475900000005</v>
      </c>
      <c r="F881">
        <v>71679.479000000007</v>
      </c>
      <c r="G881">
        <v>71673.276899999997</v>
      </c>
      <c r="H881">
        <v>71785.311000000002</v>
      </c>
      <c r="I881">
        <v>9.4088819621844593</v>
      </c>
      <c r="J881">
        <v>9.3769405631850518</v>
      </c>
      <c r="K881">
        <v>9.351553571616483</v>
      </c>
      <c r="L881">
        <v>9.3446301150851436</v>
      </c>
      <c r="M881">
        <v>9.3162629494336837</v>
      </c>
      <c r="N881">
        <v>9.2910227276514146</v>
      </c>
      <c r="P881">
        <f t="shared" si="399"/>
        <v>209232.36596553377</v>
      </c>
      <c r="Q881">
        <f t="shared" si="400"/>
        <v>209402.04659555154</v>
      </c>
      <c r="R881">
        <f t="shared" si="401"/>
        <v>208589.13124849449</v>
      </c>
      <c r="S881">
        <f t="shared" si="402"/>
        <v>208659.42445255432</v>
      </c>
      <c r="T881">
        <f t="shared" si="403"/>
        <v>207814.61158301053</v>
      </c>
      <c r="U881">
        <f t="shared" si="404"/>
        <v>206945.37082954246</v>
      </c>
      <c r="V881">
        <f t="shared" si="428"/>
        <v>0</v>
      </c>
      <c r="W881">
        <f t="shared" si="429"/>
        <v>1</v>
      </c>
      <c r="X881">
        <f t="shared" si="430"/>
        <v>0</v>
      </c>
      <c r="Y881">
        <f t="shared" si="431"/>
        <v>0</v>
      </c>
      <c r="Z881">
        <f t="shared" si="432"/>
        <v>0</v>
      </c>
      <c r="AA881">
        <f t="shared" ref="AA881" si="441">IF(MAX(P881:U881)=U881, 1, 0)</f>
        <v>0</v>
      </c>
      <c r="AC881">
        <f t="shared" si="421"/>
        <v>209232.36596553377</v>
      </c>
      <c r="AD881">
        <f t="shared" si="422"/>
        <v>209402.04659555154</v>
      </c>
      <c r="AE881">
        <f t="shared" si="423"/>
        <v>208589.13124849449</v>
      </c>
      <c r="AF881">
        <f t="shared" si="424"/>
        <v>208659.42445255432</v>
      </c>
      <c r="AG881">
        <f t="shared" si="425"/>
        <v>207814.61158301053</v>
      </c>
      <c r="AH881">
        <f t="shared" si="426"/>
        <v>206945.37082954246</v>
      </c>
      <c r="AI881">
        <f t="shared" si="439"/>
        <v>209402.04659555154</v>
      </c>
    </row>
    <row r="882" spans="2:35" x14ac:dyDescent="0.3">
      <c r="B882">
        <v>839</v>
      </c>
      <c r="C882">
        <v>79285.406000000003</v>
      </c>
      <c r="D882">
        <v>78856.867400000003</v>
      </c>
      <c r="E882">
        <v>79315.545100000003</v>
      </c>
      <c r="F882">
        <v>79264.043799999999</v>
      </c>
      <c r="G882">
        <v>79923.053</v>
      </c>
      <c r="H882">
        <v>80440.102100000004</v>
      </c>
      <c r="I882">
        <v>10.678077539258815</v>
      </c>
      <c r="J882">
        <v>10.624875754062522</v>
      </c>
      <c r="K882">
        <v>10.593509135929269</v>
      </c>
      <c r="L882">
        <v>10.588936047313005</v>
      </c>
      <c r="M882">
        <v>10.541972756684588</v>
      </c>
      <c r="N882">
        <v>10.514013087657855</v>
      </c>
      <c r="P882">
        <f t="shared" si="399"/>
        <v>241056.92017776443</v>
      </c>
      <c r="Q882">
        <f t="shared" si="400"/>
        <v>239889.4052218757</v>
      </c>
      <c r="R882">
        <f t="shared" si="401"/>
        <v>238489.72897787805</v>
      </c>
      <c r="S882">
        <f t="shared" si="402"/>
        <v>238404.03761939018</v>
      </c>
      <c r="T882">
        <f t="shared" si="403"/>
        <v>236336.12970053765</v>
      </c>
      <c r="U882">
        <f t="shared" si="404"/>
        <v>234980.29052973562</v>
      </c>
      <c r="V882">
        <f t="shared" si="428"/>
        <v>1</v>
      </c>
      <c r="W882">
        <f t="shared" si="429"/>
        <v>0</v>
      </c>
      <c r="X882">
        <f t="shared" si="430"/>
        <v>0</v>
      </c>
      <c r="Y882">
        <f t="shared" si="431"/>
        <v>0</v>
      </c>
      <c r="Z882">
        <f t="shared" si="432"/>
        <v>0</v>
      </c>
      <c r="AC882">
        <f t="shared" si="421"/>
        <v>241056.92017776443</v>
      </c>
      <c r="AD882">
        <f t="shared" si="422"/>
        <v>239889.4052218757</v>
      </c>
      <c r="AE882">
        <f t="shared" si="423"/>
        <v>238489.72897787805</v>
      </c>
      <c r="AF882">
        <f t="shared" si="424"/>
        <v>238404.03761939018</v>
      </c>
      <c r="AG882">
        <f t="shared" si="425"/>
        <v>236336.12970053765</v>
      </c>
      <c r="AH882">
        <f t="shared" si="426"/>
        <v>234980.29052973562</v>
      </c>
      <c r="AI882">
        <f t="shared" si="439"/>
        <v>241056.92017776443</v>
      </c>
    </row>
    <row r="883" spans="2:35" x14ac:dyDescent="0.3">
      <c r="B883">
        <v>840</v>
      </c>
      <c r="C883">
        <v>79436.419899999994</v>
      </c>
      <c r="D883">
        <v>78608.053599999999</v>
      </c>
      <c r="E883">
        <v>79036.7111</v>
      </c>
      <c r="F883">
        <v>78964.774000000005</v>
      </c>
      <c r="G883">
        <v>79349.839399999997</v>
      </c>
      <c r="H883">
        <v>79790.563999999998</v>
      </c>
      <c r="I883">
        <v>9.4306902510791755</v>
      </c>
      <c r="J883">
        <v>9.4115992080896511</v>
      </c>
      <c r="K883">
        <v>9.3980161288769963</v>
      </c>
      <c r="L883">
        <v>9.3879019900227796</v>
      </c>
      <c r="M883">
        <v>9.3752049217035722</v>
      </c>
      <c r="N883">
        <v>9.3575733952492417</v>
      </c>
      <c r="P883">
        <f t="shared" si="399"/>
        <v>203484.28763237526</v>
      </c>
      <c r="Q883">
        <f t="shared" si="400"/>
        <v>203739.92264268955</v>
      </c>
      <c r="R883">
        <f t="shared" si="401"/>
        <v>202903.77276630985</v>
      </c>
      <c r="S883">
        <f t="shared" si="402"/>
        <v>202672.28570068339</v>
      </c>
      <c r="T883">
        <f t="shared" si="403"/>
        <v>201906.30825110717</v>
      </c>
      <c r="U883">
        <f t="shared" si="404"/>
        <v>200936.63785747724</v>
      </c>
      <c r="V883">
        <f t="shared" si="428"/>
        <v>0</v>
      </c>
      <c r="W883">
        <f t="shared" si="429"/>
        <v>1</v>
      </c>
      <c r="X883">
        <f t="shared" si="430"/>
        <v>0</v>
      </c>
      <c r="Y883">
        <f t="shared" si="431"/>
        <v>0</v>
      </c>
      <c r="Z883">
        <f t="shared" si="432"/>
        <v>0</v>
      </c>
      <c r="AA883">
        <f t="shared" ref="AA883" si="442">IF(MAX(P883:U883)=U883, 1, 0)</f>
        <v>0</v>
      </c>
      <c r="AC883">
        <f t="shared" si="421"/>
        <v>203484.28763237526</v>
      </c>
      <c r="AD883">
        <f t="shared" si="422"/>
        <v>203739.92264268955</v>
      </c>
      <c r="AE883">
        <f t="shared" si="423"/>
        <v>202903.77276630985</v>
      </c>
      <c r="AF883">
        <f t="shared" si="424"/>
        <v>202672.28570068339</v>
      </c>
      <c r="AG883">
        <f t="shared" si="425"/>
        <v>201906.30825110717</v>
      </c>
      <c r="AH883">
        <f t="shared" si="426"/>
        <v>200936.63785747724</v>
      </c>
      <c r="AI883">
        <f t="shared" si="439"/>
        <v>203739.92264268955</v>
      </c>
    </row>
    <row r="884" spans="2:35" x14ac:dyDescent="0.3">
      <c r="B884">
        <v>841</v>
      </c>
      <c r="C884">
        <v>74840.504000000001</v>
      </c>
      <c r="D884">
        <v>73285.993499999997</v>
      </c>
      <c r="E884">
        <v>73254.043799999999</v>
      </c>
      <c r="F884">
        <v>73018.102700000003</v>
      </c>
      <c r="G884">
        <v>72727.012600000002</v>
      </c>
      <c r="H884">
        <v>72859.293600000005</v>
      </c>
      <c r="I884">
        <v>10.192504762709053</v>
      </c>
      <c r="J884">
        <v>10.182488850595963</v>
      </c>
      <c r="K884">
        <v>10.176950892671162</v>
      </c>
      <c r="L884">
        <v>10.172801242283732</v>
      </c>
      <c r="M884">
        <v>10.166516770686066</v>
      </c>
      <c r="N884">
        <v>10.159085596154071</v>
      </c>
      <c r="P884">
        <f t="shared" si="399"/>
        <v>230934.63888127159</v>
      </c>
      <c r="Q884">
        <f t="shared" si="400"/>
        <v>232188.67201787891</v>
      </c>
      <c r="R884">
        <f t="shared" si="401"/>
        <v>232054.48298013484</v>
      </c>
      <c r="S884">
        <f t="shared" si="402"/>
        <v>232165.93456851196</v>
      </c>
      <c r="T884">
        <f t="shared" si="403"/>
        <v>232268.49052058195</v>
      </c>
      <c r="U884">
        <f t="shared" si="404"/>
        <v>231913.27428462214</v>
      </c>
      <c r="V884">
        <f t="shared" si="428"/>
        <v>0</v>
      </c>
      <c r="W884">
        <f t="shared" si="429"/>
        <v>0</v>
      </c>
      <c r="X884">
        <f t="shared" si="430"/>
        <v>0</v>
      </c>
      <c r="Y884">
        <f t="shared" si="431"/>
        <v>0</v>
      </c>
      <c r="Z884">
        <f t="shared" si="432"/>
        <v>1</v>
      </c>
      <c r="AC884">
        <f t="shared" si="421"/>
        <v>230934.63888127159</v>
      </c>
      <c r="AD884">
        <f t="shared" si="422"/>
        <v>232188.67201787891</v>
      </c>
      <c r="AE884">
        <f t="shared" si="423"/>
        <v>232054.48298013484</v>
      </c>
      <c r="AF884">
        <f t="shared" si="424"/>
        <v>232165.93456851196</v>
      </c>
      <c r="AG884">
        <f t="shared" si="425"/>
        <v>232268.49052058195</v>
      </c>
      <c r="AH884">
        <f t="shared" si="426"/>
        <v>231913.27428462214</v>
      </c>
      <c r="AI884">
        <f t="shared" si="439"/>
        <v>232268.49052058195</v>
      </c>
    </row>
    <row r="885" spans="2:35" x14ac:dyDescent="0.3">
      <c r="B885">
        <v>842</v>
      </c>
      <c r="C885">
        <v>80098.3514</v>
      </c>
      <c r="D885">
        <v>78497.271599999993</v>
      </c>
      <c r="E885">
        <v>78284.688200000004</v>
      </c>
      <c r="F885">
        <v>77957.874200000006</v>
      </c>
      <c r="G885">
        <v>77633.787800000006</v>
      </c>
      <c r="H885">
        <v>77495.587400000004</v>
      </c>
      <c r="I885">
        <v>11.477681654160179</v>
      </c>
      <c r="J885">
        <v>11.441113390001897</v>
      </c>
      <c r="K885">
        <v>11.417191295186784</v>
      </c>
      <c r="L885">
        <v>11.407155574521418</v>
      </c>
      <c r="M885">
        <v>11.37439171308244</v>
      </c>
      <c r="N885">
        <v>11.346692266852061</v>
      </c>
      <c r="P885">
        <f t="shared" si="399"/>
        <v>264232.09822480538</v>
      </c>
      <c r="Q885">
        <f t="shared" si="400"/>
        <v>264736.13010005694</v>
      </c>
      <c r="R885">
        <f t="shared" si="401"/>
        <v>264231.05065560353</v>
      </c>
      <c r="S885">
        <f t="shared" si="402"/>
        <v>264256.79303564253</v>
      </c>
      <c r="T885">
        <f t="shared" si="403"/>
        <v>263597.96359247324</v>
      </c>
      <c r="U885">
        <f t="shared" si="404"/>
        <v>262905.18060556182</v>
      </c>
      <c r="V885">
        <f t="shared" si="428"/>
        <v>0</v>
      </c>
      <c r="W885">
        <f t="shared" si="429"/>
        <v>1</v>
      </c>
      <c r="X885">
        <f t="shared" si="430"/>
        <v>0</v>
      </c>
      <c r="Y885">
        <f t="shared" si="431"/>
        <v>0</v>
      </c>
      <c r="Z885">
        <f t="shared" si="432"/>
        <v>0</v>
      </c>
      <c r="AA885">
        <f t="shared" ref="AA885" si="443">IF(MAX(P885:U885)=U885, 1, 0)</f>
        <v>0</v>
      </c>
      <c r="AC885">
        <f t="shared" si="421"/>
        <v>264232.09822480538</v>
      </c>
      <c r="AD885">
        <f t="shared" si="422"/>
        <v>264736.13010005694</v>
      </c>
      <c r="AE885">
        <f t="shared" si="423"/>
        <v>264231.05065560353</v>
      </c>
      <c r="AF885">
        <f t="shared" si="424"/>
        <v>264256.79303564253</v>
      </c>
      <c r="AG885">
        <f t="shared" si="425"/>
        <v>263597.96359247324</v>
      </c>
      <c r="AH885">
        <f t="shared" si="426"/>
        <v>262905.18060556182</v>
      </c>
      <c r="AI885">
        <f t="shared" si="439"/>
        <v>264736.13010005694</v>
      </c>
    </row>
    <row r="886" spans="2:35" x14ac:dyDescent="0.3">
      <c r="B886">
        <v>843</v>
      </c>
      <c r="C886">
        <v>83880.1204</v>
      </c>
      <c r="D886">
        <v>82880.008000000002</v>
      </c>
      <c r="E886">
        <v>83045.675000000003</v>
      </c>
      <c r="F886">
        <v>82922.778300000005</v>
      </c>
      <c r="G886">
        <v>82965.875499999995</v>
      </c>
      <c r="H886">
        <v>83448.497799999997</v>
      </c>
      <c r="I886">
        <v>10.425448908610278</v>
      </c>
      <c r="J886">
        <v>10.405972903720576</v>
      </c>
      <c r="K886">
        <v>10.38982732206974</v>
      </c>
      <c r="L886">
        <v>10.38096426183148</v>
      </c>
      <c r="M886">
        <v>10.363425515980259</v>
      </c>
      <c r="N886">
        <v>10.352656943269402</v>
      </c>
      <c r="P886">
        <f t="shared" si="399"/>
        <v>228883.3468583083</v>
      </c>
      <c r="Q886">
        <f t="shared" si="400"/>
        <v>229299.1791116173</v>
      </c>
      <c r="R886">
        <f t="shared" si="401"/>
        <v>228649.14466209221</v>
      </c>
      <c r="S886">
        <f t="shared" si="402"/>
        <v>228506.14955494436</v>
      </c>
      <c r="T886">
        <f t="shared" si="403"/>
        <v>227936.88997940774</v>
      </c>
      <c r="U886">
        <f t="shared" si="404"/>
        <v>227131.21049808204</v>
      </c>
      <c r="V886">
        <f t="shared" si="428"/>
        <v>0</v>
      </c>
      <c r="W886">
        <f t="shared" si="429"/>
        <v>1</v>
      </c>
      <c r="X886">
        <f t="shared" si="430"/>
        <v>0</v>
      </c>
      <c r="Y886">
        <f t="shared" si="431"/>
        <v>0</v>
      </c>
      <c r="Z886">
        <f t="shared" si="432"/>
        <v>0</v>
      </c>
      <c r="AC886">
        <f t="shared" si="421"/>
        <v>228883.3468583083</v>
      </c>
      <c r="AD886">
        <f t="shared" si="422"/>
        <v>229299.1791116173</v>
      </c>
      <c r="AE886">
        <f t="shared" si="423"/>
        <v>228649.14466209221</v>
      </c>
      <c r="AF886">
        <f t="shared" si="424"/>
        <v>228506.14955494436</v>
      </c>
      <c r="AG886">
        <f t="shared" si="425"/>
        <v>227936.88997940774</v>
      </c>
      <c r="AH886">
        <f t="shared" si="426"/>
        <v>227131.21049808204</v>
      </c>
      <c r="AI886">
        <f t="shared" si="439"/>
        <v>229299.1791116173</v>
      </c>
    </row>
    <row r="887" spans="2:35" x14ac:dyDescent="0.3">
      <c r="B887">
        <v>844</v>
      </c>
      <c r="C887">
        <v>72630.183199999999</v>
      </c>
      <c r="D887">
        <v>71756.020600000003</v>
      </c>
      <c r="E887">
        <v>72141.037299999996</v>
      </c>
      <c r="F887">
        <v>71896.899900000004</v>
      </c>
      <c r="G887">
        <v>72224.473899999997</v>
      </c>
      <c r="H887">
        <v>72623.819000000003</v>
      </c>
      <c r="I887">
        <v>10.23406276227224</v>
      </c>
      <c r="J887">
        <v>10.221897144787935</v>
      </c>
      <c r="K887">
        <v>10.210451502601867</v>
      </c>
      <c r="L887">
        <v>10.203093654306615</v>
      </c>
      <c r="M887">
        <v>10.189736399908169</v>
      </c>
      <c r="N887">
        <v>10.177719028492383</v>
      </c>
      <c r="P887">
        <f t="shared" si="399"/>
        <v>234391.69966816719</v>
      </c>
      <c r="Q887">
        <f t="shared" si="400"/>
        <v>234900.89374363807</v>
      </c>
      <c r="R887">
        <f t="shared" si="401"/>
        <v>234172.507778056</v>
      </c>
      <c r="S887">
        <f t="shared" si="402"/>
        <v>234195.90972919844</v>
      </c>
      <c r="T887">
        <f t="shared" si="403"/>
        <v>233467.61809724505</v>
      </c>
      <c r="U887">
        <f t="shared" si="404"/>
        <v>232707.75185477146</v>
      </c>
      <c r="V887">
        <f t="shared" si="428"/>
        <v>0</v>
      </c>
      <c r="W887">
        <f t="shared" si="429"/>
        <v>1</v>
      </c>
      <c r="X887">
        <f t="shared" si="430"/>
        <v>0</v>
      </c>
      <c r="Y887">
        <f t="shared" si="431"/>
        <v>0</v>
      </c>
      <c r="Z887">
        <f t="shared" si="432"/>
        <v>0</v>
      </c>
      <c r="AA887">
        <f t="shared" ref="AA887" si="444">IF(MAX(P887:U887)=U887, 1, 0)</f>
        <v>0</v>
      </c>
      <c r="AC887">
        <f t="shared" si="421"/>
        <v>234391.69966816719</v>
      </c>
      <c r="AD887">
        <f t="shared" si="422"/>
        <v>234900.89374363807</v>
      </c>
      <c r="AE887">
        <f t="shared" si="423"/>
        <v>234172.507778056</v>
      </c>
      <c r="AF887">
        <f t="shared" si="424"/>
        <v>234195.90972919844</v>
      </c>
      <c r="AG887">
        <f t="shared" si="425"/>
        <v>233467.61809724505</v>
      </c>
      <c r="AH887">
        <f t="shared" si="426"/>
        <v>232707.75185477146</v>
      </c>
      <c r="AI887">
        <f t="shared" si="439"/>
        <v>234900.89374363807</v>
      </c>
    </row>
    <row r="888" spans="2:35" x14ac:dyDescent="0.3">
      <c r="B888">
        <v>845</v>
      </c>
      <c r="C888">
        <v>75271.126199999999</v>
      </c>
      <c r="D888">
        <v>73618.001699999993</v>
      </c>
      <c r="E888">
        <v>73659.947899999999</v>
      </c>
      <c r="F888">
        <v>73381.578699999998</v>
      </c>
      <c r="G888">
        <v>73205.009600000005</v>
      </c>
      <c r="H888">
        <v>73034.268299999996</v>
      </c>
      <c r="I888">
        <v>10.392606300076348</v>
      </c>
      <c r="J888">
        <v>10.361941370918354</v>
      </c>
      <c r="K888">
        <v>10.341421348312737</v>
      </c>
      <c r="L888">
        <v>10.335379030536453</v>
      </c>
      <c r="M888">
        <v>10.314418520946971</v>
      </c>
      <c r="N888">
        <v>10.290023615212965</v>
      </c>
      <c r="P888">
        <f t="shared" si="399"/>
        <v>236507.06280229043</v>
      </c>
      <c r="Q888">
        <f t="shared" si="400"/>
        <v>237240.23942755061</v>
      </c>
      <c r="R888">
        <f t="shared" si="401"/>
        <v>236582.69254938213</v>
      </c>
      <c r="S888">
        <f t="shared" si="402"/>
        <v>236679.79221609357</v>
      </c>
      <c r="T888">
        <f t="shared" si="403"/>
        <v>236227.54602840915</v>
      </c>
      <c r="U888">
        <f t="shared" si="404"/>
        <v>235666.44015638897</v>
      </c>
      <c r="V888">
        <f t="shared" si="428"/>
        <v>0</v>
      </c>
      <c r="W888">
        <f t="shared" si="429"/>
        <v>1</v>
      </c>
      <c r="X888">
        <f t="shared" si="430"/>
        <v>0</v>
      </c>
      <c r="Y888">
        <f t="shared" si="431"/>
        <v>0</v>
      </c>
      <c r="Z888">
        <f t="shared" si="432"/>
        <v>0</v>
      </c>
      <c r="AC888">
        <f t="shared" si="421"/>
        <v>236507.06280229043</v>
      </c>
      <c r="AD888">
        <f t="shared" si="422"/>
        <v>237240.23942755061</v>
      </c>
      <c r="AE888">
        <f t="shared" si="423"/>
        <v>236582.69254938213</v>
      </c>
      <c r="AF888">
        <f t="shared" si="424"/>
        <v>236679.79221609357</v>
      </c>
      <c r="AG888">
        <f t="shared" si="425"/>
        <v>236227.54602840915</v>
      </c>
      <c r="AH888">
        <f t="shared" si="426"/>
        <v>235666.44015638897</v>
      </c>
      <c r="AI888">
        <f t="shared" si="439"/>
        <v>237240.23942755061</v>
      </c>
    </row>
    <row r="889" spans="2:35" x14ac:dyDescent="0.3">
      <c r="B889">
        <v>846</v>
      </c>
      <c r="C889">
        <v>65668.205799999996</v>
      </c>
      <c r="D889">
        <v>65449.364000000001</v>
      </c>
      <c r="E889">
        <v>66148.344700000001</v>
      </c>
      <c r="F889">
        <v>66256.636299999998</v>
      </c>
      <c r="G889">
        <v>66930.533500000005</v>
      </c>
      <c r="H889">
        <v>67740.86</v>
      </c>
      <c r="I889">
        <v>9.7527956219783913</v>
      </c>
      <c r="J889">
        <v>9.7378941656526674</v>
      </c>
      <c r="K889">
        <v>9.7268355161569335</v>
      </c>
      <c r="L889">
        <v>9.7220556166197554</v>
      </c>
      <c r="M889">
        <v>9.7113483068564417</v>
      </c>
      <c r="N889">
        <v>9.6979764208444053</v>
      </c>
      <c r="P889">
        <f t="shared" si="399"/>
        <v>226915.66285935172</v>
      </c>
      <c r="Q889">
        <f t="shared" si="400"/>
        <v>226687.46096958005</v>
      </c>
      <c r="R889">
        <f t="shared" si="401"/>
        <v>225656.72078470798</v>
      </c>
      <c r="S889">
        <f t="shared" si="402"/>
        <v>225405.03219859267</v>
      </c>
      <c r="T889">
        <f t="shared" si="403"/>
        <v>224409.91570569325</v>
      </c>
      <c r="U889">
        <f t="shared" si="404"/>
        <v>223198.43262533215</v>
      </c>
      <c r="V889">
        <f t="shared" si="428"/>
        <v>1</v>
      </c>
      <c r="W889">
        <f t="shared" si="429"/>
        <v>0</v>
      </c>
      <c r="X889">
        <f t="shared" si="430"/>
        <v>0</v>
      </c>
      <c r="Y889">
        <f t="shared" si="431"/>
        <v>0</v>
      </c>
      <c r="Z889">
        <f t="shared" si="432"/>
        <v>0</v>
      </c>
      <c r="AA889">
        <f t="shared" ref="AA889" si="445">IF(MAX(P889:U889)=U889, 1, 0)</f>
        <v>0</v>
      </c>
      <c r="AC889">
        <f t="shared" si="421"/>
        <v>226915.66285935172</v>
      </c>
      <c r="AD889">
        <f t="shared" si="422"/>
        <v>226687.46096958005</v>
      </c>
      <c r="AE889">
        <f t="shared" si="423"/>
        <v>225656.72078470798</v>
      </c>
      <c r="AF889">
        <f t="shared" si="424"/>
        <v>225405.03219859267</v>
      </c>
      <c r="AG889">
        <f t="shared" si="425"/>
        <v>224409.91570569325</v>
      </c>
      <c r="AH889">
        <f t="shared" si="426"/>
        <v>223198.43262533215</v>
      </c>
      <c r="AI889">
        <f t="shared" si="439"/>
        <v>226915.66285935172</v>
      </c>
    </row>
    <row r="890" spans="2:35" x14ac:dyDescent="0.3">
      <c r="B890">
        <v>847</v>
      </c>
      <c r="C890">
        <v>68136.594800000006</v>
      </c>
      <c r="D890">
        <v>67829.692800000004</v>
      </c>
      <c r="E890">
        <v>68572.610700000005</v>
      </c>
      <c r="F890">
        <v>68609.303400000004</v>
      </c>
      <c r="G890">
        <v>69614.176300000006</v>
      </c>
      <c r="H890">
        <v>70263.260699999999</v>
      </c>
      <c r="I890">
        <v>10.773388163572903</v>
      </c>
      <c r="J890">
        <v>10.766541106413191</v>
      </c>
      <c r="K890">
        <v>10.76159807022902</v>
      </c>
      <c r="L890">
        <v>10.759590735388345</v>
      </c>
      <c r="M890">
        <v>10.754284705824269</v>
      </c>
      <c r="N890">
        <v>10.747920031755331</v>
      </c>
      <c r="P890">
        <f t="shared" si="399"/>
        <v>255065.05010718707</v>
      </c>
      <c r="Q890">
        <f t="shared" si="400"/>
        <v>255166.54039239569</v>
      </c>
      <c r="R890">
        <f t="shared" si="401"/>
        <v>254275.33140687057</v>
      </c>
      <c r="S890">
        <f t="shared" si="402"/>
        <v>254178.41866165036</v>
      </c>
      <c r="T890">
        <f t="shared" si="403"/>
        <v>253014.36487472808</v>
      </c>
      <c r="U890">
        <f t="shared" si="404"/>
        <v>252174.34025265998</v>
      </c>
      <c r="V890">
        <f t="shared" si="428"/>
        <v>0</v>
      </c>
      <c r="W890">
        <f t="shared" si="429"/>
        <v>1</v>
      </c>
      <c r="X890">
        <f t="shared" si="430"/>
        <v>0</v>
      </c>
      <c r="Y890">
        <f t="shared" si="431"/>
        <v>0</v>
      </c>
      <c r="Z890">
        <f t="shared" si="432"/>
        <v>0</v>
      </c>
      <c r="AC890">
        <f t="shared" si="421"/>
        <v>255065.05010718707</v>
      </c>
      <c r="AD890">
        <f t="shared" si="422"/>
        <v>255166.54039239569</v>
      </c>
      <c r="AE890">
        <f t="shared" si="423"/>
        <v>254275.33140687057</v>
      </c>
      <c r="AF890">
        <f t="shared" si="424"/>
        <v>254178.41866165036</v>
      </c>
      <c r="AG890">
        <f t="shared" si="425"/>
        <v>253014.36487472808</v>
      </c>
      <c r="AH890">
        <f t="shared" si="426"/>
        <v>252174.34025265998</v>
      </c>
      <c r="AI890">
        <f t="shared" si="439"/>
        <v>255166.54039239569</v>
      </c>
    </row>
    <row r="891" spans="2:35" x14ac:dyDescent="0.3">
      <c r="B891">
        <v>848</v>
      </c>
      <c r="C891">
        <v>78103.208100000003</v>
      </c>
      <c r="D891">
        <v>77002.485000000001</v>
      </c>
      <c r="E891">
        <v>77117.381800000003</v>
      </c>
      <c r="F891">
        <v>76967.402100000007</v>
      </c>
      <c r="G891">
        <v>77045.300300000003</v>
      </c>
      <c r="H891">
        <v>77325.804799999998</v>
      </c>
      <c r="I891">
        <v>10.788558465140989</v>
      </c>
      <c r="J891">
        <v>10.744184466348457</v>
      </c>
      <c r="K891">
        <v>10.714927455792319</v>
      </c>
      <c r="L891">
        <v>10.705385905443201</v>
      </c>
      <c r="M891">
        <v>10.684790678790439</v>
      </c>
      <c r="N891">
        <v>10.641058650722483</v>
      </c>
      <c r="P891">
        <f t="shared" si="399"/>
        <v>245553.54585422965</v>
      </c>
      <c r="Q891">
        <f t="shared" si="400"/>
        <v>245323.04899045371</v>
      </c>
      <c r="R891">
        <f t="shared" si="401"/>
        <v>244330.44187376954</v>
      </c>
      <c r="S891">
        <f t="shared" si="402"/>
        <v>244194.17506329605</v>
      </c>
      <c r="T891">
        <f t="shared" si="403"/>
        <v>243498.42006371316</v>
      </c>
      <c r="U891">
        <f t="shared" si="404"/>
        <v>241905.9547216745</v>
      </c>
      <c r="V891">
        <f t="shared" si="428"/>
        <v>1</v>
      </c>
      <c r="W891">
        <f t="shared" si="429"/>
        <v>0</v>
      </c>
      <c r="X891">
        <f t="shared" si="430"/>
        <v>0</v>
      </c>
      <c r="Y891">
        <f t="shared" si="431"/>
        <v>0</v>
      </c>
      <c r="Z891">
        <f t="shared" si="432"/>
        <v>0</v>
      </c>
      <c r="AA891">
        <f t="shared" ref="AA891" si="446">IF(MAX(P891:U891)=U891, 1, 0)</f>
        <v>0</v>
      </c>
      <c r="AC891">
        <f t="shared" si="421"/>
        <v>245553.54585422965</v>
      </c>
      <c r="AD891">
        <f t="shared" si="422"/>
        <v>245323.04899045371</v>
      </c>
      <c r="AE891">
        <f t="shared" si="423"/>
        <v>244330.44187376954</v>
      </c>
      <c r="AF891">
        <f t="shared" si="424"/>
        <v>244194.17506329605</v>
      </c>
      <c r="AG891">
        <f t="shared" si="425"/>
        <v>243498.42006371316</v>
      </c>
      <c r="AH891">
        <f t="shared" si="426"/>
        <v>241905.9547216745</v>
      </c>
      <c r="AI891">
        <f t="shared" si="439"/>
        <v>245553.54585422965</v>
      </c>
    </row>
    <row r="892" spans="2:35" x14ac:dyDescent="0.3">
      <c r="B892">
        <v>849</v>
      </c>
      <c r="C892">
        <v>72052.633600000001</v>
      </c>
      <c r="D892">
        <v>71208.004700000005</v>
      </c>
      <c r="E892">
        <v>71585.315499999997</v>
      </c>
      <c r="F892">
        <v>71467.657999999996</v>
      </c>
      <c r="G892">
        <v>71895.782600000006</v>
      </c>
      <c r="H892">
        <v>71973.708299999998</v>
      </c>
      <c r="I892">
        <v>10.514646071038925</v>
      </c>
      <c r="J892">
        <v>10.492334978442933</v>
      </c>
      <c r="K892">
        <v>10.473856732009283</v>
      </c>
      <c r="L892">
        <v>10.463673317346393</v>
      </c>
      <c r="M892">
        <v>10.446387992834445</v>
      </c>
      <c r="N892">
        <v>10.422263161587979</v>
      </c>
      <c r="P892">
        <f t="shared" si="399"/>
        <v>243386.74853116774</v>
      </c>
      <c r="Q892">
        <f t="shared" si="400"/>
        <v>243562.04465328803</v>
      </c>
      <c r="R892">
        <f t="shared" si="401"/>
        <v>242630.3864602785</v>
      </c>
      <c r="S892">
        <f t="shared" si="402"/>
        <v>242442.54152039177</v>
      </c>
      <c r="T892">
        <f t="shared" si="403"/>
        <v>241495.85718503335</v>
      </c>
      <c r="U892">
        <f t="shared" si="404"/>
        <v>240694.18654763937</v>
      </c>
      <c r="V892">
        <f t="shared" si="428"/>
        <v>0</v>
      </c>
      <c r="W892">
        <f t="shared" si="429"/>
        <v>1</v>
      </c>
      <c r="X892">
        <f t="shared" si="430"/>
        <v>0</v>
      </c>
      <c r="Y892">
        <f t="shared" si="431"/>
        <v>0</v>
      </c>
      <c r="Z892">
        <f t="shared" si="432"/>
        <v>0</v>
      </c>
      <c r="AC892">
        <f t="shared" si="421"/>
        <v>243386.74853116774</v>
      </c>
      <c r="AD892">
        <f t="shared" si="422"/>
        <v>243562.04465328803</v>
      </c>
      <c r="AE892">
        <f t="shared" si="423"/>
        <v>242630.3864602785</v>
      </c>
      <c r="AF892">
        <f t="shared" si="424"/>
        <v>242442.54152039177</v>
      </c>
      <c r="AG892">
        <f t="shared" si="425"/>
        <v>241495.85718503335</v>
      </c>
      <c r="AH892">
        <f t="shared" si="426"/>
        <v>240694.18654763937</v>
      </c>
      <c r="AI892">
        <f t="shared" si="439"/>
        <v>243562.04465328803</v>
      </c>
    </row>
    <row r="893" spans="2:35" x14ac:dyDescent="0.3">
      <c r="B893">
        <v>850</v>
      </c>
      <c r="C893">
        <v>76231.608699999997</v>
      </c>
      <c r="D893">
        <v>74540.904200000004</v>
      </c>
      <c r="E893">
        <v>74336.518800000005</v>
      </c>
      <c r="F893">
        <v>74010.999800000005</v>
      </c>
      <c r="G893">
        <v>73801.638999999996</v>
      </c>
      <c r="H893">
        <v>73434.064299999998</v>
      </c>
      <c r="I893">
        <v>11.197448002066341</v>
      </c>
      <c r="J893">
        <v>11.181340936743551</v>
      </c>
      <c r="K893">
        <v>11.167304378892769</v>
      </c>
      <c r="L893">
        <v>11.16334863690836</v>
      </c>
      <c r="M893">
        <v>11.146224078993992</v>
      </c>
      <c r="N893">
        <v>11.13140429274619</v>
      </c>
      <c r="P893">
        <f t="shared" si="399"/>
        <v>259691.83136199025</v>
      </c>
      <c r="Q893">
        <f t="shared" si="400"/>
        <v>260899.32390230655</v>
      </c>
      <c r="R893">
        <f t="shared" si="401"/>
        <v>260682.61256678303</v>
      </c>
      <c r="S893">
        <f t="shared" si="402"/>
        <v>260889.4593072508</v>
      </c>
      <c r="T893">
        <f t="shared" si="403"/>
        <v>260585.08336981977</v>
      </c>
      <c r="U893">
        <f t="shared" si="404"/>
        <v>260508.06448238567</v>
      </c>
      <c r="V893">
        <f t="shared" si="428"/>
        <v>0</v>
      </c>
      <c r="W893">
        <f t="shared" si="429"/>
        <v>1</v>
      </c>
      <c r="X893">
        <f t="shared" si="430"/>
        <v>0</v>
      </c>
      <c r="Y893">
        <f t="shared" si="431"/>
        <v>0</v>
      </c>
      <c r="Z893">
        <f t="shared" si="432"/>
        <v>0</v>
      </c>
      <c r="AA893">
        <f t="shared" ref="AA893" si="447">IF(MAX(P893:U893)=U893, 1, 0)</f>
        <v>0</v>
      </c>
      <c r="AC893">
        <f t="shared" si="421"/>
        <v>259691.83136199025</v>
      </c>
      <c r="AD893">
        <f t="shared" si="422"/>
        <v>260899.32390230655</v>
      </c>
      <c r="AE893">
        <f t="shared" si="423"/>
        <v>260682.61256678303</v>
      </c>
      <c r="AF893">
        <f t="shared" si="424"/>
        <v>260889.4593072508</v>
      </c>
      <c r="AG893">
        <f t="shared" si="425"/>
        <v>260585.08336981977</v>
      </c>
      <c r="AH893">
        <f t="shared" si="426"/>
        <v>260508.06448238567</v>
      </c>
      <c r="AI893">
        <f t="shared" si="439"/>
        <v>260899.32390230655</v>
      </c>
    </row>
    <row r="894" spans="2:35" x14ac:dyDescent="0.3">
      <c r="B894">
        <v>851</v>
      </c>
      <c r="C894">
        <v>74553.478499999997</v>
      </c>
      <c r="D894">
        <v>73909.506299999994</v>
      </c>
      <c r="E894">
        <v>73954.247300000003</v>
      </c>
      <c r="F894">
        <v>73943.686000000002</v>
      </c>
      <c r="G894">
        <v>74218.674799999993</v>
      </c>
      <c r="H894">
        <v>74661.615999999995</v>
      </c>
      <c r="I894">
        <v>8.4846140936935441</v>
      </c>
      <c r="J894">
        <v>8.4516446136774483</v>
      </c>
      <c r="K894">
        <v>8.415584531789758</v>
      </c>
      <c r="L894">
        <v>8.4156390638255054</v>
      </c>
      <c r="M894">
        <v>8.3801293299574393</v>
      </c>
      <c r="N894">
        <v>8.3511963510441412</v>
      </c>
      <c r="P894">
        <f t="shared" si="399"/>
        <v>179984.94431080631</v>
      </c>
      <c r="Q894">
        <f t="shared" si="400"/>
        <v>179639.83211032348</v>
      </c>
      <c r="R894">
        <f t="shared" si="401"/>
        <v>178513.28865369275</v>
      </c>
      <c r="S894">
        <f t="shared" si="402"/>
        <v>178525.48591476516</v>
      </c>
      <c r="T894">
        <f t="shared" si="403"/>
        <v>177185.20509872318</v>
      </c>
      <c r="U894">
        <f t="shared" si="404"/>
        <v>175874.27453132422</v>
      </c>
      <c r="V894">
        <f t="shared" si="428"/>
        <v>1</v>
      </c>
      <c r="W894">
        <f t="shared" si="429"/>
        <v>0</v>
      </c>
      <c r="X894">
        <f t="shared" si="430"/>
        <v>0</v>
      </c>
      <c r="Y894">
        <f t="shared" si="431"/>
        <v>0</v>
      </c>
      <c r="Z894">
        <f t="shared" si="432"/>
        <v>0</v>
      </c>
      <c r="AC894">
        <f t="shared" si="421"/>
        <v>179984.94431080631</v>
      </c>
      <c r="AD894">
        <f t="shared" si="422"/>
        <v>179639.83211032348</v>
      </c>
      <c r="AE894">
        <f t="shared" si="423"/>
        <v>178513.28865369275</v>
      </c>
      <c r="AF894">
        <f t="shared" si="424"/>
        <v>178525.48591476516</v>
      </c>
      <c r="AG894">
        <f t="shared" si="425"/>
        <v>177185.20509872318</v>
      </c>
      <c r="AH894">
        <f t="shared" si="426"/>
        <v>175874.27453132422</v>
      </c>
      <c r="AI894">
        <f t="shared" si="439"/>
        <v>179984.94431080631</v>
      </c>
    </row>
    <row r="895" spans="2:35" x14ac:dyDescent="0.3">
      <c r="B895">
        <v>852</v>
      </c>
      <c r="C895">
        <v>84350.364000000001</v>
      </c>
      <c r="D895">
        <v>82499.827099999995</v>
      </c>
      <c r="E895">
        <v>81947.034899999999</v>
      </c>
      <c r="F895">
        <v>81493.014999999999</v>
      </c>
      <c r="G895">
        <v>81070.636299999998</v>
      </c>
      <c r="H895">
        <v>80638.7598</v>
      </c>
      <c r="I895">
        <v>10.361179238006988</v>
      </c>
      <c r="J895">
        <v>10.330173387975019</v>
      </c>
      <c r="K895">
        <v>10.300732186531972</v>
      </c>
      <c r="L895">
        <v>10.287150038364702</v>
      </c>
      <c r="M895">
        <v>10.260890039607386</v>
      </c>
      <c r="N895">
        <v>10.235746589060241</v>
      </c>
      <c r="P895">
        <f t="shared" si="399"/>
        <v>226485.01314020966</v>
      </c>
      <c r="Q895">
        <f t="shared" si="400"/>
        <v>227405.37453925057</v>
      </c>
      <c r="R895">
        <f t="shared" si="401"/>
        <v>227074.93069595916</v>
      </c>
      <c r="S895">
        <f t="shared" si="402"/>
        <v>227121.48615094105</v>
      </c>
      <c r="T895">
        <f t="shared" si="403"/>
        <v>226756.06488822156</v>
      </c>
      <c r="U895">
        <f t="shared" si="404"/>
        <v>226433.63787180727</v>
      </c>
      <c r="V895">
        <f t="shared" si="428"/>
        <v>0</v>
      </c>
      <c r="W895">
        <f t="shared" si="429"/>
        <v>1</v>
      </c>
      <c r="X895">
        <f t="shared" si="430"/>
        <v>0</v>
      </c>
      <c r="Y895">
        <f t="shared" si="431"/>
        <v>0</v>
      </c>
      <c r="Z895">
        <f t="shared" si="432"/>
        <v>0</v>
      </c>
      <c r="AA895">
        <f t="shared" ref="AA895" si="448">IF(MAX(P895:U895)=U895, 1, 0)</f>
        <v>0</v>
      </c>
      <c r="AC895">
        <f t="shared" si="421"/>
        <v>226485.01314020966</v>
      </c>
      <c r="AD895">
        <f t="shared" si="422"/>
        <v>227405.37453925057</v>
      </c>
      <c r="AE895">
        <f t="shared" si="423"/>
        <v>227074.93069595916</v>
      </c>
      <c r="AF895">
        <f t="shared" si="424"/>
        <v>227121.48615094105</v>
      </c>
      <c r="AG895">
        <f t="shared" si="425"/>
        <v>226756.06488822156</v>
      </c>
      <c r="AH895">
        <f t="shared" si="426"/>
        <v>226433.63787180727</v>
      </c>
      <c r="AI895">
        <f t="shared" si="439"/>
        <v>227405.37453925057</v>
      </c>
    </row>
    <row r="896" spans="2:35" x14ac:dyDescent="0.3">
      <c r="B896">
        <v>853</v>
      </c>
      <c r="C896">
        <v>86250.916599999997</v>
      </c>
      <c r="D896">
        <v>86362.491800000003</v>
      </c>
      <c r="E896">
        <v>87293.460699999996</v>
      </c>
      <c r="F896">
        <v>87445.761899999998</v>
      </c>
      <c r="G896">
        <v>88624.890899999999</v>
      </c>
      <c r="H896">
        <v>89586.728799999997</v>
      </c>
      <c r="I896">
        <v>10.061907169539539</v>
      </c>
      <c r="J896">
        <v>10.034244022651471</v>
      </c>
      <c r="K896">
        <v>10.008828377893877</v>
      </c>
      <c r="L896">
        <v>9.9987871356832745</v>
      </c>
      <c r="M896">
        <v>9.977547781065141</v>
      </c>
      <c r="N896">
        <v>9.9455513466648124</v>
      </c>
      <c r="P896">
        <f t="shared" si="399"/>
        <v>215606.29848618619</v>
      </c>
      <c r="Q896">
        <f t="shared" si="400"/>
        <v>214664.8288795441</v>
      </c>
      <c r="R896">
        <f t="shared" si="401"/>
        <v>212971.39063681633</v>
      </c>
      <c r="S896">
        <f t="shared" si="402"/>
        <v>212517.85217049823</v>
      </c>
      <c r="T896">
        <f t="shared" si="403"/>
        <v>210701.54253195424</v>
      </c>
      <c r="U896">
        <f t="shared" si="404"/>
        <v>208779.81159994437</v>
      </c>
      <c r="V896">
        <f t="shared" si="428"/>
        <v>1</v>
      </c>
      <c r="W896">
        <f t="shared" si="429"/>
        <v>0</v>
      </c>
      <c r="X896">
        <f t="shared" si="430"/>
        <v>0</v>
      </c>
      <c r="Y896">
        <f t="shared" si="431"/>
        <v>0</v>
      </c>
      <c r="Z896">
        <f t="shared" si="432"/>
        <v>0</v>
      </c>
      <c r="AC896">
        <f t="shared" si="421"/>
        <v>215606.29848618619</v>
      </c>
      <c r="AD896">
        <f t="shared" si="422"/>
        <v>214664.8288795441</v>
      </c>
      <c r="AE896">
        <f t="shared" si="423"/>
        <v>212971.39063681633</v>
      </c>
      <c r="AF896">
        <f t="shared" si="424"/>
        <v>212517.85217049823</v>
      </c>
      <c r="AG896">
        <f t="shared" si="425"/>
        <v>210701.54253195424</v>
      </c>
      <c r="AH896">
        <f t="shared" si="426"/>
        <v>208779.81159994437</v>
      </c>
      <c r="AI896">
        <f t="shared" si="439"/>
        <v>215606.29848618619</v>
      </c>
    </row>
    <row r="897" spans="2:35" x14ac:dyDescent="0.3">
      <c r="B897">
        <v>854</v>
      </c>
      <c r="C897">
        <v>78066.665599999993</v>
      </c>
      <c r="D897">
        <v>77362.640199999994</v>
      </c>
      <c r="E897">
        <v>77682.063699999999</v>
      </c>
      <c r="F897">
        <v>77611.972699999998</v>
      </c>
      <c r="G897">
        <v>78206.579599999997</v>
      </c>
      <c r="H897">
        <v>78532.210800000001</v>
      </c>
      <c r="I897">
        <v>11.115544812783526</v>
      </c>
      <c r="J897">
        <v>11.092215935098913</v>
      </c>
      <c r="K897">
        <v>11.079543493414073</v>
      </c>
      <c r="L897">
        <v>11.0743162161301</v>
      </c>
      <c r="M897">
        <v>11.052266528638764</v>
      </c>
      <c r="N897">
        <v>11.038338041470668</v>
      </c>
      <c r="P897">
        <f t="shared" ref="P897:P960" si="449">Threshold*I897-C897</f>
        <v>255399.67878350575</v>
      </c>
      <c r="Q897">
        <f t="shared" ref="Q897:Q960" si="450">Threshold*J897-D897</f>
        <v>255403.83785296741</v>
      </c>
      <c r="R897">
        <f t="shared" ref="R897:R960" si="451">Threshold*K897-E897</f>
        <v>254704.24110242218</v>
      </c>
      <c r="S897">
        <f t="shared" ref="S897:S960" si="452">Threshold*L897-F897</f>
        <v>254617.51378390304</v>
      </c>
      <c r="T897">
        <f t="shared" ref="T897:T960" si="453">Threshold*M897-G897</f>
        <v>253361.41625916294</v>
      </c>
      <c r="U897">
        <f t="shared" ref="U897:U960" si="454">Threshold*N897-H897</f>
        <v>252617.93044412002</v>
      </c>
      <c r="V897">
        <f t="shared" si="428"/>
        <v>0</v>
      </c>
      <c r="W897">
        <f t="shared" si="429"/>
        <v>1</v>
      </c>
      <c r="X897">
        <f t="shared" si="430"/>
        <v>0</v>
      </c>
      <c r="Y897">
        <f t="shared" si="431"/>
        <v>0</v>
      </c>
      <c r="Z897">
        <f t="shared" si="432"/>
        <v>0</v>
      </c>
      <c r="AA897">
        <f t="shared" ref="AA897" si="455">IF(MAX(P897:U897)=U897, 1, 0)</f>
        <v>0</v>
      </c>
      <c r="AC897">
        <f t="shared" si="421"/>
        <v>255399.67878350575</v>
      </c>
      <c r="AD897">
        <f t="shared" si="422"/>
        <v>255403.83785296741</v>
      </c>
      <c r="AE897">
        <f t="shared" si="423"/>
        <v>254704.24110242218</v>
      </c>
      <c r="AF897">
        <f t="shared" si="424"/>
        <v>254617.51378390304</v>
      </c>
      <c r="AG897">
        <f t="shared" si="425"/>
        <v>253361.41625916294</v>
      </c>
      <c r="AH897">
        <f t="shared" si="426"/>
        <v>252617.93044412002</v>
      </c>
      <c r="AI897">
        <f t="shared" si="439"/>
        <v>255403.83785296741</v>
      </c>
    </row>
    <row r="898" spans="2:35" x14ac:dyDescent="0.3">
      <c r="B898">
        <v>855</v>
      </c>
      <c r="C898">
        <v>63302.228799999997</v>
      </c>
      <c r="D898">
        <v>61946.472800000003</v>
      </c>
      <c r="E898">
        <v>61865.233200000002</v>
      </c>
      <c r="F898">
        <v>61640.235000000001</v>
      </c>
      <c r="G898">
        <v>61460.003700000001</v>
      </c>
      <c r="H898">
        <v>61472.222000000002</v>
      </c>
      <c r="I898">
        <v>9.5385953946733633</v>
      </c>
      <c r="J898">
        <v>9.5031166036901773</v>
      </c>
      <c r="K898">
        <v>9.4759258172332608</v>
      </c>
      <c r="L898">
        <v>9.4624180910416751</v>
      </c>
      <c r="M898">
        <v>9.4258507711573589</v>
      </c>
      <c r="N898">
        <v>9.4024660764457177</v>
      </c>
      <c r="P898">
        <f t="shared" si="449"/>
        <v>222855.63304020092</v>
      </c>
      <c r="Q898">
        <f t="shared" si="450"/>
        <v>223147.02531070536</v>
      </c>
      <c r="R898">
        <f t="shared" si="451"/>
        <v>222412.54131699778</v>
      </c>
      <c r="S898">
        <f t="shared" si="452"/>
        <v>222232.30773125024</v>
      </c>
      <c r="T898">
        <f t="shared" si="453"/>
        <v>221315.51943472074</v>
      </c>
      <c r="U898">
        <f t="shared" si="454"/>
        <v>220601.76029337151</v>
      </c>
      <c r="V898">
        <f t="shared" si="428"/>
        <v>0</v>
      </c>
      <c r="W898">
        <f t="shared" si="429"/>
        <v>1</v>
      </c>
      <c r="X898">
        <f t="shared" si="430"/>
        <v>0</v>
      </c>
      <c r="Y898">
        <f t="shared" si="431"/>
        <v>0</v>
      </c>
      <c r="Z898">
        <f t="shared" si="432"/>
        <v>0</v>
      </c>
      <c r="AC898">
        <f t="shared" si="421"/>
        <v>222855.63304020092</v>
      </c>
      <c r="AD898">
        <f t="shared" si="422"/>
        <v>223147.02531070536</v>
      </c>
      <c r="AE898">
        <f t="shared" si="423"/>
        <v>222412.54131699778</v>
      </c>
      <c r="AF898">
        <f t="shared" si="424"/>
        <v>222232.30773125024</v>
      </c>
      <c r="AG898">
        <f t="shared" si="425"/>
        <v>221315.51943472074</v>
      </c>
      <c r="AH898">
        <f t="shared" si="426"/>
        <v>220601.76029337151</v>
      </c>
      <c r="AI898">
        <f t="shared" si="439"/>
        <v>223147.02531070536</v>
      </c>
    </row>
    <row r="899" spans="2:35" x14ac:dyDescent="0.3">
      <c r="B899">
        <v>856</v>
      </c>
      <c r="C899">
        <v>70697.229099999997</v>
      </c>
      <c r="D899">
        <v>70135.931500000006</v>
      </c>
      <c r="E899">
        <v>70769.178899999999</v>
      </c>
      <c r="F899">
        <v>70718.079899999997</v>
      </c>
      <c r="G899">
        <v>71314.8269</v>
      </c>
      <c r="H899">
        <v>71995.207399999999</v>
      </c>
      <c r="I899">
        <v>10.365626877399357</v>
      </c>
      <c r="J899">
        <v>10.323648986721034</v>
      </c>
      <c r="K899">
        <v>10.292688975790037</v>
      </c>
      <c r="L899">
        <v>10.284893210106805</v>
      </c>
      <c r="M899">
        <v>10.257959091895154</v>
      </c>
      <c r="N899">
        <v>10.222905699525946</v>
      </c>
      <c r="P899">
        <f t="shared" si="449"/>
        <v>240271.57722198073</v>
      </c>
      <c r="Q899">
        <f t="shared" si="450"/>
        <v>239573.53810163104</v>
      </c>
      <c r="R899">
        <f t="shared" si="451"/>
        <v>238011.49037370115</v>
      </c>
      <c r="S899">
        <f t="shared" si="452"/>
        <v>237828.71640320413</v>
      </c>
      <c r="T899">
        <f t="shared" si="453"/>
        <v>236423.94585685467</v>
      </c>
      <c r="U899">
        <f t="shared" si="454"/>
        <v>234691.96358577837</v>
      </c>
      <c r="V899">
        <f t="shared" si="428"/>
        <v>1</v>
      </c>
      <c r="W899">
        <f t="shared" si="429"/>
        <v>0</v>
      </c>
      <c r="X899">
        <f t="shared" si="430"/>
        <v>0</v>
      </c>
      <c r="Y899">
        <f t="shared" si="431"/>
        <v>0</v>
      </c>
      <c r="Z899">
        <f t="shared" si="432"/>
        <v>0</v>
      </c>
      <c r="AA899">
        <f t="shared" ref="AA899" si="456">IF(MAX(P899:U899)=U899, 1, 0)</f>
        <v>0</v>
      </c>
      <c r="AC899">
        <f t="shared" si="421"/>
        <v>240271.57722198073</v>
      </c>
      <c r="AD899">
        <f t="shared" si="422"/>
        <v>239573.53810163104</v>
      </c>
      <c r="AE899">
        <f t="shared" si="423"/>
        <v>238011.49037370115</v>
      </c>
      <c r="AF899">
        <f t="shared" si="424"/>
        <v>237828.71640320413</v>
      </c>
      <c r="AG899">
        <f t="shared" si="425"/>
        <v>236423.94585685467</v>
      </c>
      <c r="AH899">
        <f t="shared" si="426"/>
        <v>234691.96358577837</v>
      </c>
      <c r="AI899">
        <f t="shared" si="439"/>
        <v>240271.57722198073</v>
      </c>
    </row>
    <row r="900" spans="2:35" x14ac:dyDescent="0.3">
      <c r="B900">
        <v>857</v>
      </c>
      <c r="C900">
        <v>79947.1783</v>
      </c>
      <c r="D900">
        <v>79796.952300000004</v>
      </c>
      <c r="E900">
        <v>80554.942299999995</v>
      </c>
      <c r="F900">
        <v>80451.806299999997</v>
      </c>
      <c r="G900">
        <v>81279.097999999998</v>
      </c>
      <c r="H900">
        <v>82009.478300000002</v>
      </c>
      <c r="I900">
        <v>10.184053655053891</v>
      </c>
      <c r="J900">
        <v>10.14797050945165</v>
      </c>
      <c r="K900">
        <v>10.118372511133426</v>
      </c>
      <c r="L900">
        <v>10.10955721441147</v>
      </c>
      <c r="M900">
        <v>10.085460924616065</v>
      </c>
      <c r="N900">
        <v>10.058131815430642</v>
      </c>
      <c r="P900">
        <f t="shared" si="449"/>
        <v>225574.43135161672</v>
      </c>
      <c r="Q900">
        <f t="shared" si="450"/>
        <v>224642.16298354947</v>
      </c>
      <c r="R900">
        <f t="shared" si="451"/>
        <v>222996.23303400277</v>
      </c>
      <c r="S900">
        <f t="shared" si="452"/>
        <v>222834.91013234411</v>
      </c>
      <c r="T900">
        <f t="shared" si="453"/>
        <v>221284.72973848192</v>
      </c>
      <c r="U900">
        <f t="shared" si="454"/>
        <v>219734.47616291925</v>
      </c>
      <c r="V900">
        <f t="shared" si="428"/>
        <v>1</v>
      </c>
      <c r="W900">
        <f t="shared" si="429"/>
        <v>0</v>
      </c>
      <c r="X900">
        <f t="shared" si="430"/>
        <v>0</v>
      </c>
      <c r="Y900">
        <f t="shared" si="431"/>
        <v>0</v>
      </c>
      <c r="Z900">
        <f t="shared" si="432"/>
        <v>0</v>
      </c>
      <c r="AC900">
        <f t="shared" si="421"/>
        <v>225574.43135161672</v>
      </c>
      <c r="AD900">
        <f t="shared" si="422"/>
        <v>224642.16298354947</v>
      </c>
      <c r="AE900">
        <f t="shared" si="423"/>
        <v>222996.23303400277</v>
      </c>
      <c r="AF900">
        <f t="shared" si="424"/>
        <v>222834.91013234411</v>
      </c>
      <c r="AG900">
        <f t="shared" si="425"/>
        <v>221284.72973848192</v>
      </c>
      <c r="AH900">
        <f t="shared" si="426"/>
        <v>219734.47616291925</v>
      </c>
      <c r="AI900">
        <f t="shared" si="439"/>
        <v>225574.43135161672</v>
      </c>
    </row>
    <row r="901" spans="2:35" x14ac:dyDescent="0.3">
      <c r="B901">
        <v>858</v>
      </c>
      <c r="C901">
        <v>71491.630799999999</v>
      </c>
      <c r="D901">
        <v>70991.913</v>
      </c>
      <c r="E901">
        <v>71632.372900000002</v>
      </c>
      <c r="F901">
        <v>71566.826100000006</v>
      </c>
      <c r="G901">
        <v>72101.275999999998</v>
      </c>
      <c r="H901">
        <v>72797.1054</v>
      </c>
      <c r="I901">
        <v>11.378469672075033</v>
      </c>
      <c r="J901">
        <v>11.331137477812739</v>
      </c>
      <c r="K901">
        <v>11.298668477299646</v>
      </c>
      <c r="L901">
        <v>11.294678653983654</v>
      </c>
      <c r="M901">
        <v>11.249153842015133</v>
      </c>
      <c r="N901">
        <v>11.213679595291305</v>
      </c>
      <c r="P901">
        <f t="shared" si="449"/>
        <v>269862.45936225099</v>
      </c>
      <c r="Q901">
        <f t="shared" si="450"/>
        <v>268942.21133438218</v>
      </c>
      <c r="R901">
        <f t="shared" si="451"/>
        <v>267327.68141898938</v>
      </c>
      <c r="S901">
        <f t="shared" si="452"/>
        <v>267273.5335195096</v>
      </c>
      <c r="T901">
        <f t="shared" si="453"/>
        <v>265373.339260454</v>
      </c>
      <c r="U901">
        <f t="shared" si="454"/>
        <v>263613.28245873918</v>
      </c>
      <c r="V901">
        <f t="shared" si="428"/>
        <v>1</v>
      </c>
      <c r="W901">
        <f t="shared" si="429"/>
        <v>0</v>
      </c>
      <c r="X901">
        <f t="shared" si="430"/>
        <v>0</v>
      </c>
      <c r="Y901">
        <f t="shared" si="431"/>
        <v>0</v>
      </c>
      <c r="Z901">
        <f t="shared" si="432"/>
        <v>0</v>
      </c>
      <c r="AA901">
        <f t="shared" ref="AA901" si="457">IF(MAX(P901:U901)=U901, 1, 0)</f>
        <v>0</v>
      </c>
      <c r="AC901">
        <f t="shared" si="421"/>
        <v>269862.45936225099</v>
      </c>
      <c r="AD901">
        <f t="shared" si="422"/>
        <v>268942.21133438218</v>
      </c>
      <c r="AE901">
        <f t="shared" si="423"/>
        <v>267327.68141898938</v>
      </c>
      <c r="AF901">
        <f t="shared" si="424"/>
        <v>267273.5335195096</v>
      </c>
      <c r="AG901">
        <f t="shared" si="425"/>
        <v>265373.339260454</v>
      </c>
      <c r="AH901">
        <f t="shared" si="426"/>
        <v>263613.28245873918</v>
      </c>
      <c r="AI901">
        <f t="shared" si="439"/>
        <v>269862.45936225099</v>
      </c>
    </row>
    <row r="902" spans="2:35" x14ac:dyDescent="0.3">
      <c r="B902">
        <v>859</v>
      </c>
      <c r="C902">
        <v>72256.426200000002</v>
      </c>
      <c r="D902">
        <v>71440.261400000003</v>
      </c>
      <c r="E902">
        <v>71645.252699999997</v>
      </c>
      <c r="F902">
        <v>71813.251600000003</v>
      </c>
      <c r="G902">
        <v>72094.332200000004</v>
      </c>
      <c r="H902">
        <v>72434.1106</v>
      </c>
      <c r="I902">
        <v>10.008527701672209</v>
      </c>
      <c r="J902">
        <v>9.9860115594656769</v>
      </c>
      <c r="K902">
        <v>9.9703787598394538</v>
      </c>
      <c r="L902">
        <v>9.9634706431236637</v>
      </c>
      <c r="M902">
        <v>9.9470016841757651</v>
      </c>
      <c r="N902">
        <v>9.9259419242797708</v>
      </c>
      <c r="P902">
        <f t="shared" si="449"/>
        <v>227999.40485016629</v>
      </c>
      <c r="Q902">
        <f t="shared" si="450"/>
        <v>228140.08538397029</v>
      </c>
      <c r="R902">
        <f t="shared" si="451"/>
        <v>227466.1100951836</v>
      </c>
      <c r="S902">
        <f t="shared" si="452"/>
        <v>227090.86769370991</v>
      </c>
      <c r="T902">
        <f t="shared" si="453"/>
        <v>226315.71832527296</v>
      </c>
      <c r="U902">
        <f t="shared" si="454"/>
        <v>225344.14712839312</v>
      </c>
      <c r="V902">
        <f t="shared" si="428"/>
        <v>0</v>
      </c>
      <c r="W902">
        <f t="shared" si="429"/>
        <v>1</v>
      </c>
      <c r="X902">
        <f t="shared" si="430"/>
        <v>0</v>
      </c>
      <c r="Y902">
        <f t="shared" si="431"/>
        <v>0</v>
      </c>
      <c r="Z902">
        <f t="shared" si="432"/>
        <v>0</v>
      </c>
      <c r="AC902">
        <f t="shared" si="421"/>
        <v>227999.40485016629</v>
      </c>
      <c r="AD902">
        <f t="shared" si="422"/>
        <v>228140.08538397029</v>
      </c>
      <c r="AE902">
        <f t="shared" si="423"/>
        <v>227466.1100951836</v>
      </c>
      <c r="AF902">
        <f t="shared" si="424"/>
        <v>227090.86769370991</v>
      </c>
      <c r="AG902">
        <f t="shared" si="425"/>
        <v>226315.71832527296</v>
      </c>
      <c r="AH902">
        <f t="shared" si="426"/>
        <v>225344.14712839312</v>
      </c>
      <c r="AI902">
        <f t="shared" si="439"/>
        <v>228140.08538397029</v>
      </c>
    </row>
    <row r="903" spans="2:35" x14ac:dyDescent="0.3">
      <c r="B903">
        <v>860</v>
      </c>
      <c r="C903">
        <v>82457.790900000007</v>
      </c>
      <c r="D903">
        <v>81438.744999999995</v>
      </c>
      <c r="E903">
        <v>81893.069000000003</v>
      </c>
      <c r="F903">
        <v>81646.242800000007</v>
      </c>
      <c r="G903">
        <v>82143.939899999998</v>
      </c>
      <c r="H903">
        <v>82259.537299999996</v>
      </c>
      <c r="I903">
        <v>9.9707955281542198</v>
      </c>
      <c r="J903">
        <v>9.9517525806917284</v>
      </c>
      <c r="K903">
        <v>9.9385053961675069</v>
      </c>
      <c r="L903">
        <v>9.9345979933023756</v>
      </c>
      <c r="M903">
        <v>9.9232407115596359</v>
      </c>
      <c r="N903">
        <v>9.9063646747244096</v>
      </c>
      <c r="P903">
        <f t="shared" si="449"/>
        <v>216666.0749446266</v>
      </c>
      <c r="Q903">
        <f t="shared" si="450"/>
        <v>217113.83242075186</v>
      </c>
      <c r="R903">
        <f t="shared" si="451"/>
        <v>216262.09288502519</v>
      </c>
      <c r="S903">
        <f t="shared" si="452"/>
        <v>216391.69699907128</v>
      </c>
      <c r="T903">
        <f t="shared" si="453"/>
        <v>215553.2814467891</v>
      </c>
      <c r="U903">
        <f t="shared" si="454"/>
        <v>214931.40294173229</v>
      </c>
      <c r="V903">
        <f t="shared" si="428"/>
        <v>0</v>
      </c>
      <c r="W903">
        <f t="shared" si="429"/>
        <v>1</v>
      </c>
      <c r="X903">
        <f t="shared" si="430"/>
        <v>0</v>
      </c>
      <c r="Y903">
        <f t="shared" si="431"/>
        <v>0</v>
      </c>
      <c r="Z903">
        <f t="shared" si="432"/>
        <v>0</v>
      </c>
      <c r="AA903">
        <f t="shared" ref="AA903" si="458">IF(MAX(P903:U903)=U903, 1, 0)</f>
        <v>0</v>
      </c>
      <c r="AC903">
        <f t="shared" si="421"/>
        <v>216666.0749446266</v>
      </c>
      <c r="AD903">
        <f t="shared" si="422"/>
        <v>217113.83242075186</v>
      </c>
      <c r="AE903">
        <f t="shared" si="423"/>
        <v>216262.09288502519</v>
      </c>
      <c r="AF903">
        <f t="shared" si="424"/>
        <v>216391.69699907128</v>
      </c>
      <c r="AG903">
        <f t="shared" si="425"/>
        <v>215553.2814467891</v>
      </c>
      <c r="AH903">
        <f t="shared" si="426"/>
        <v>214931.40294173229</v>
      </c>
      <c r="AI903">
        <f t="shared" si="439"/>
        <v>217113.83242075186</v>
      </c>
    </row>
    <row r="904" spans="2:35" x14ac:dyDescent="0.3">
      <c r="B904">
        <v>861</v>
      </c>
      <c r="C904">
        <v>71604.148100000006</v>
      </c>
      <c r="D904">
        <v>70514.067599999995</v>
      </c>
      <c r="E904">
        <v>70733.631899999993</v>
      </c>
      <c r="F904">
        <v>70481.415299999993</v>
      </c>
      <c r="G904">
        <v>70713.232300000003</v>
      </c>
      <c r="H904">
        <v>70865.700899999996</v>
      </c>
      <c r="I904">
        <v>9.0962508814550809</v>
      </c>
      <c r="J904">
        <v>9.0806972542300777</v>
      </c>
      <c r="K904">
        <v>9.0724772958842763</v>
      </c>
      <c r="L904">
        <v>9.0640998405560289</v>
      </c>
      <c r="M904">
        <v>9.0562298009619155</v>
      </c>
      <c r="N904">
        <v>9.040216307761014</v>
      </c>
      <c r="P904">
        <f t="shared" si="449"/>
        <v>201283.37834365241</v>
      </c>
      <c r="Q904">
        <f t="shared" si="450"/>
        <v>201906.85002690234</v>
      </c>
      <c r="R904">
        <f t="shared" si="451"/>
        <v>201440.68697652832</v>
      </c>
      <c r="S904">
        <f t="shared" si="452"/>
        <v>201441.57991668087</v>
      </c>
      <c r="T904">
        <f t="shared" si="453"/>
        <v>200973.66172885746</v>
      </c>
      <c r="U904">
        <f t="shared" si="454"/>
        <v>200340.78833283042</v>
      </c>
      <c r="V904">
        <f t="shared" si="428"/>
        <v>0</v>
      </c>
      <c r="W904">
        <f t="shared" si="429"/>
        <v>1</v>
      </c>
      <c r="X904">
        <f t="shared" si="430"/>
        <v>0</v>
      </c>
      <c r="Y904">
        <f t="shared" si="431"/>
        <v>0</v>
      </c>
      <c r="Z904">
        <f t="shared" si="432"/>
        <v>0</v>
      </c>
      <c r="AC904">
        <f t="shared" si="421"/>
        <v>201283.37834365241</v>
      </c>
      <c r="AD904">
        <f t="shared" si="422"/>
        <v>201906.85002690234</v>
      </c>
      <c r="AE904">
        <f t="shared" si="423"/>
        <v>201440.68697652832</v>
      </c>
      <c r="AF904">
        <f t="shared" si="424"/>
        <v>201441.57991668087</v>
      </c>
      <c r="AG904">
        <f t="shared" si="425"/>
        <v>200973.66172885746</v>
      </c>
      <c r="AH904">
        <f t="shared" si="426"/>
        <v>200340.78833283042</v>
      </c>
      <c r="AI904">
        <f t="shared" si="439"/>
        <v>201906.85002690234</v>
      </c>
    </row>
    <row r="905" spans="2:35" x14ac:dyDescent="0.3">
      <c r="B905">
        <v>862</v>
      </c>
      <c r="C905">
        <v>77836.406600000002</v>
      </c>
      <c r="D905">
        <v>76304.753800000006</v>
      </c>
      <c r="E905">
        <v>76048.120299999995</v>
      </c>
      <c r="F905">
        <v>75656.7978</v>
      </c>
      <c r="G905">
        <v>75344.213600000003</v>
      </c>
      <c r="H905">
        <v>75204.711500000005</v>
      </c>
      <c r="I905">
        <v>10.049437629147821</v>
      </c>
      <c r="J905">
        <v>10.007188386427062</v>
      </c>
      <c r="K905">
        <v>9.9848880684107897</v>
      </c>
      <c r="L905">
        <v>9.9688835064873853</v>
      </c>
      <c r="M905">
        <v>9.9366404597967382</v>
      </c>
      <c r="N905">
        <v>9.9085884955163035</v>
      </c>
      <c r="P905">
        <f t="shared" si="449"/>
        <v>223646.72227443464</v>
      </c>
      <c r="Q905">
        <f t="shared" si="450"/>
        <v>223910.89779281185</v>
      </c>
      <c r="R905">
        <f t="shared" si="451"/>
        <v>223498.52175232366</v>
      </c>
      <c r="S905">
        <f t="shared" si="452"/>
        <v>223409.70739462157</v>
      </c>
      <c r="T905">
        <f t="shared" si="453"/>
        <v>222755.00019390212</v>
      </c>
      <c r="U905">
        <f t="shared" si="454"/>
        <v>222052.9433654891</v>
      </c>
      <c r="V905">
        <f t="shared" si="428"/>
        <v>0</v>
      </c>
      <c r="W905">
        <f t="shared" si="429"/>
        <v>1</v>
      </c>
      <c r="X905">
        <f t="shared" si="430"/>
        <v>0</v>
      </c>
      <c r="Y905">
        <f t="shared" si="431"/>
        <v>0</v>
      </c>
      <c r="Z905">
        <f t="shared" si="432"/>
        <v>0</v>
      </c>
      <c r="AA905">
        <f t="shared" ref="AA905" si="459">IF(MAX(P905:U905)=U905, 1, 0)</f>
        <v>0</v>
      </c>
      <c r="AC905">
        <f t="shared" si="421"/>
        <v>223646.72227443464</v>
      </c>
      <c r="AD905">
        <f t="shared" si="422"/>
        <v>223910.89779281185</v>
      </c>
      <c r="AE905">
        <f t="shared" si="423"/>
        <v>223498.52175232366</v>
      </c>
      <c r="AF905">
        <f t="shared" si="424"/>
        <v>223409.70739462157</v>
      </c>
      <c r="AG905">
        <f t="shared" si="425"/>
        <v>222755.00019390212</v>
      </c>
      <c r="AH905">
        <f t="shared" si="426"/>
        <v>222052.9433654891</v>
      </c>
      <c r="AI905">
        <f t="shared" si="439"/>
        <v>223910.89779281185</v>
      </c>
    </row>
    <row r="906" spans="2:35" x14ac:dyDescent="0.3">
      <c r="B906">
        <v>863</v>
      </c>
      <c r="C906">
        <v>83184.015400000004</v>
      </c>
      <c r="D906">
        <v>82454.907300000006</v>
      </c>
      <c r="E906">
        <v>82836.665900000007</v>
      </c>
      <c r="F906">
        <v>82676.185400000002</v>
      </c>
      <c r="G906">
        <v>83020.156900000002</v>
      </c>
      <c r="H906">
        <v>83518.973599999998</v>
      </c>
      <c r="I906">
        <v>9.9233275847207665</v>
      </c>
      <c r="J906">
        <v>9.8776085771035884</v>
      </c>
      <c r="K906">
        <v>9.8473372480685804</v>
      </c>
      <c r="L906">
        <v>9.8407644024129848</v>
      </c>
      <c r="M906">
        <v>9.7898831666618271</v>
      </c>
      <c r="N906">
        <v>9.7636793765338581</v>
      </c>
      <c r="P906">
        <f t="shared" si="449"/>
        <v>214515.81214162297</v>
      </c>
      <c r="Q906">
        <f t="shared" si="450"/>
        <v>213873.35001310764</v>
      </c>
      <c r="R906">
        <f t="shared" si="451"/>
        <v>212583.45154205739</v>
      </c>
      <c r="S906">
        <f t="shared" si="452"/>
        <v>212546.7466723895</v>
      </c>
      <c r="T906">
        <f t="shared" si="453"/>
        <v>210676.33809985482</v>
      </c>
      <c r="U906">
        <f t="shared" si="454"/>
        <v>209391.40769601575</v>
      </c>
      <c r="V906">
        <f t="shared" si="428"/>
        <v>1</v>
      </c>
      <c r="W906">
        <f t="shared" si="429"/>
        <v>0</v>
      </c>
      <c r="X906">
        <f t="shared" si="430"/>
        <v>0</v>
      </c>
      <c r="Y906">
        <f t="shared" si="431"/>
        <v>0</v>
      </c>
      <c r="Z906">
        <f t="shared" si="432"/>
        <v>0</v>
      </c>
      <c r="AC906">
        <f t="shared" si="421"/>
        <v>214515.81214162297</v>
      </c>
      <c r="AD906">
        <f t="shared" si="422"/>
        <v>213873.35001310764</v>
      </c>
      <c r="AE906">
        <f t="shared" si="423"/>
        <v>212583.45154205739</v>
      </c>
      <c r="AF906">
        <f t="shared" si="424"/>
        <v>212546.7466723895</v>
      </c>
      <c r="AG906">
        <f t="shared" si="425"/>
        <v>210676.33809985482</v>
      </c>
      <c r="AH906">
        <f t="shared" si="426"/>
        <v>209391.40769601575</v>
      </c>
      <c r="AI906">
        <f t="shared" si="439"/>
        <v>214515.81214162297</v>
      </c>
    </row>
    <row r="907" spans="2:35" x14ac:dyDescent="0.3">
      <c r="B907">
        <v>864</v>
      </c>
      <c r="C907">
        <v>78092.3655</v>
      </c>
      <c r="D907">
        <v>76249.124800000005</v>
      </c>
      <c r="E907">
        <v>76064.070900000006</v>
      </c>
      <c r="F907">
        <v>75753.263399999996</v>
      </c>
      <c r="G907">
        <v>75341.293000000005</v>
      </c>
      <c r="H907">
        <v>74964.157200000001</v>
      </c>
      <c r="I907">
        <v>8.4303146992388704</v>
      </c>
      <c r="J907">
        <v>8.3977670725128313</v>
      </c>
      <c r="K907">
        <v>8.3768128244037801</v>
      </c>
      <c r="L907">
        <v>8.3675632137170819</v>
      </c>
      <c r="M907">
        <v>8.3420860201254996</v>
      </c>
      <c r="N907">
        <v>8.3114384812631616</v>
      </c>
      <c r="P907">
        <f t="shared" si="449"/>
        <v>174817.0754771661</v>
      </c>
      <c r="Q907">
        <f t="shared" si="450"/>
        <v>175683.88737538492</v>
      </c>
      <c r="R907">
        <f t="shared" si="451"/>
        <v>175240.3138321134</v>
      </c>
      <c r="S907">
        <f t="shared" si="452"/>
        <v>175273.63301151246</v>
      </c>
      <c r="T907">
        <f t="shared" si="453"/>
        <v>174921.28760376497</v>
      </c>
      <c r="U907">
        <f t="shared" si="454"/>
        <v>174378.99723789486</v>
      </c>
      <c r="V907">
        <f t="shared" si="428"/>
        <v>0</v>
      </c>
      <c r="W907">
        <f t="shared" si="429"/>
        <v>1</v>
      </c>
      <c r="X907">
        <f t="shared" si="430"/>
        <v>0</v>
      </c>
      <c r="Y907">
        <f t="shared" si="431"/>
        <v>0</v>
      </c>
      <c r="Z907">
        <f t="shared" si="432"/>
        <v>0</v>
      </c>
      <c r="AA907">
        <f t="shared" ref="AA907" si="460">IF(MAX(P907:U907)=U907, 1, 0)</f>
        <v>0</v>
      </c>
      <c r="AC907">
        <f t="shared" si="421"/>
        <v>174817.0754771661</v>
      </c>
      <c r="AD907">
        <f t="shared" si="422"/>
        <v>175683.88737538492</v>
      </c>
      <c r="AE907">
        <f t="shared" si="423"/>
        <v>175240.3138321134</v>
      </c>
      <c r="AF907">
        <f t="shared" si="424"/>
        <v>175273.63301151246</v>
      </c>
      <c r="AG907">
        <f t="shared" si="425"/>
        <v>174921.28760376497</v>
      </c>
      <c r="AH907">
        <f t="shared" si="426"/>
        <v>174378.99723789486</v>
      </c>
      <c r="AI907">
        <f t="shared" si="439"/>
        <v>175683.88737538492</v>
      </c>
    </row>
    <row r="908" spans="2:35" x14ac:dyDescent="0.3">
      <c r="B908">
        <v>865</v>
      </c>
      <c r="C908">
        <v>75096.904399999999</v>
      </c>
      <c r="D908">
        <v>74077.545800000007</v>
      </c>
      <c r="E908">
        <v>74391.063800000004</v>
      </c>
      <c r="F908">
        <v>74359.068100000004</v>
      </c>
      <c r="G908">
        <v>74667.450200000007</v>
      </c>
      <c r="H908">
        <v>74984.187000000005</v>
      </c>
      <c r="I908">
        <v>10.145924282685172</v>
      </c>
      <c r="J908">
        <v>10.128296344527943</v>
      </c>
      <c r="K908">
        <v>10.120739731284747</v>
      </c>
      <c r="L908">
        <v>10.113963694087838</v>
      </c>
      <c r="M908">
        <v>10.102438140007513</v>
      </c>
      <c r="N908">
        <v>10.091092347923102</v>
      </c>
      <c r="P908">
        <f t="shared" si="449"/>
        <v>229280.82408055518</v>
      </c>
      <c r="Q908">
        <f t="shared" si="450"/>
        <v>229771.34453583829</v>
      </c>
      <c r="R908">
        <f t="shared" si="451"/>
        <v>229231.12813854241</v>
      </c>
      <c r="S908">
        <f t="shared" si="452"/>
        <v>229059.84272263511</v>
      </c>
      <c r="T908">
        <f t="shared" si="453"/>
        <v>228405.69400022534</v>
      </c>
      <c r="U908">
        <f t="shared" si="454"/>
        <v>227748.58343769304</v>
      </c>
      <c r="V908">
        <f t="shared" si="428"/>
        <v>0</v>
      </c>
      <c r="W908">
        <f t="shared" si="429"/>
        <v>1</v>
      </c>
      <c r="X908">
        <f t="shared" si="430"/>
        <v>0</v>
      </c>
      <c r="Y908">
        <f t="shared" si="431"/>
        <v>0</v>
      </c>
      <c r="Z908">
        <f t="shared" si="432"/>
        <v>0</v>
      </c>
      <c r="AC908">
        <f t="shared" si="421"/>
        <v>229280.82408055518</v>
      </c>
      <c r="AD908">
        <f t="shared" si="422"/>
        <v>229771.34453583829</v>
      </c>
      <c r="AE908">
        <f t="shared" si="423"/>
        <v>229231.12813854241</v>
      </c>
      <c r="AF908">
        <f t="shared" si="424"/>
        <v>229059.84272263511</v>
      </c>
      <c r="AG908">
        <f t="shared" si="425"/>
        <v>228405.69400022534</v>
      </c>
      <c r="AH908">
        <f t="shared" si="426"/>
        <v>227748.58343769304</v>
      </c>
      <c r="AI908">
        <f t="shared" si="439"/>
        <v>229771.34453583829</v>
      </c>
    </row>
    <row r="909" spans="2:35" x14ac:dyDescent="0.3">
      <c r="B909">
        <v>866</v>
      </c>
      <c r="C909">
        <v>92712.993799999997</v>
      </c>
      <c r="D909">
        <v>91553.650599999994</v>
      </c>
      <c r="E909">
        <v>91483.083899999998</v>
      </c>
      <c r="F909">
        <v>91468.318100000004</v>
      </c>
      <c r="G909">
        <v>91418.958499999993</v>
      </c>
      <c r="H909">
        <v>91447.052800000005</v>
      </c>
      <c r="I909">
        <v>9.2530740761139469</v>
      </c>
      <c r="J909">
        <v>9.2105801650136208</v>
      </c>
      <c r="K909">
        <v>9.1796403008311227</v>
      </c>
      <c r="L909">
        <v>9.1638829780463844</v>
      </c>
      <c r="M909">
        <v>9.1377029681246213</v>
      </c>
      <c r="N909">
        <v>9.106415634199589</v>
      </c>
      <c r="P909">
        <f t="shared" si="449"/>
        <v>184879.22848341841</v>
      </c>
      <c r="Q909">
        <f t="shared" si="450"/>
        <v>184763.75435040862</v>
      </c>
      <c r="R909">
        <f t="shared" si="451"/>
        <v>183906.12512493369</v>
      </c>
      <c r="S909">
        <f t="shared" si="452"/>
        <v>183448.17124139154</v>
      </c>
      <c r="T909">
        <f t="shared" si="453"/>
        <v>182712.1305437386</v>
      </c>
      <c r="U909">
        <f t="shared" si="454"/>
        <v>181745.41622598766</v>
      </c>
      <c r="V909">
        <f t="shared" si="428"/>
        <v>1</v>
      </c>
      <c r="W909">
        <f t="shared" si="429"/>
        <v>0</v>
      </c>
      <c r="X909">
        <f t="shared" si="430"/>
        <v>0</v>
      </c>
      <c r="Y909">
        <f t="shared" si="431"/>
        <v>0</v>
      </c>
      <c r="Z909">
        <f t="shared" si="432"/>
        <v>0</v>
      </c>
      <c r="AA909">
        <f t="shared" ref="AA909" si="461">IF(MAX(P909:U909)=U909, 1, 0)</f>
        <v>0</v>
      </c>
      <c r="AC909">
        <f t="shared" si="421"/>
        <v>184879.22848341841</v>
      </c>
      <c r="AD909">
        <f t="shared" si="422"/>
        <v>184763.75435040862</v>
      </c>
      <c r="AE909">
        <f t="shared" si="423"/>
        <v>183906.12512493369</v>
      </c>
      <c r="AF909">
        <f t="shared" si="424"/>
        <v>183448.17124139154</v>
      </c>
      <c r="AG909">
        <f t="shared" si="425"/>
        <v>182712.1305437386</v>
      </c>
      <c r="AH909">
        <f t="shared" si="426"/>
        <v>181745.41622598766</v>
      </c>
      <c r="AI909">
        <f t="shared" si="439"/>
        <v>184879.22848341841</v>
      </c>
    </row>
    <row r="910" spans="2:35" x14ac:dyDescent="0.3">
      <c r="B910">
        <v>867</v>
      </c>
      <c r="C910">
        <v>75993.140100000004</v>
      </c>
      <c r="D910">
        <v>75388.244300000006</v>
      </c>
      <c r="E910">
        <v>75693.141900000002</v>
      </c>
      <c r="F910">
        <v>75705.715800000005</v>
      </c>
      <c r="G910">
        <v>75851.329500000007</v>
      </c>
      <c r="H910">
        <v>76486.027100000007</v>
      </c>
      <c r="I910">
        <v>11.677244926606539</v>
      </c>
      <c r="J910">
        <v>11.644168986424495</v>
      </c>
      <c r="K910">
        <v>11.613739139569786</v>
      </c>
      <c r="L910">
        <v>11.60613792725704</v>
      </c>
      <c r="M910">
        <v>11.581787194264315</v>
      </c>
      <c r="N910">
        <v>11.548392475207706</v>
      </c>
      <c r="P910">
        <f t="shared" si="449"/>
        <v>274324.20769819617</v>
      </c>
      <c r="Q910">
        <f t="shared" si="450"/>
        <v>273936.82529273484</v>
      </c>
      <c r="R910">
        <f t="shared" si="451"/>
        <v>272719.03228709358</v>
      </c>
      <c r="S910">
        <f t="shared" si="452"/>
        <v>272478.42201771116</v>
      </c>
      <c r="T910">
        <f t="shared" si="453"/>
        <v>271602.28632792947</v>
      </c>
      <c r="U910">
        <f t="shared" si="454"/>
        <v>269965.74715623114</v>
      </c>
      <c r="V910">
        <f t="shared" si="428"/>
        <v>1</v>
      </c>
      <c r="W910">
        <f t="shared" si="429"/>
        <v>0</v>
      </c>
      <c r="X910">
        <f t="shared" si="430"/>
        <v>0</v>
      </c>
      <c r="Y910">
        <f t="shared" si="431"/>
        <v>0</v>
      </c>
      <c r="Z910">
        <f t="shared" si="432"/>
        <v>0</v>
      </c>
      <c r="AC910">
        <f t="shared" si="421"/>
        <v>274324.20769819617</v>
      </c>
      <c r="AD910">
        <f t="shared" si="422"/>
        <v>273936.82529273484</v>
      </c>
      <c r="AE910">
        <f t="shared" si="423"/>
        <v>272719.03228709358</v>
      </c>
      <c r="AF910">
        <f t="shared" si="424"/>
        <v>272478.42201771116</v>
      </c>
      <c r="AG910">
        <f t="shared" si="425"/>
        <v>271602.28632792947</v>
      </c>
      <c r="AH910">
        <f t="shared" si="426"/>
        <v>269965.74715623114</v>
      </c>
      <c r="AI910">
        <f t="shared" si="439"/>
        <v>274324.20769819617</v>
      </c>
    </row>
    <row r="911" spans="2:35" x14ac:dyDescent="0.3">
      <c r="B911">
        <v>868</v>
      </c>
      <c r="C911">
        <v>69347.165399999998</v>
      </c>
      <c r="D911">
        <v>68964.642200000002</v>
      </c>
      <c r="E911">
        <v>69408.6345</v>
      </c>
      <c r="F911">
        <v>69252.900500000003</v>
      </c>
      <c r="G911">
        <v>69957.257800000007</v>
      </c>
      <c r="H911">
        <v>70659.138200000001</v>
      </c>
      <c r="I911">
        <v>10.256343787795823</v>
      </c>
      <c r="J911">
        <v>10.198513064463675</v>
      </c>
      <c r="K911">
        <v>10.161622652280444</v>
      </c>
      <c r="L911">
        <v>10.146455965978246</v>
      </c>
      <c r="M911">
        <v>10.091970405309329</v>
      </c>
      <c r="N911">
        <v>10.059200024036704</v>
      </c>
      <c r="P911">
        <f t="shared" si="449"/>
        <v>238343.1482338747</v>
      </c>
      <c r="Q911">
        <f t="shared" si="450"/>
        <v>236990.74973391026</v>
      </c>
      <c r="R911">
        <f t="shared" si="451"/>
        <v>235440.04506841337</v>
      </c>
      <c r="S911">
        <f t="shared" si="452"/>
        <v>235140.77847934741</v>
      </c>
      <c r="T911">
        <f t="shared" si="453"/>
        <v>232801.85435927985</v>
      </c>
      <c r="U911">
        <f t="shared" si="454"/>
        <v>231116.86252110114</v>
      </c>
      <c r="V911">
        <f t="shared" si="428"/>
        <v>1</v>
      </c>
      <c r="W911">
        <f t="shared" si="429"/>
        <v>0</v>
      </c>
      <c r="X911">
        <f t="shared" si="430"/>
        <v>0</v>
      </c>
      <c r="Y911">
        <f t="shared" si="431"/>
        <v>0</v>
      </c>
      <c r="Z911">
        <f t="shared" si="432"/>
        <v>0</v>
      </c>
      <c r="AA911">
        <f t="shared" ref="AA911" si="462">IF(MAX(P911:U911)=U911, 1, 0)</f>
        <v>0</v>
      </c>
      <c r="AC911">
        <f t="shared" si="421"/>
        <v>238343.1482338747</v>
      </c>
      <c r="AD911">
        <f t="shared" si="422"/>
        <v>236990.74973391026</v>
      </c>
      <c r="AE911">
        <f t="shared" si="423"/>
        <v>235440.04506841337</v>
      </c>
      <c r="AF911">
        <f t="shared" si="424"/>
        <v>235140.77847934741</v>
      </c>
      <c r="AG911">
        <f t="shared" si="425"/>
        <v>232801.85435927985</v>
      </c>
      <c r="AH911">
        <f t="shared" si="426"/>
        <v>231116.86252110114</v>
      </c>
      <c r="AI911">
        <f t="shared" si="439"/>
        <v>238343.1482338747</v>
      </c>
    </row>
    <row r="912" spans="2:35" x14ac:dyDescent="0.3">
      <c r="B912">
        <v>869</v>
      </c>
      <c r="C912">
        <v>75287.800799999997</v>
      </c>
      <c r="D912">
        <v>74704.528000000006</v>
      </c>
      <c r="E912">
        <v>75080.711899999995</v>
      </c>
      <c r="F912">
        <v>75084.305500000002</v>
      </c>
      <c r="G912">
        <v>75403.505999999994</v>
      </c>
      <c r="H912">
        <v>75779.324800000002</v>
      </c>
      <c r="I912">
        <v>10.127308026240888</v>
      </c>
      <c r="J912">
        <v>10.054893386452131</v>
      </c>
      <c r="K912">
        <v>10.00984694924974</v>
      </c>
      <c r="L912">
        <v>9.9842148619640732</v>
      </c>
      <c r="M912">
        <v>9.941021537153599</v>
      </c>
      <c r="N912">
        <v>9.8874750437877985</v>
      </c>
      <c r="P912">
        <f t="shared" si="449"/>
        <v>228531.43998722665</v>
      </c>
      <c r="Q912">
        <f t="shared" si="450"/>
        <v>226942.27359356394</v>
      </c>
      <c r="R912">
        <f t="shared" si="451"/>
        <v>225214.69657749217</v>
      </c>
      <c r="S912">
        <f t="shared" si="452"/>
        <v>224442.14035892219</v>
      </c>
      <c r="T912">
        <f t="shared" si="453"/>
        <v>222827.14011460799</v>
      </c>
      <c r="U912">
        <f t="shared" si="454"/>
        <v>220844.92651363398</v>
      </c>
      <c r="V912">
        <f t="shared" si="428"/>
        <v>1</v>
      </c>
      <c r="W912">
        <f t="shared" si="429"/>
        <v>0</v>
      </c>
      <c r="X912">
        <f t="shared" si="430"/>
        <v>0</v>
      </c>
      <c r="Y912">
        <f t="shared" si="431"/>
        <v>0</v>
      </c>
      <c r="Z912">
        <f t="shared" si="432"/>
        <v>0</v>
      </c>
      <c r="AC912">
        <f t="shared" si="421"/>
        <v>228531.43998722665</v>
      </c>
      <c r="AD912">
        <f t="shared" si="422"/>
        <v>226942.27359356394</v>
      </c>
      <c r="AE912">
        <f t="shared" si="423"/>
        <v>225214.69657749217</v>
      </c>
      <c r="AF912">
        <f t="shared" si="424"/>
        <v>224442.14035892219</v>
      </c>
      <c r="AG912">
        <f t="shared" si="425"/>
        <v>222827.14011460799</v>
      </c>
      <c r="AH912">
        <f t="shared" si="426"/>
        <v>220844.92651363398</v>
      </c>
      <c r="AI912">
        <f t="shared" si="439"/>
        <v>228531.43998722665</v>
      </c>
    </row>
    <row r="913" spans="2:35" x14ac:dyDescent="0.3">
      <c r="B913">
        <v>870</v>
      </c>
      <c r="C913">
        <v>73696.332999999999</v>
      </c>
      <c r="D913">
        <v>73043.483800000002</v>
      </c>
      <c r="E913">
        <v>73640.335300000006</v>
      </c>
      <c r="F913">
        <v>73344.807700000005</v>
      </c>
      <c r="G913">
        <v>74268.011100000003</v>
      </c>
      <c r="H913">
        <v>74748.593800000002</v>
      </c>
      <c r="I913">
        <v>10.684475489179656</v>
      </c>
      <c r="J913">
        <v>10.658289688199739</v>
      </c>
      <c r="K913">
        <v>10.633201274001886</v>
      </c>
      <c r="L913">
        <v>10.62926004371262</v>
      </c>
      <c r="M913">
        <v>10.598623437593366</v>
      </c>
      <c r="N913">
        <v>10.575750614414263</v>
      </c>
      <c r="P913">
        <f t="shared" si="449"/>
        <v>246837.9316753897</v>
      </c>
      <c r="Q913">
        <f t="shared" si="450"/>
        <v>246705.20684599219</v>
      </c>
      <c r="R913">
        <f t="shared" si="451"/>
        <v>245355.70292005656</v>
      </c>
      <c r="S913">
        <f t="shared" si="452"/>
        <v>245532.9936113786</v>
      </c>
      <c r="T913">
        <f t="shared" si="453"/>
        <v>243690.69202780095</v>
      </c>
      <c r="U913">
        <f t="shared" si="454"/>
        <v>242523.92463242789</v>
      </c>
      <c r="V913">
        <f t="shared" si="428"/>
        <v>1</v>
      </c>
      <c r="W913">
        <f t="shared" si="429"/>
        <v>0</v>
      </c>
      <c r="X913">
        <f t="shared" si="430"/>
        <v>0</v>
      </c>
      <c r="Y913">
        <f t="shared" si="431"/>
        <v>0</v>
      </c>
      <c r="Z913">
        <f t="shared" si="432"/>
        <v>0</v>
      </c>
      <c r="AA913">
        <f t="shared" ref="AA913" si="463">IF(MAX(P913:U913)=U913, 1, 0)</f>
        <v>0</v>
      </c>
      <c r="AC913">
        <f t="shared" si="421"/>
        <v>246837.9316753897</v>
      </c>
      <c r="AD913">
        <f t="shared" si="422"/>
        <v>246705.20684599219</v>
      </c>
      <c r="AE913">
        <f t="shared" si="423"/>
        <v>245355.70292005656</v>
      </c>
      <c r="AF913">
        <f t="shared" si="424"/>
        <v>245532.9936113786</v>
      </c>
      <c r="AG913">
        <f t="shared" si="425"/>
        <v>243690.69202780095</v>
      </c>
      <c r="AH913">
        <f t="shared" si="426"/>
        <v>242523.92463242789</v>
      </c>
      <c r="AI913">
        <f t="shared" si="439"/>
        <v>246837.9316753897</v>
      </c>
    </row>
    <row r="914" spans="2:35" x14ac:dyDescent="0.3">
      <c r="B914">
        <v>871</v>
      </c>
      <c r="C914">
        <v>68873.967699999994</v>
      </c>
      <c r="D914">
        <v>68590.448099999994</v>
      </c>
      <c r="E914">
        <v>69262.776700000002</v>
      </c>
      <c r="F914">
        <v>69319.91</v>
      </c>
      <c r="G914">
        <v>70023.680200000003</v>
      </c>
      <c r="H914">
        <v>70782.942200000005</v>
      </c>
      <c r="I914">
        <v>9.5690741832968662</v>
      </c>
      <c r="J914">
        <v>9.547086099645032</v>
      </c>
      <c r="K914">
        <v>9.5331732843008954</v>
      </c>
      <c r="L914">
        <v>9.5263690427070138</v>
      </c>
      <c r="M914">
        <v>9.5066836499478651</v>
      </c>
      <c r="N914">
        <v>9.4914818942535799</v>
      </c>
      <c r="P914">
        <f t="shared" si="449"/>
        <v>218198.25779890601</v>
      </c>
      <c r="Q914">
        <f t="shared" si="450"/>
        <v>217822.13488935097</v>
      </c>
      <c r="R914">
        <f t="shared" si="451"/>
        <v>216732.42182902689</v>
      </c>
      <c r="S914">
        <f t="shared" si="452"/>
        <v>216471.1612812104</v>
      </c>
      <c r="T914">
        <f t="shared" si="453"/>
        <v>215176.82929843594</v>
      </c>
      <c r="U914">
        <f t="shared" si="454"/>
        <v>213961.51462760742</v>
      </c>
      <c r="V914">
        <f t="shared" si="428"/>
        <v>1</v>
      </c>
      <c r="W914">
        <f t="shared" si="429"/>
        <v>0</v>
      </c>
      <c r="X914">
        <f t="shared" si="430"/>
        <v>0</v>
      </c>
      <c r="Y914">
        <f t="shared" si="431"/>
        <v>0</v>
      </c>
      <c r="Z914">
        <f t="shared" si="432"/>
        <v>0</v>
      </c>
      <c r="AC914">
        <f t="shared" si="421"/>
        <v>218198.25779890601</v>
      </c>
      <c r="AD914">
        <f t="shared" si="422"/>
        <v>217822.13488935097</v>
      </c>
      <c r="AE914">
        <f t="shared" si="423"/>
        <v>216732.42182902689</v>
      </c>
      <c r="AF914">
        <f t="shared" si="424"/>
        <v>216471.1612812104</v>
      </c>
      <c r="AG914">
        <f t="shared" si="425"/>
        <v>215176.82929843594</v>
      </c>
      <c r="AH914">
        <f t="shared" si="426"/>
        <v>213961.51462760742</v>
      </c>
      <c r="AI914">
        <f t="shared" si="439"/>
        <v>218198.25779890601</v>
      </c>
    </row>
    <row r="915" spans="2:35" x14ac:dyDescent="0.3">
      <c r="B915">
        <v>872</v>
      </c>
      <c r="C915">
        <v>80645.282600000006</v>
      </c>
      <c r="D915">
        <v>79423.820099999997</v>
      </c>
      <c r="E915">
        <v>79463.3122</v>
      </c>
      <c r="F915">
        <v>79324.081399999995</v>
      </c>
      <c r="G915">
        <v>79294.559200000003</v>
      </c>
      <c r="H915">
        <v>79485.865600000005</v>
      </c>
      <c r="I915">
        <v>10.230046709810862</v>
      </c>
      <c r="J915">
        <v>10.194688530316828</v>
      </c>
      <c r="K915">
        <v>10.164175400491601</v>
      </c>
      <c r="L915">
        <v>10.149484703605296</v>
      </c>
      <c r="M915">
        <v>10.126749159748158</v>
      </c>
      <c r="N915">
        <v>10.090963662950594</v>
      </c>
      <c r="P915">
        <f t="shared" si="449"/>
        <v>226256.11869432588</v>
      </c>
      <c r="Q915">
        <f t="shared" si="450"/>
        <v>226416.83580950485</v>
      </c>
      <c r="R915">
        <f t="shared" si="451"/>
        <v>225461.94981474802</v>
      </c>
      <c r="S915">
        <f t="shared" si="452"/>
        <v>225160.45970815889</v>
      </c>
      <c r="T915">
        <f t="shared" si="453"/>
        <v>224507.91559244471</v>
      </c>
      <c r="U915">
        <f t="shared" si="454"/>
        <v>223243.04428851779</v>
      </c>
      <c r="V915">
        <f t="shared" si="428"/>
        <v>0</v>
      </c>
      <c r="W915">
        <f t="shared" si="429"/>
        <v>1</v>
      </c>
      <c r="X915">
        <f t="shared" si="430"/>
        <v>0</v>
      </c>
      <c r="Y915">
        <f t="shared" si="431"/>
        <v>0</v>
      </c>
      <c r="Z915">
        <f t="shared" si="432"/>
        <v>0</v>
      </c>
      <c r="AA915">
        <f t="shared" ref="AA915" si="464">IF(MAX(P915:U915)=U915, 1, 0)</f>
        <v>0</v>
      </c>
      <c r="AC915">
        <f t="shared" si="421"/>
        <v>226256.11869432588</v>
      </c>
      <c r="AD915">
        <f t="shared" si="422"/>
        <v>226416.83580950485</v>
      </c>
      <c r="AE915">
        <f t="shared" si="423"/>
        <v>225461.94981474802</v>
      </c>
      <c r="AF915">
        <f t="shared" si="424"/>
        <v>225160.45970815889</v>
      </c>
      <c r="AG915">
        <f t="shared" si="425"/>
        <v>224507.91559244471</v>
      </c>
      <c r="AH915">
        <f t="shared" si="426"/>
        <v>223243.04428851779</v>
      </c>
      <c r="AI915">
        <f t="shared" si="439"/>
        <v>226416.83580950485</v>
      </c>
    </row>
    <row r="916" spans="2:35" x14ac:dyDescent="0.3">
      <c r="B916">
        <v>873</v>
      </c>
      <c r="C916">
        <v>79671.960900000005</v>
      </c>
      <c r="D916">
        <v>78074.050099999993</v>
      </c>
      <c r="E916">
        <v>77870.772500000006</v>
      </c>
      <c r="F916">
        <v>77388.133900000001</v>
      </c>
      <c r="G916">
        <v>77402.080700000006</v>
      </c>
      <c r="H916">
        <v>76893.820399999997</v>
      </c>
      <c r="I916">
        <v>10.882825781506796</v>
      </c>
      <c r="J916">
        <v>10.822388787844606</v>
      </c>
      <c r="K916">
        <v>10.76270872360038</v>
      </c>
      <c r="L916">
        <v>10.748188336034302</v>
      </c>
      <c r="M916">
        <v>10.693825502378816</v>
      </c>
      <c r="N916">
        <v>10.646091849763605</v>
      </c>
      <c r="P916">
        <f t="shared" si="449"/>
        <v>246812.81254520384</v>
      </c>
      <c r="Q916">
        <f t="shared" si="450"/>
        <v>246597.6135353382</v>
      </c>
      <c r="R916">
        <f t="shared" si="451"/>
        <v>245010.48920801136</v>
      </c>
      <c r="S916">
        <f t="shared" si="452"/>
        <v>245057.51618102903</v>
      </c>
      <c r="T916">
        <f t="shared" si="453"/>
        <v>243412.68437136448</v>
      </c>
      <c r="U916">
        <f t="shared" si="454"/>
        <v>242488.93509290818</v>
      </c>
      <c r="V916">
        <f t="shared" si="428"/>
        <v>1</v>
      </c>
      <c r="W916">
        <f t="shared" si="429"/>
        <v>0</v>
      </c>
      <c r="X916">
        <f t="shared" si="430"/>
        <v>0</v>
      </c>
      <c r="Y916">
        <f t="shared" si="431"/>
        <v>0</v>
      </c>
      <c r="Z916">
        <f t="shared" si="432"/>
        <v>0</v>
      </c>
      <c r="AC916">
        <f t="shared" si="421"/>
        <v>246812.81254520384</v>
      </c>
      <c r="AD916">
        <f t="shared" si="422"/>
        <v>246597.6135353382</v>
      </c>
      <c r="AE916">
        <f t="shared" si="423"/>
        <v>245010.48920801136</v>
      </c>
      <c r="AF916">
        <f t="shared" si="424"/>
        <v>245057.51618102903</v>
      </c>
      <c r="AG916">
        <f t="shared" si="425"/>
        <v>243412.68437136448</v>
      </c>
      <c r="AH916">
        <f t="shared" si="426"/>
        <v>242488.93509290818</v>
      </c>
      <c r="AI916">
        <f t="shared" si="439"/>
        <v>246812.81254520384</v>
      </c>
    </row>
    <row r="917" spans="2:35" x14ac:dyDescent="0.3">
      <c r="B917">
        <v>874</v>
      </c>
      <c r="C917">
        <v>82596.759099999996</v>
      </c>
      <c r="D917">
        <v>81332.448499999999</v>
      </c>
      <c r="E917">
        <v>81426.794800000003</v>
      </c>
      <c r="F917">
        <v>81288.857099999994</v>
      </c>
      <c r="G917">
        <v>81141.037400000001</v>
      </c>
      <c r="H917">
        <v>81331.8649</v>
      </c>
      <c r="I917">
        <v>10.885917417081806</v>
      </c>
      <c r="J917">
        <v>10.871674931510023</v>
      </c>
      <c r="K917">
        <v>10.86566087329714</v>
      </c>
      <c r="L917">
        <v>10.862397305783826</v>
      </c>
      <c r="M917">
        <v>10.848471572730668</v>
      </c>
      <c r="N917">
        <v>10.84006379764827</v>
      </c>
      <c r="P917">
        <f t="shared" si="449"/>
        <v>243980.76341245419</v>
      </c>
      <c r="Q917">
        <f t="shared" si="450"/>
        <v>244817.79944530071</v>
      </c>
      <c r="R917">
        <f t="shared" si="451"/>
        <v>244543.0313989142</v>
      </c>
      <c r="S917">
        <f t="shared" si="452"/>
        <v>244583.06207351477</v>
      </c>
      <c r="T917">
        <f t="shared" si="453"/>
        <v>244313.10978192007</v>
      </c>
      <c r="U917">
        <f t="shared" si="454"/>
        <v>243870.04902944813</v>
      </c>
      <c r="V917">
        <f t="shared" si="428"/>
        <v>0</v>
      </c>
      <c r="W917">
        <f t="shared" si="429"/>
        <v>1</v>
      </c>
      <c r="X917">
        <f t="shared" si="430"/>
        <v>0</v>
      </c>
      <c r="Y917">
        <f t="shared" si="431"/>
        <v>0</v>
      </c>
      <c r="Z917">
        <f t="shared" si="432"/>
        <v>0</v>
      </c>
      <c r="AA917">
        <f t="shared" ref="AA917" si="465">IF(MAX(P917:U917)=U917, 1, 0)</f>
        <v>0</v>
      </c>
      <c r="AC917">
        <f t="shared" si="421"/>
        <v>243980.76341245419</v>
      </c>
      <c r="AD917">
        <f t="shared" si="422"/>
        <v>244817.79944530071</v>
      </c>
      <c r="AE917">
        <f t="shared" si="423"/>
        <v>244543.0313989142</v>
      </c>
      <c r="AF917">
        <f t="shared" si="424"/>
        <v>244583.06207351477</v>
      </c>
      <c r="AG917">
        <f t="shared" si="425"/>
        <v>244313.10978192007</v>
      </c>
      <c r="AH917">
        <f t="shared" si="426"/>
        <v>243870.04902944813</v>
      </c>
      <c r="AI917">
        <f t="shared" si="439"/>
        <v>244817.79944530071</v>
      </c>
    </row>
    <row r="918" spans="2:35" x14ac:dyDescent="0.3">
      <c r="B918">
        <v>875</v>
      </c>
      <c r="C918">
        <v>66285.9519</v>
      </c>
      <c r="D918">
        <v>65665.832399999999</v>
      </c>
      <c r="E918">
        <v>66281.250400000004</v>
      </c>
      <c r="F918">
        <v>66213.275999999998</v>
      </c>
      <c r="G918">
        <v>66820.033500000005</v>
      </c>
      <c r="H918">
        <v>67295.596000000005</v>
      </c>
      <c r="I918">
        <v>10.182941785786049</v>
      </c>
      <c r="J918">
        <v>10.162716050422018</v>
      </c>
      <c r="K918">
        <v>10.150760020123087</v>
      </c>
      <c r="L918">
        <v>10.144099862844691</v>
      </c>
      <c r="M918">
        <v>10.136310639460891</v>
      </c>
      <c r="N918">
        <v>10.115874673822724</v>
      </c>
      <c r="P918">
        <f t="shared" si="449"/>
        <v>239202.30167358147</v>
      </c>
      <c r="Q918">
        <f t="shared" si="450"/>
        <v>239215.64911266055</v>
      </c>
      <c r="R918">
        <f t="shared" si="451"/>
        <v>238241.55020369258</v>
      </c>
      <c r="S918">
        <f t="shared" si="452"/>
        <v>238109.71988534072</v>
      </c>
      <c r="T918">
        <f t="shared" si="453"/>
        <v>237269.28568382672</v>
      </c>
      <c r="U918">
        <f t="shared" si="454"/>
        <v>236180.6442146817</v>
      </c>
      <c r="V918">
        <f t="shared" si="428"/>
        <v>0</v>
      </c>
      <c r="W918">
        <f t="shared" si="429"/>
        <v>1</v>
      </c>
      <c r="X918">
        <f t="shared" si="430"/>
        <v>0</v>
      </c>
      <c r="Y918">
        <f t="shared" si="431"/>
        <v>0</v>
      </c>
      <c r="Z918">
        <f t="shared" si="432"/>
        <v>0</v>
      </c>
      <c r="AC918">
        <f t="shared" si="421"/>
        <v>239202.30167358147</v>
      </c>
      <c r="AD918">
        <f t="shared" si="422"/>
        <v>239215.64911266055</v>
      </c>
      <c r="AE918">
        <f t="shared" si="423"/>
        <v>238241.55020369258</v>
      </c>
      <c r="AF918">
        <f t="shared" si="424"/>
        <v>238109.71988534072</v>
      </c>
      <c r="AG918">
        <f t="shared" si="425"/>
        <v>237269.28568382672</v>
      </c>
      <c r="AH918">
        <f t="shared" si="426"/>
        <v>236180.6442146817</v>
      </c>
      <c r="AI918">
        <f t="shared" si="439"/>
        <v>239215.64911266055</v>
      </c>
    </row>
    <row r="919" spans="2:35" x14ac:dyDescent="0.3">
      <c r="B919">
        <v>876</v>
      </c>
      <c r="C919">
        <v>80359.643100000001</v>
      </c>
      <c r="D919">
        <v>79773.338399999993</v>
      </c>
      <c r="E919">
        <v>80251.473499999993</v>
      </c>
      <c r="F919">
        <v>79982.655799999993</v>
      </c>
      <c r="G919">
        <v>80556.685800000007</v>
      </c>
      <c r="H919">
        <v>81130.444099999993</v>
      </c>
      <c r="I919">
        <v>10.651887343850671</v>
      </c>
      <c r="J919">
        <v>10.619317458566769</v>
      </c>
      <c r="K919">
        <v>10.592022352465273</v>
      </c>
      <c r="L919">
        <v>10.589762207047857</v>
      </c>
      <c r="M919">
        <v>10.559363299641927</v>
      </c>
      <c r="N919">
        <v>10.530642483485011</v>
      </c>
      <c r="P919">
        <f t="shared" si="449"/>
        <v>239196.97721552016</v>
      </c>
      <c r="Q919">
        <f t="shared" si="450"/>
        <v>238806.18535700307</v>
      </c>
      <c r="R919">
        <f t="shared" si="451"/>
        <v>237509.1970739582</v>
      </c>
      <c r="S919">
        <f t="shared" si="452"/>
        <v>237710.21041143569</v>
      </c>
      <c r="T919">
        <f t="shared" si="453"/>
        <v>236224.2131892578</v>
      </c>
      <c r="U919">
        <f t="shared" si="454"/>
        <v>234788.83040455033</v>
      </c>
      <c r="V919">
        <f t="shared" si="428"/>
        <v>1</v>
      </c>
      <c r="W919">
        <f t="shared" si="429"/>
        <v>0</v>
      </c>
      <c r="X919">
        <f t="shared" si="430"/>
        <v>0</v>
      </c>
      <c r="Y919">
        <f t="shared" si="431"/>
        <v>0</v>
      </c>
      <c r="Z919">
        <f t="shared" si="432"/>
        <v>0</v>
      </c>
      <c r="AA919">
        <f t="shared" ref="AA919" si="466">IF(MAX(P919:U919)=U919, 1, 0)</f>
        <v>0</v>
      </c>
      <c r="AC919">
        <f t="shared" si="421"/>
        <v>239196.97721552016</v>
      </c>
      <c r="AD919">
        <f t="shared" si="422"/>
        <v>238806.18535700307</v>
      </c>
      <c r="AE919">
        <f t="shared" si="423"/>
        <v>237509.1970739582</v>
      </c>
      <c r="AF919">
        <f t="shared" si="424"/>
        <v>237710.21041143569</v>
      </c>
      <c r="AG919">
        <f t="shared" si="425"/>
        <v>236224.2131892578</v>
      </c>
      <c r="AH919">
        <f t="shared" si="426"/>
        <v>234788.83040455033</v>
      </c>
      <c r="AI919">
        <f t="shared" si="439"/>
        <v>239196.97721552016</v>
      </c>
    </row>
    <row r="920" spans="2:35" x14ac:dyDescent="0.3">
      <c r="B920">
        <v>877</v>
      </c>
      <c r="C920">
        <v>86953.704700000002</v>
      </c>
      <c r="D920">
        <v>84809.241399999999</v>
      </c>
      <c r="E920">
        <v>84040.674700000003</v>
      </c>
      <c r="F920">
        <v>83572.827999999994</v>
      </c>
      <c r="G920">
        <v>83100.564299999998</v>
      </c>
      <c r="H920">
        <v>81988.9179</v>
      </c>
      <c r="I920">
        <v>9.6373638211921691</v>
      </c>
      <c r="J920">
        <v>9.5958286980134719</v>
      </c>
      <c r="K920">
        <v>9.5596907086214973</v>
      </c>
      <c r="L920">
        <v>9.5434801404913046</v>
      </c>
      <c r="M920">
        <v>9.5218991980356176</v>
      </c>
      <c r="N920">
        <v>9.4695550044900454</v>
      </c>
      <c r="P920">
        <f t="shared" si="449"/>
        <v>202167.20993576507</v>
      </c>
      <c r="Q920">
        <f t="shared" si="450"/>
        <v>203065.61954040418</v>
      </c>
      <c r="R920">
        <f t="shared" si="451"/>
        <v>202750.04655864494</v>
      </c>
      <c r="S920">
        <f t="shared" si="452"/>
        <v>202731.57621473918</v>
      </c>
      <c r="T920">
        <f t="shared" si="453"/>
        <v>202556.41164106855</v>
      </c>
      <c r="U920">
        <f t="shared" si="454"/>
        <v>202097.73223470134</v>
      </c>
      <c r="V920">
        <f t="shared" si="428"/>
        <v>0</v>
      </c>
      <c r="W920">
        <f t="shared" si="429"/>
        <v>1</v>
      </c>
      <c r="X920">
        <f t="shared" si="430"/>
        <v>0</v>
      </c>
      <c r="Y920">
        <f t="shared" si="431"/>
        <v>0</v>
      </c>
      <c r="Z920">
        <f t="shared" si="432"/>
        <v>0</v>
      </c>
      <c r="AC920">
        <f t="shared" si="421"/>
        <v>202167.20993576507</v>
      </c>
      <c r="AD920">
        <f t="shared" si="422"/>
        <v>203065.61954040418</v>
      </c>
      <c r="AE920">
        <f t="shared" si="423"/>
        <v>202750.04655864494</v>
      </c>
      <c r="AF920">
        <f t="shared" si="424"/>
        <v>202731.57621473918</v>
      </c>
      <c r="AG920">
        <f t="shared" si="425"/>
        <v>202556.41164106855</v>
      </c>
      <c r="AH920">
        <f t="shared" si="426"/>
        <v>202097.73223470134</v>
      </c>
      <c r="AI920">
        <f t="shared" si="439"/>
        <v>203065.61954040418</v>
      </c>
    </row>
    <row r="921" spans="2:35" x14ac:dyDescent="0.3">
      <c r="B921">
        <v>878</v>
      </c>
      <c r="C921">
        <v>65631.658500000005</v>
      </c>
      <c r="D921">
        <v>64841.696600000003</v>
      </c>
      <c r="E921">
        <v>65157.0694</v>
      </c>
      <c r="F921">
        <v>65004.611900000004</v>
      </c>
      <c r="G921">
        <v>65371.641199999998</v>
      </c>
      <c r="H921">
        <v>65822.966899999999</v>
      </c>
      <c r="I921">
        <v>10.622946231341585</v>
      </c>
      <c r="J921">
        <v>10.578702285099494</v>
      </c>
      <c r="K921">
        <v>10.552943788008587</v>
      </c>
      <c r="L921">
        <v>10.540179844760186</v>
      </c>
      <c r="M921">
        <v>10.506523106001703</v>
      </c>
      <c r="N921">
        <v>10.471850970498787</v>
      </c>
      <c r="P921">
        <f t="shared" si="449"/>
        <v>253056.72844024753</v>
      </c>
      <c r="Q921">
        <f t="shared" si="450"/>
        <v>252519.3719529848</v>
      </c>
      <c r="R921">
        <f t="shared" si="451"/>
        <v>251431.24424025763</v>
      </c>
      <c r="S921">
        <f t="shared" si="452"/>
        <v>251200.78344280552</v>
      </c>
      <c r="T921">
        <f t="shared" si="453"/>
        <v>249824.0519800511</v>
      </c>
      <c r="U921">
        <f t="shared" si="454"/>
        <v>248332.5622149636</v>
      </c>
      <c r="V921">
        <f t="shared" si="428"/>
        <v>1</v>
      </c>
      <c r="W921">
        <f t="shared" si="429"/>
        <v>0</v>
      </c>
      <c r="X921">
        <f t="shared" si="430"/>
        <v>0</v>
      </c>
      <c r="Y921">
        <f t="shared" si="431"/>
        <v>0</v>
      </c>
      <c r="Z921">
        <f t="shared" si="432"/>
        <v>0</v>
      </c>
      <c r="AA921">
        <f t="shared" ref="AA921" si="467">IF(MAX(P921:U921)=U921, 1, 0)</f>
        <v>0</v>
      </c>
      <c r="AC921">
        <f t="shared" si="421"/>
        <v>253056.72844024753</v>
      </c>
      <c r="AD921">
        <f t="shared" si="422"/>
        <v>252519.3719529848</v>
      </c>
      <c r="AE921">
        <f t="shared" si="423"/>
        <v>251431.24424025763</v>
      </c>
      <c r="AF921">
        <f t="shared" si="424"/>
        <v>251200.78344280552</v>
      </c>
      <c r="AG921">
        <f t="shared" si="425"/>
        <v>249824.0519800511</v>
      </c>
      <c r="AH921">
        <f t="shared" si="426"/>
        <v>248332.5622149636</v>
      </c>
      <c r="AI921">
        <f t="shared" si="439"/>
        <v>253056.72844024753</v>
      </c>
    </row>
    <row r="922" spans="2:35" x14ac:dyDescent="0.3">
      <c r="B922">
        <v>879</v>
      </c>
      <c r="C922">
        <v>84476.338199999998</v>
      </c>
      <c r="D922">
        <v>84032.337299999999</v>
      </c>
      <c r="E922">
        <v>84569.430399999997</v>
      </c>
      <c r="F922">
        <v>84585.502600000007</v>
      </c>
      <c r="G922">
        <v>85196.745200000005</v>
      </c>
      <c r="H922">
        <v>85884.788100000005</v>
      </c>
      <c r="I922">
        <v>11.323863780124322</v>
      </c>
      <c r="J922">
        <v>11.307012775331291</v>
      </c>
      <c r="K922">
        <v>11.293886722666457</v>
      </c>
      <c r="L922">
        <v>11.28904018923348</v>
      </c>
      <c r="M922">
        <v>11.273213199448104</v>
      </c>
      <c r="N922">
        <v>11.260149669225331</v>
      </c>
      <c r="P922">
        <f t="shared" si="449"/>
        <v>255239.57520372968</v>
      </c>
      <c r="Q922">
        <f t="shared" si="450"/>
        <v>255178.04595993872</v>
      </c>
      <c r="R922">
        <f t="shared" si="451"/>
        <v>254247.17127999372</v>
      </c>
      <c r="S922">
        <f t="shared" si="452"/>
        <v>254085.70307700441</v>
      </c>
      <c r="T922">
        <f t="shared" si="453"/>
        <v>252999.65078344312</v>
      </c>
      <c r="U922">
        <f t="shared" si="454"/>
        <v>251919.70197675994</v>
      </c>
      <c r="V922">
        <f t="shared" si="428"/>
        <v>1</v>
      </c>
      <c r="W922">
        <f t="shared" si="429"/>
        <v>0</v>
      </c>
      <c r="X922">
        <f t="shared" si="430"/>
        <v>0</v>
      </c>
      <c r="Y922">
        <f t="shared" si="431"/>
        <v>0</v>
      </c>
      <c r="Z922">
        <f t="shared" si="432"/>
        <v>0</v>
      </c>
      <c r="AC922">
        <f t="shared" si="421"/>
        <v>255239.57520372968</v>
      </c>
      <c r="AD922">
        <f t="shared" si="422"/>
        <v>255178.04595993872</v>
      </c>
      <c r="AE922">
        <f t="shared" si="423"/>
        <v>254247.17127999372</v>
      </c>
      <c r="AF922">
        <f t="shared" si="424"/>
        <v>254085.70307700441</v>
      </c>
      <c r="AG922">
        <f t="shared" si="425"/>
        <v>252999.65078344312</v>
      </c>
      <c r="AH922">
        <f t="shared" si="426"/>
        <v>251919.70197675994</v>
      </c>
      <c r="AI922">
        <f t="shared" si="439"/>
        <v>255239.57520372968</v>
      </c>
    </row>
    <row r="923" spans="2:35" x14ac:dyDescent="0.3">
      <c r="B923">
        <v>880</v>
      </c>
      <c r="C923">
        <v>73938.609500000006</v>
      </c>
      <c r="D923">
        <v>74118.075899999996</v>
      </c>
      <c r="E923">
        <v>75222.618000000002</v>
      </c>
      <c r="F923">
        <v>75352.463600000003</v>
      </c>
      <c r="G923">
        <v>76653.907800000001</v>
      </c>
      <c r="H923">
        <v>77668.631599999993</v>
      </c>
      <c r="I923">
        <v>10.425638300031382</v>
      </c>
      <c r="J923">
        <v>10.393800376699005</v>
      </c>
      <c r="K923">
        <v>10.372647437930043</v>
      </c>
      <c r="L923">
        <v>10.35739476320745</v>
      </c>
      <c r="M923">
        <v>10.340405146551079</v>
      </c>
      <c r="N923">
        <v>10.304962812342074</v>
      </c>
      <c r="P923">
        <f t="shared" si="449"/>
        <v>238830.53950094146</v>
      </c>
      <c r="Q923">
        <f t="shared" si="450"/>
        <v>237695.93540097016</v>
      </c>
      <c r="R923">
        <f t="shared" si="451"/>
        <v>235956.80513790128</v>
      </c>
      <c r="S923">
        <f t="shared" si="452"/>
        <v>235369.37929622352</v>
      </c>
      <c r="T923">
        <f t="shared" si="453"/>
        <v>233558.24659653241</v>
      </c>
      <c r="U923">
        <f t="shared" si="454"/>
        <v>231480.25277026222</v>
      </c>
      <c r="V923">
        <f t="shared" si="428"/>
        <v>1</v>
      </c>
      <c r="W923">
        <f t="shared" si="429"/>
        <v>0</v>
      </c>
      <c r="X923">
        <f t="shared" si="430"/>
        <v>0</v>
      </c>
      <c r="Y923">
        <f t="shared" si="431"/>
        <v>0</v>
      </c>
      <c r="Z923">
        <f t="shared" si="432"/>
        <v>0</v>
      </c>
      <c r="AA923">
        <f t="shared" ref="AA923" si="468">IF(MAX(P923:U923)=U923, 1, 0)</f>
        <v>0</v>
      </c>
      <c r="AC923">
        <f t="shared" si="421"/>
        <v>238830.53950094146</v>
      </c>
      <c r="AD923">
        <f t="shared" si="422"/>
        <v>237695.93540097016</v>
      </c>
      <c r="AE923">
        <f t="shared" si="423"/>
        <v>235956.80513790128</v>
      </c>
      <c r="AF923">
        <f t="shared" si="424"/>
        <v>235369.37929622352</v>
      </c>
      <c r="AG923">
        <f t="shared" si="425"/>
        <v>233558.24659653241</v>
      </c>
      <c r="AH923">
        <f t="shared" si="426"/>
        <v>231480.25277026222</v>
      </c>
      <c r="AI923">
        <f t="shared" si="439"/>
        <v>238830.53950094146</v>
      </c>
    </row>
    <row r="924" spans="2:35" x14ac:dyDescent="0.3">
      <c r="B924">
        <v>881</v>
      </c>
      <c r="C924">
        <v>80847.899600000004</v>
      </c>
      <c r="D924">
        <v>80108.188899999994</v>
      </c>
      <c r="E924">
        <v>80629.3508</v>
      </c>
      <c r="F924">
        <v>80986.228600000002</v>
      </c>
      <c r="G924">
        <v>81297.425499999998</v>
      </c>
      <c r="H924">
        <v>81831.997900000002</v>
      </c>
      <c r="I924">
        <v>10.137845722114939</v>
      </c>
      <c r="J924">
        <v>10.124046088101593</v>
      </c>
      <c r="K924">
        <v>10.108543102329586</v>
      </c>
      <c r="L924">
        <v>10.099628191069218</v>
      </c>
      <c r="M924">
        <v>10.090642110807428</v>
      </c>
      <c r="N924">
        <v>10.071833192211603</v>
      </c>
      <c r="P924">
        <f t="shared" si="449"/>
        <v>223287.47206344816</v>
      </c>
      <c r="Q924">
        <f t="shared" si="450"/>
        <v>223613.19374304777</v>
      </c>
      <c r="R924">
        <f t="shared" si="451"/>
        <v>222626.94226988754</v>
      </c>
      <c r="S924">
        <f t="shared" si="452"/>
        <v>222002.61713207656</v>
      </c>
      <c r="T924">
        <f t="shared" si="453"/>
        <v>221421.83782422281</v>
      </c>
      <c r="U924">
        <f t="shared" si="454"/>
        <v>220322.99786634807</v>
      </c>
      <c r="V924">
        <f t="shared" si="428"/>
        <v>0</v>
      </c>
      <c r="W924">
        <f t="shared" si="429"/>
        <v>1</v>
      </c>
      <c r="X924">
        <f t="shared" si="430"/>
        <v>0</v>
      </c>
      <c r="Y924">
        <f t="shared" si="431"/>
        <v>0</v>
      </c>
      <c r="Z924">
        <f t="shared" si="432"/>
        <v>0</v>
      </c>
      <c r="AC924">
        <f t="shared" si="421"/>
        <v>223287.47206344816</v>
      </c>
      <c r="AD924">
        <f t="shared" si="422"/>
        <v>223613.19374304777</v>
      </c>
      <c r="AE924">
        <f t="shared" si="423"/>
        <v>222626.94226988754</v>
      </c>
      <c r="AF924">
        <f t="shared" si="424"/>
        <v>222002.61713207656</v>
      </c>
      <c r="AG924">
        <f t="shared" si="425"/>
        <v>221421.83782422281</v>
      </c>
      <c r="AH924">
        <f t="shared" si="426"/>
        <v>220322.99786634807</v>
      </c>
      <c r="AI924">
        <f t="shared" si="439"/>
        <v>223613.19374304777</v>
      </c>
    </row>
    <row r="925" spans="2:35" x14ac:dyDescent="0.3">
      <c r="B925">
        <v>882</v>
      </c>
      <c r="C925">
        <v>92868.596099999995</v>
      </c>
      <c r="D925">
        <v>92008.277600000001</v>
      </c>
      <c r="E925">
        <v>92184.378500000006</v>
      </c>
      <c r="F925">
        <v>92124.968099999998</v>
      </c>
      <c r="G925">
        <v>92347.068299999999</v>
      </c>
      <c r="H925">
        <v>92752.476899999994</v>
      </c>
      <c r="I925">
        <v>9.3590963205951514</v>
      </c>
      <c r="J925">
        <v>9.3498059368897</v>
      </c>
      <c r="K925">
        <v>9.3432599566155652</v>
      </c>
      <c r="L925">
        <v>9.3389779491949358</v>
      </c>
      <c r="M925">
        <v>9.3342231974766428</v>
      </c>
      <c r="N925">
        <v>9.3252946984625016</v>
      </c>
      <c r="P925">
        <f t="shared" si="449"/>
        <v>187904.29351785456</v>
      </c>
      <c r="Q925">
        <f t="shared" si="450"/>
        <v>188485.90050669099</v>
      </c>
      <c r="R925">
        <f t="shared" si="451"/>
        <v>188113.42019846698</v>
      </c>
      <c r="S925">
        <f t="shared" si="452"/>
        <v>188044.37037584808</v>
      </c>
      <c r="T925">
        <f t="shared" si="453"/>
        <v>187679.62762429932</v>
      </c>
      <c r="U925">
        <f t="shared" si="454"/>
        <v>187006.36405387503</v>
      </c>
      <c r="V925">
        <f t="shared" si="428"/>
        <v>0</v>
      </c>
      <c r="W925">
        <f t="shared" si="429"/>
        <v>1</v>
      </c>
      <c r="X925">
        <f t="shared" si="430"/>
        <v>0</v>
      </c>
      <c r="Y925">
        <f t="shared" si="431"/>
        <v>0</v>
      </c>
      <c r="Z925">
        <f t="shared" si="432"/>
        <v>0</v>
      </c>
      <c r="AA925">
        <f t="shared" ref="AA925" si="469">IF(MAX(P925:U925)=U925, 1, 0)</f>
        <v>0</v>
      </c>
      <c r="AC925">
        <f t="shared" si="421"/>
        <v>187904.29351785456</v>
      </c>
      <c r="AD925">
        <f t="shared" si="422"/>
        <v>188485.90050669099</v>
      </c>
      <c r="AE925">
        <f t="shared" si="423"/>
        <v>188113.42019846698</v>
      </c>
      <c r="AF925">
        <f t="shared" si="424"/>
        <v>188044.37037584808</v>
      </c>
      <c r="AG925">
        <f t="shared" si="425"/>
        <v>187679.62762429932</v>
      </c>
      <c r="AH925">
        <f t="shared" si="426"/>
        <v>187006.36405387503</v>
      </c>
      <c r="AI925">
        <f t="shared" si="439"/>
        <v>188485.90050669099</v>
      </c>
    </row>
    <row r="926" spans="2:35" x14ac:dyDescent="0.3">
      <c r="B926">
        <v>883</v>
      </c>
      <c r="C926">
        <v>73172.219899999996</v>
      </c>
      <c r="D926">
        <v>72750.381800000003</v>
      </c>
      <c r="E926">
        <v>73369.556100000002</v>
      </c>
      <c r="F926">
        <v>73319.093900000007</v>
      </c>
      <c r="G926">
        <v>73885.819099999993</v>
      </c>
      <c r="H926">
        <v>74554.647800000006</v>
      </c>
      <c r="I926">
        <v>9.537975277930169</v>
      </c>
      <c r="J926">
        <v>9.505146904179405</v>
      </c>
      <c r="K926">
        <v>9.4728737619273407</v>
      </c>
      <c r="L926">
        <v>9.4713947284775823</v>
      </c>
      <c r="M926">
        <v>9.439965744107063</v>
      </c>
      <c r="N926">
        <v>9.413115749853846</v>
      </c>
      <c r="P926">
        <f t="shared" si="449"/>
        <v>212967.03843790505</v>
      </c>
      <c r="Q926">
        <f t="shared" si="450"/>
        <v>212404.02532538216</v>
      </c>
      <c r="R926">
        <f t="shared" si="451"/>
        <v>210816.65675782022</v>
      </c>
      <c r="S926">
        <f t="shared" si="452"/>
        <v>210822.74795432747</v>
      </c>
      <c r="T926">
        <f t="shared" si="453"/>
        <v>209313.15322321191</v>
      </c>
      <c r="U926">
        <f t="shared" si="454"/>
        <v>207838.82469561536</v>
      </c>
      <c r="V926">
        <f t="shared" si="428"/>
        <v>1</v>
      </c>
      <c r="W926">
        <f t="shared" si="429"/>
        <v>0</v>
      </c>
      <c r="X926">
        <f t="shared" si="430"/>
        <v>0</v>
      </c>
      <c r="Y926">
        <f t="shared" si="431"/>
        <v>0</v>
      </c>
      <c r="Z926">
        <f t="shared" si="432"/>
        <v>0</v>
      </c>
      <c r="AC926">
        <f t="shared" si="421"/>
        <v>212967.03843790505</v>
      </c>
      <c r="AD926">
        <f t="shared" si="422"/>
        <v>212404.02532538216</v>
      </c>
      <c r="AE926">
        <f t="shared" si="423"/>
        <v>210816.65675782022</v>
      </c>
      <c r="AF926">
        <f t="shared" si="424"/>
        <v>210822.74795432747</v>
      </c>
      <c r="AG926">
        <f t="shared" si="425"/>
        <v>209313.15322321191</v>
      </c>
      <c r="AH926">
        <f t="shared" si="426"/>
        <v>207838.82469561536</v>
      </c>
      <c r="AI926">
        <f t="shared" si="439"/>
        <v>212967.03843790505</v>
      </c>
    </row>
    <row r="927" spans="2:35" x14ac:dyDescent="0.3">
      <c r="B927">
        <v>884</v>
      </c>
      <c r="C927">
        <v>74299.392500000002</v>
      </c>
      <c r="D927">
        <v>74345.079700000002</v>
      </c>
      <c r="E927">
        <v>75728.385899999994</v>
      </c>
      <c r="F927">
        <v>75798.507100000003</v>
      </c>
      <c r="G927">
        <v>76708.517000000007</v>
      </c>
      <c r="H927">
        <v>78143.872300000003</v>
      </c>
      <c r="I927">
        <v>9.3425970254206447</v>
      </c>
      <c r="J927">
        <v>9.328486902248823</v>
      </c>
      <c r="K927">
        <v>9.3113299200058517</v>
      </c>
      <c r="L927">
        <v>9.3089486430675699</v>
      </c>
      <c r="M927">
        <v>9.2986398947403348</v>
      </c>
      <c r="N927">
        <v>9.2813452732828292</v>
      </c>
      <c r="P927">
        <f t="shared" si="449"/>
        <v>205978.51826261933</v>
      </c>
      <c r="Q927">
        <f t="shared" si="450"/>
        <v>205509.52736746467</v>
      </c>
      <c r="R927">
        <f t="shared" si="451"/>
        <v>203611.51170017553</v>
      </c>
      <c r="S927">
        <f t="shared" si="452"/>
        <v>203469.95219202712</v>
      </c>
      <c r="T927">
        <f t="shared" si="453"/>
        <v>202250.67984221003</v>
      </c>
      <c r="U927">
        <f t="shared" si="454"/>
        <v>200296.48589848488</v>
      </c>
      <c r="V927">
        <f t="shared" si="428"/>
        <v>1</v>
      </c>
      <c r="W927">
        <f t="shared" si="429"/>
        <v>0</v>
      </c>
      <c r="X927">
        <f t="shared" si="430"/>
        <v>0</v>
      </c>
      <c r="Y927">
        <f t="shared" si="431"/>
        <v>0</v>
      </c>
      <c r="Z927">
        <f t="shared" si="432"/>
        <v>0</v>
      </c>
      <c r="AA927">
        <f t="shared" ref="AA927" si="470">IF(MAX(P927:U927)=U927, 1, 0)</f>
        <v>0</v>
      </c>
      <c r="AC927">
        <f t="shared" si="421"/>
        <v>205978.51826261933</v>
      </c>
      <c r="AD927">
        <f t="shared" si="422"/>
        <v>205509.52736746467</v>
      </c>
      <c r="AE927">
        <f t="shared" si="423"/>
        <v>203611.51170017553</v>
      </c>
      <c r="AF927">
        <f t="shared" si="424"/>
        <v>203469.95219202712</v>
      </c>
      <c r="AG927">
        <f t="shared" si="425"/>
        <v>202250.67984221003</v>
      </c>
      <c r="AH927">
        <f t="shared" si="426"/>
        <v>200296.48589848488</v>
      </c>
      <c r="AI927">
        <f t="shared" si="439"/>
        <v>205978.51826261933</v>
      </c>
    </row>
    <row r="928" spans="2:35" x14ac:dyDescent="0.3">
      <c r="B928">
        <v>885</v>
      </c>
      <c r="C928">
        <v>72332.960000000006</v>
      </c>
      <c r="D928">
        <v>72094.493199999997</v>
      </c>
      <c r="E928">
        <v>72756.441600000006</v>
      </c>
      <c r="F928">
        <v>72740.381999999998</v>
      </c>
      <c r="G928">
        <v>73322.357099999994</v>
      </c>
      <c r="H928">
        <v>74160.889500000005</v>
      </c>
      <c r="I928">
        <v>9.7757969068823147</v>
      </c>
      <c r="J928">
        <v>9.7492609118438178</v>
      </c>
      <c r="K928">
        <v>9.7340397590803782</v>
      </c>
      <c r="L928">
        <v>9.7275100164879191</v>
      </c>
      <c r="M928">
        <v>9.716646270070461</v>
      </c>
      <c r="N928">
        <v>9.683818898584553</v>
      </c>
      <c r="P928">
        <f t="shared" si="449"/>
        <v>220940.94720646943</v>
      </c>
      <c r="Q928">
        <f t="shared" si="450"/>
        <v>220383.33415531451</v>
      </c>
      <c r="R928">
        <f t="shared" si="451"/>
        <v>219264.75117241131</v>
      </c>
      <c r="S928">
        <f t="shared" si="452"/>
        <v>219084.91849463759</v>
      </c>
      <c r="T928">
        <f t="shared" si="453"/>
        <v>218177.03100211386</v>
      </c>
      <c r="U928">
        <f t="shared" si="454"/>
        <v>216353.67745753663</v>
      </c>
      <c r="V928">
        <f t="shared" si="428"/>
        <v>1</v>
      </c>
      <c r="W928">
        <f t="shared" si="429"/>
        <v>0</v>
      </c>
      <c r="X928">
        <f t="shared" si="430"/>
        <v>0</v>
      </c>
      <c r="Y928">
        <f t="shared" si="431"/>
        <v>0</v>
      </c>
      <c r="Z928">
        <f t="shared" si="432"/>
        <v>0</v>
      </c>
      <c r="AC928">
        <f t="shared" ref="AC928:AC991" si="471">Threshold*I928-C928</f>
        <v>220940.94720646943</v>
      </c>
      <c r="AD928">
        <f t="shared" ref="AD928:AD991" si="472">Threshold*J928-D928</f>
        <v>220383.33415531451</v>
      </c>
      <c r="AE928">
        <f t="shared" ref="AE928:AE991" si="473">Threshold*K928-E928</f>
        <v>219264.75117241131</v>
      </c>
      <c r="AF928">
        <f t="shared" ref="AF928:AF991" si="474">Threshold*L928-F928</f>
        <v>219084.91849463759</v>
      </c>
      <c r="AG928">
        <f t="shared" ref="AG928:AG991" si="475">Threshold*M928-G928</f>
        <v>218177.03100211386</v>
      </c>
      <c r="AH928">
        <f t="shared" ref="AH928:AH991" si="476">Threshold*N928-H928</f>
        <v>216353.67745753663</v>
      </c>
      <c r="AI928">
        <f t="shared" si="439"/>
        <v>220940.94720646943</v>
      </c>
    </row>
    <row r="929" spans="2:35" x14ac:dyDescent="0.3">
      <c r="B929">
        <v>886</v>
      </c>
      <c r="C929">
        <v>76796.867599999998</v>
      </c>
      <c r="D929">
        <v>75801.117700000003</v>
      </c>
      <c r="E929">
        <v>75992.722500000003</v>
      </c>
      <c r="F929">
        <v>75910.603600000002</v>
      </c>
      <c r="G929">
        <v>76014.000599999999</v>
      </c>
      <c r="H929">
        <v>76084.047699999996</v>
      </c>
      <c r="I929">
        <v>10.058137288617006</v>
      </c>
      <c r="J929">
        <v>10.036617274265341</v>
      </c>
      <c r="K929">
        <v>10.023708930283595</v>
      </c>
      <c r="L929">
        <v>10.013732438612246</v>
      </c>
      <c r="M929">
        <v>9.9982001714319857</v>
      </c>
      <c r="N929">
        <v>9.9759878510331408</v>
      </c>
      <c r="P929">
        <f t="shared" si="449"/>
        <v>224947.25105851021</v>
      </c>
      <c r="Q929">
        <f t="shared" si="450"/>
        <v>225297.40052796021</v>
      </c>
      <c r="R929">
        <f t="shared" si="451"/>
        <v>224718.54540850784</v>
      </c>
      <c r="S929">
        <f t="shared" si="452"/>
        <v>224501.36955836738</v>
      </c>
      <c r="T929">
        <f t="shared" si="453"/>
        <v>223932.00454295959</v>
      </c>
      <c r="U929">
        <f t="shared" si="454"/>
        <v>223195.58783099422</v>
      </c>
      <c r="V929">
        <f t="shared" si="428"/>
        <v>0</v>
      </c>
      <c r="W929">
        <f t="shared" si="429"/>
        <v>1</v>
      </c>
      <c r="X929">
        <f t="shared" si="430"/>
        <v>0</v>
      </c>
      <c r="Y929">
        <f t="shared" si="431"/>
        <v>0</v>
      </c>
      <c r="Z929">
        <f t="shared" si="432"/>
        <v>0</v>
      </c>
      <c r="AA929">
        <f t="shared" ref="AA929" si="477">IF(MAX(P929:U929)=U929, 1, 0)</f>
        <v>0</v>
      </c>
      <c r="AC929">
        <f t="shared" si="471"/>
        <v>224947.25105851021</v>
      </c>
      <c r="AD929">
        <f t="shared" si="472"/>
        <v>225297.40052796021</v>
      </c>
      <c r="AE929">
        <f t="shared" si="473"/>
        <v>224718.54540850784</v>
      </c>
      <c r="AF929">
        <f t="shared" si="474"/>
        <v>224501.36955836738</v>
      </c>
      <c r="AG929">
        <f t="shared" si="475"/>
        <v>223932.00454295959</v>
      </c>
      <c r="AH929">
        <f t="shared" si="476"/>
        <v>223195.58783099422</v>
      </c>
      <c r="AI929">
        <f t="shared" si="439"/>
        <v>225297.40052796021</v>
      </c>
    </row>
    <row r="930" spans="2:35" x14ac:dyDescent="0.3">
      <c r="B930">
        <v>887</v>
      </c>
      <c r="C930">
        <v>71917.873099999997</v>
      </c>
      <c r="D930">
        <v>71012.486300000004</v>
      </c>
      <c r="E930">
        <v>71217.732300000003</v>
      </c>
      <c r="F930">
        <v>71022.779200000004</v>
      </c>
      <c r="G930">
        <v>71291.045700000002</v>
      </c>
      <c r="H930">
        <v>71724.844299999997</v>
      </c>
      <c r="I930">
        <v>9.2990533858659656</v>
      </c>
      <c r="J930">
        <v>9.2809440087829493</v>
      </c>
      <c r="K930">
        <v>9.2670469366758379</v>
      </c>
      <c r="L930">
        <v>9.2634596701787597</v>
      </c>
      <c r="M930">
        <v>9.2448704012999254</v>
      </c>
      <c r="N930">
        <v>9.2336672721956088</v>
      </c>
      <c r="P930">
        <f t="shared" si="449"/>
        <v>207053.72847597898</v>
      </c>
      <c r="Q930">
        <f t="shared" si="450"/>
        <v>207415.83396348852</v>
      </c>
      <c r="R930">
        <f t="shared" si="451"/>
        <v>206793.67580027514</v>
      </c>
      <c r="S930">
        <f t="shared" si="452"/>
        <v>206881.01090536278</v>
      </c>
      <c r="T930">
        <f t="shared" si="453"/>
        <v>206055.06633899774</v>
      </c>
      <c r="U930">
        <f t="shared" si="454"/>
        <v>205285.17386586824</v>
      </c>
      <c r="V930">
        <f t="shared" ref="V930:V993" si="478">IF(MAX(P930:U930)=P930, 1, 0)</f>
        <v>0</v>
      </c>
      <c r="W930">
        <f t="shared" ref="W930:W993" si="479">IF(MAX(P930:U930)=Q930, 1, 0)</f>
        <v>1</v>
      </c>
      <c r="X930">
        <f t="shared" ref="X930:X993" si="480">IF(MAX(P930:U930)=R930, 1, 0)</f>
        <v>0</v>
      </c>
      <c r="Y930">
        <f t="shared" ref="Y930:Y993" si="481">IF(MAX(P930:U930)=S930, 1, 0)</f>
        <v>0</v>
      </c>
      <c r="Z930">
        <f t="shared" ref="Z930:Z993" si="482">IF(MAX(P930:U930)=T930, 1, 0)</f>
        <v>0</v>
      </c>
      <c r="AC930">
        <f t="shared" si="471"/>
        <v>207053.72847597898</v>
      </c>
      <c r="AD930">
        <f t="shared" si="472"/>
        <v>207415.83396348852</v>
      </c>
      <c r="AE930">
        <f t="shared" si="473"/>
        <v>206793.67580027514</v>
      </c>
      <c r="AF930">
        <f t="shared" si="474"/>
        <v>206881.01090536278</v>
      </c>
      <c r="AG930">
        <f t="shared" si="475"/>
        <v>206055.06633899774</v>
      </c>
      <c r="AH930">
        <f t="shared" si="476"/>
        <v>205285.17386586824</v>
      </c>
      <c r="AI930">
        <f t="shared" si="439"/>
        <v>207415.83396348852</v>
      </c>
    </row>
    <row r="931" spans="2:35" x14ac:dyDescent="0.3">
      <c r="B931">
        <v>888</v>
      </c>
      <c r="C931">
        <v>76773.335999999996</v>
      </c>
      <c r="D931">
        <v>76658.559999999998</v>
      </c>
      <c r="E931">
        <v>77416.753899999996</v>
      </c>
      <c r="F931">
        <v>77483.643599999996</v>
      </c>
      <c r="G931">
        <v>78410.904299999995</v>
      </c>
      <c r="H931">
        <v>79212.173899999994</v>
      </c>
      <c r="I931">
        <v>9.3293359213514595</v>
      </c>
      <c r="J931">
        <v>9.3053407303890463</v>
      </c>
      <c r="K931">
        <v>9.2863560676865919</v>
      </c>
      <c r="L931">
        <v>9.2789909472979364</v>
      </c>
      <c r="M931">
        <v>9.2570122221914559</v>
      </c>
      <c r="N931">
        <v>9.2373052433277483</v>
      </c>
      <c r="P931">
        <f t="shared" si="449"/>
        <v>203106.7416405438</v>
      </c>
      <c r="Q931">
        <f t="shared" si="450"/>
        <v>202501.6619116714</v>
      </c>
      <c r="R931">
        <f t="shared" si="451"/>
        <v>201173.92813059775</v>
      </c>
      <c r="S931">
        <f t="shared" si="452"/>
        <v>200886.08481893811</v>
      </c>
      <c r="T931">
        <f t="shared" si="453"/>
        <v>199299.4623657437</v>
      </c>
      <c r="U931">
        <f t="shared" si="454"/>
        <v>197906.98339983245</v>
      </c>
      <c r="V931">
        <f t="shared" si="478"/>
        <v>1</v>
      </c>
      <c r="W931">
        <f t="shared" si="479"/>
        <v>0</v>
      </c>
      <c r="X931">
        <f t="shared" si="480"/>
        <v>0</v>
      </c>
      <c r="Y931">
        <f t="shared" si="481"/>
        <v>0</v>
      </c>
      <c r="Z931">
        <f t="shared" si="482"/>
        <v>0</v>
      </c>
      <c r="AA931">
        <f t="shared" ref="AA931" si="483">IF(MAX(P931:U931)=U931, 1, 0)</f>
        <v>0</v>
      </c>
      <c r="AC931">
        <f t="shared" si="471"/>
        <v>203106.7416405438</v>
      </c>
      <c r="AD931">
        <f t="shared" si="472"/>
        <v>202501.6619116714</v>
      </c>
      <c r="AE931">
        <f t="shared" si="473"/>
        <v>201173.92813059775</v>
      </c>
      <c r="AF931">
        <f t="shared" si="474"/>
        <v>200886.08481893811</v>
      </c>
      <c r="AG931">
        <f t="shared" si="475"/>
        <v>199299.4623657437</v>
      </c>
      <c r="AH931">
        <f t="shared" si="476"/>
        <v>197906.98339983245</v>
      </c>
      <c r="AI931">
        <f t="shared" si="439"/>
        <v>203106.7416405438</v>
      </c>
    </row>
    <row r="932" spans="2:35" x14ac:dyDescent="0.3">
      <c r="B932">
        <v>889</v>
      </c>
      <c r="C932">
        <v>70373.431899999996</v>
      </c>
      <c r="D932">
        <v>69681.483800000002</v>
      </c>
      <c r="E932">
        <v>69995.947</v>
      </c>
      <c r="F932">
        <v>69754.730100000001</v>
      </c>
      <c r="G932">
        <v>70243.551699999996</v>
      </c>
      <c r="H932">
        <v>70405.846999999994</v>
      </c>
      <c r="I932">
        <v>10.0266567536199</v>
      </c>
      <c r="J932">
        <v>9.9908998328911505</v>
      </c>
      <c r="K932">
        <v>9.9718637138663091</v>
      </c>
      <c r="L932">
        <v>9.9587885314240836</v>
      </c>
      <c r="M932">
        <v>9.933064228727094</v>
      </c>
      <c r="N932">
        <v>9.9091966481865619</v>
      </c>
      <c r="P932">
        <f t="shared" si="449"/>
        <v>230426.270708597</v>
      </c>
      <c r="Q932">
        <f t="shared" si="450"/>
        <v>230045.51118673454</v>
      </c>
      <c r="R932">
        <f t="shared" si="451"/>
        <v>229159.96441598929</v>
      </c>
      <c r="S932">
        <f t="shared" si="452"/>
        <v>229008.92584272253</v>
      </c>
      <c r="T932">
        <f t="shared" si="453"/>
        <v>227748.37516181282</v>
      </c>
      <c r="U932">
        <f t="shared" si="454"/>
        <v>226870.05244559684</v>
      </c>
      <c r="V932">
        <f t="shared" si="478"/>
        <v>1</v>
      </c>
      <c r="W932">
        <f t="shared" si="479"/>
        <v>0</v>
      </c>
      <c r="X932">
        <f t="shared" si="480"/>
        <v>0</v>
      </c>
      <c r="Y932">
        <f t="shared" si="481"/>
        <v>0</v>
      </c>
      <c r="Z932">
        <f t="shared" si="482"/>
        <v>0</v>
      </c>
      <c r="AC932">
        <f t="shared" si="471"/>
        <v>230426.270708597</v>
      </c>
      <c r="AD932">
        <f t="shared" si="472"/>
        <v>230045.51118673454</v>
      </c>
      <c r="AE932">
        <f t="shared" si="473"/>
        <v>229159.96441598929</v>
      </c>
      <c r="AF932">
        <f t="shared" si="474"/>
        <v>229008.92584272253</v>
      </c>
      <c r="AG932">
        <f t="shared" si="475"/>
        <v>227748.37516181282</v>
      </c>
      <c r="AH932">
        <f t="shared" si="476"/>
        <v>226870.05244559684</v>
      </c>
      <c r="AI932">
        <f t="shared" si="439"/>
        <v>230426.270708597</v>
      </c>
    </row>
    <row r="933" spans="2:35" x14ac:dyDescent="0.3">
      <c r="B933">
        <v>890</v>
      </c>
      <c r="C933">
        <v>97561.394100000005</v>
      </c>
      <c r="D933">
        <v>95795.182700000005</v>
      </c>
      <c r="E933">
        <v>95325.506599999993</v>
      </c>
      <c r="F933">
        <v>95021.623800000001</v>
      </c>
      <c r="G933">
        <v>94672.111999999994</v>
      </c>
      <c r="H933">
        <v>93896.205900000001</v>
      </c>
      <c r="I933">
        <v>11.941826660237448</v>
      </c>
      <c r="J933">
        <v>11.891646552685573</v>
      </c>
      <c r="K933">
        <v>11.850920280975441</v>
      </c>
      <c r="L933">
        <v>11.846929047472432</v>
      </c>
      <c r="M933">
        <v>11.808132536825248</v>
      </c>
      <c r="N933">
        <v>11.750452141150443</v>
      </c>
      <c r="P933">
        <f t="shared" si="449"/>
        <v>260693.40570712343</v>
      </c>
      <c r="Q933">
        <f t="shared" si="450"/>
        <v>260954.21388056717</v>
      </c>
      <c r="R933">
        <f t="shared" si="451"/>
        <v>260202.10182926324</v>
      </c>
      <c r="S933">
        <f t="shared" si="452"/>
        <v>260386.24762417295</v>
      </c>
      <c r="T933">
        <f t="shared" si="453"/>
        <v>259571.86410475746</v>
      </c>
      <c r="U933">
        <f t="shared" si="454"/>
        <v>258617.35833451332</v>
      </c>
      <c r="V933">
        <f t="shared" si="478"/>
        <v>0</v>
      </c>
      <c r="W933">
        <f t="shared" si="479"/>
        <v>1</v>
      </c>
      <c r="X933">
        <f t="shared" si="480"/>
        <v>0</v>
      </c>
      <c r="Y933">
        <f t="shared" si="481"/>
        <v>0</v>
      </c>
      <c r="Z933">
        <f t="shared" si="482"/>
        <v>0</v>
      </c>
      <c r="AA933">
        <f t="shared" ref="AA933" si="484">IF(MAX(P933:U933)=U933, 1, 0)</f>
        <v>0</v>
      </c>
      <c r="AC933">
        <f t="shared" si="471"/>
        <v>260693.40570712343</v>
      </c>
      <c r="AD933">
        <f t="shared" si="472"/>
        <v>260954.21388056717</v>
      </c>
      <c r="AE933">
        <f t="shared" si="473"/>
        <v>260202.10182926324</v>
      </c>
      <c r="AF933">
        <f t="shared" si="474"/>
        <v>260386.24762417295</v>
      </c>
      <c r="AG933">
        <f t="shared" si="475"/>
        <v>259571.86410475746</v>
      </c>
      <c r="AH933">
        <f t="shared" si="476"/>
        <v>258617.35833451332</v>
      </c>
      <c r="AI933">
        <f t="shared" si="439"/>
        <v>260954.21388056717</v>
      </c>
    </row>
    <row r="934" spans="2:35" x14ac:dyDescent="0.3">
      <c r="B934">
        <v>891</v>
      </c>
      <c r="C934">
        <v>80862.835300000006</v>
      </c>
      <c r="D934">
        <v>80729.999400000001</v>
      </c>
      <c r="E934">
        <v>81646.309099999999</v>
      </c>
      <c r="F934">
        <v>81685.965700000001</v>
      </c>
      <c r="G934">
        <v>82775.956699999995</v>
      </c>
      <c r="H934">
        <v>83665.822700000004</v>
      </c>
      <c r="I934">
        <v>10.602418906316901</v>
      </c>
      <c r="J934">
        <v>10.585651202588938</v>
      </c>
      <c r="K934">
        <v>10.570637650804979</v>
      </c>
      <c r="L934">
        <v>10.564135864882219</v>
      </c>
      <c r="M934">
        <v>10.548442150179158</v>
      </c>
      <c r="N934">
        <v>10.532973866297935</v>
      </c>
      <c r="P934">
        <f t="shared" si="449"/>
        <v>237209.73188950701</v>
      </c>
      <c r="Q934">
        <f t="shared" si="450"/>
        <v>236839.53667766813</v>
      </c>
      <c r="R934">
        <f t="shared" si="451"/>
        <v>235472.82042414939</v>
      </c>
      <c r="S934">
        <f t="shared" si="452"/>
        <v>235238.11024646659</v>
      </c>
      <c r="T934">
        <f t="shared" si="453"/>
        <v>233677.30780537473</v>
      </c>
      <c r="U934">
        <f t="shared" si="454"/>
        <v>232323.39328893804</v>
      </c>
      <c r="V934">
        <f t="shared" si="478"/>
        <v>1</v>
      </c>
      <c r="W934">
        <f t="shared" si="479"/>
        <v>0</v>
      </c>
      <c r="X934">
        <f t="shared" si="480"/>
        <v>0</v>
      </c>
      <c r="Y934">
        <f t="shared" si="481"/>
        <v>0</v>
      </c>
      <c r="Z934">
        <f t="shared" si="482"/>
        <v>0</v>
      </c>
      <c r="AC934">
        <f t="shared" si="471"/>
        <v>237209.73188950701</v>
      </c>
      <c r="AD934">
        <f t="shared" si="472"/>
        <v>236839.53667766813</v>
      </c>
      <c r="AE934">
        <f t="shared" si="473"/>
        <v>235472.82042414939</v>
      </c>
      <c r="AF934">
        <f t="shared" si="474"/>
        <v>235238.11024646659</v>
      </c>
      <c r="AG934">
        <f t="shared" si="475"/>
        <v>233677.30780537473</v>
      </c>
      <c r="AH934">
        <f t="shared" si="476"/>
        <v>232323.39328893804</v>
      </c>
      <c r="AI934">
        <f t="shared" si="439"/>
        <v>237209.73188950701</v>
      </c>
    </row>
    <row r="935" spans="2:35" x14ac:dyDescent="0.3">
      <c r="B935">
        <v>892</v>
      </c>
      <c r="C935">
        <v>69557.536300000007</v>
      </c>
      <c r="D935">
        <v>69225.304799999998</v>
      </c>
      <c r="E935">
        <v>70080.729699999996</v>
      </c>
      <c r="F935">
        <v>69965.818899999998</v>
      </c>
      <c r="G935">
        <v>70759.238400000002</v>
      </c>
      <c r="H935">
        <v>71571.894199999995</v>
      </c>
      <c r="I935">
        <v>10.163103022570402</v>
      </c>
      <c r="J935">
        <v>10.136701865479061</v>
      </c>
      <c r="K935">
        <v>10.119506513284836</v>
      </c>
      <c r="L935">
        <v>10.112725919586985</v>
      </c>
      <c r="M935">
        <v>10.089560260311005</v>
      </c>
      <c r="N935">
        <v>10.071509741990518</v>
      </c>
      <c r="P935">
        <f t="shared" si="449"/>
        <v>235335.55437711204</v>
      </c>
      <c r="Q935">
        <f t="shared" si="450"/>
        <v>234875.75116437185</v>
      </c>
      <c r="R935">
        <f t="shared" si="451"/>
        <v>233504.46569854507</v>
      </c>
      <c r="S935">
        <f t="shared" si="452"/>
        <v>233415.95868760953</v>
      </c>
      <c r="T935">
        <f t="shared" si="453"/>
        <v>231927.56940933017</v>
      </c>
      <c r="U935">
        <f t="shared" si="454"/>
        <v>230573.39805971558</v>
      </c>
      <c r="V935">
        <f t="shared" si="478"/>
        <v>1</v>
      </c>
      <c r="W935">
        <f t="shared" si="479"/>
        <v>0</v>
      </c>
      <c r="X935">
        <f t="shared" si="480"/>
        <v>0</v>
      </c>
      <c r="Y935">
        <f t="shared" si="481"/>
        <v>0</v>
      </c>
      <c r="Z935">
        <f t="shared" si="482"/>
        <v>0</v>
      </c>
      <c r="AA935">
        <f t="shared" ref="AA935" si="485">IF(MAX(P935:U935)=U935, 1, 0)</f>
        <v>0</v>
      </c>
      <c r="AC935">
        <f t="shared" si="471"/>
        <v>235335.55437711204</v>
      </c>
      <c r="AD935">
        <f t="shared" si="472"/>
        <v>234875.75116437185</v>
      </c>
      <c r="AE935">
        <f t="shared" si="473"/>
        <v>233504.46569854507</v>
      </c>
      <c r="AF935">
        <f t="shared" si="474"/>
        <v>233415.95868760953</v>
      </c>
      <c r="AG935">
        <f t="shared" si="475"/>
        <v>231927.56940933017</v>
      </c>
      <c r="AH935">
        <f t="shared" si="476"/>
        <v>230573.39805971558</v>
      </c>
      <c r="AI935">
        <f t="shared" si="439"/>
        <v>235335.55437711204</v>
      </c>
    </row>
    <row r="936" spans="2:35" x14ac:dyDescent="0.3">
      <c r="B936">
        <v>893</v>
      </c>
      <c r="C936">
        <v>73427.920899999997</v>
      </c>
      <c r="D936">
        <v>73074.881999999998</v>
      </c>
      <c r="E936">
        <v>73483.965299999996</v>
      </c>
      <c r="F936">
        <v>73733.515799999994</v>
      </c>
      <c r="G936">
        <v>74246.659100000004</v>
      </c>
      <c r="H936">
        <v>74900.018100000001</v>
      </c>
      <c r="I936">
        <v>9.1957110629659731</v>
      </c>
      <c r="J936">
        <v>9.187003010066471</v>
      </c>
      <c r="K936">
        <v>9.1804561265360274</v>
      </c>
      <c r="L936">
        <v>9.1742199111482048</v>
      </c>
      <c r="M936">
        <v>9.1687794931456104</v>
      </c>
      <c r="N936">
        <v>9.1612107062221728</v>
      </c>
      <c r="P936">
        <f t="shared" si="449"/>
        <v>202443.41098897919</v>
      </c>
      <c r="Q936">
        <f t="shared" si="450"/>
        <v>202535.20830199413</v>
      </c>
      <c r="R936">
        <f t="shared" si="451"/>
        <v>201929.71849608084</v>
      </c>
      <c r="S936">
        <f t="shared" si="452"/>
        <v>201493.08153444616</v>
      </c>
      <c r="T936">
        <f t="shared" si="453"/>
        <v>200816.7256943683</v>
      </c>
      <c r="U936">
        <f t="shared" si="454"/>
        <v>199936.30308666523</v>
      </c>
      <c r="V936">
        <f t="shared" si="478"/>
        <v>0</v>
      </c>
      <c r="W936">
        <f t="shared" si="479"/>
        <v>1</v>
      </c>
      <c r="X936">
        <f t="shared" si="480"/>
        <v>0</v>
      </c>
      <c r="Y936">
        <f t="shared" si="481"/>
        <v>0</v>
      </c>
      <c r="Z936">
        <f t="shared" si="482"/>
        <v>0</v>
      </c>
      <c r="AC936">
        <f t="shared" si="471"/>
        <v>202443.41098897919</v>
      </c>
      <c r="AD936">
        <f t="shared" si="472"/>
        <v>202535.20830199413</v>
      </c>
      <c r="AE936">
        <f t="shared" si="473"/>
        <v>201929.71849608084</v>
      </c>
      <c r="AF936">
        <f t="shared" si="474"/>
        <v>201493.08153444616</v>
      </c>
      <c r="AG936">
        <f t="shared" si="475"/>
        <v>200816.7256943683</v>
      </c>
      <c r="AH936">
        <f t="shared" si="476"/>
        <v>199936.30308666523</v>
      </c>
      <c r="AI936">
        <f t="shared" si="439"/>
        <v>202535.20830199413</v>
      </c>
    </row>
    <row r="937" spans="2:35" x14ac:dyDescent="0.3">
      <c r="B937">
        <v>894</v>
      </c>
      <c r="C937">
        <v>78540.785900000003</v>
      </c>
      <c r="D937">
        <v>77221.638300000006</v>
      </c>
      <c r="E937">
        <v>77349.552500000005</v>
      </c>
      <c r="F937">
        <v>77122.224700000006</v>
      </c>
      <c r="G937">
        <v>77086.208400000003</v>
      </c>
      <c r="H937">
        <v>77039.638600000006</v>
      </c>
      <c r="I937">
        <v>10.622528225461572</v>
      </c>
      <c r="J937">
        <v>10.591723784431052</v>
      </c>
      <c r="K937">
        <v>10.576024104283777</v>
      </c>
      <c r="L937">
        <v>10.562608896140999</v>
      </c>
      <c r="M937">
        <v>10.545558515317932</v>
      </c>
      <c r="N937">
        <v>10.518086709556094</v>
      </c>
      <c r="P937">
        <f t="shared" si="449"/>
        <v>240135.06086384715</v>
      </c>
      <c r="Q937">
        <f t="shared" si="450"/>
        <v>240530.07523293159</v>
      </c>
      <c r="R937">
        <f t="shared" si="451"/>
        <v>239931.17062851333</v>
      </c>
      <c r="S937">
        <f t="shared" si="452"/>
        <v>239756.04218422994</v>
      </c>
      <c r="T937">
        <f t="shared" si="453"/>
        <v>239280.54705953796</v>
      </c>
      <c r="U937">
        <f t="shared" si="454"/>
        <v>238502.96268668282</v>
      </c>
      <c r="V937">
        <f t="shared" si="478"/>
        <v>0</v>
      </c>
      <c r="W937">
        <f t="shared" si="479"/>
        <v>1</v>
      </c>
      <c r="X937">
        <f t="shared" si="480"/>
        <v>0</v>
      </c>
      <c r="Y937">
        <f t="shared" si="481"/>
        <v>0</v>
      </c>
      <c r="Z937">
        <f t="shared" si="482"/>
        <v>0</v>
      </c>
      <c r="AA937">
        <f t="shared" ref="AA937" si="486">IF(MAX(P937:U937)=U937, 1, 0)</f>
        <v>0</v>
      </c>
      <c r="AC937">
        <f t="shared" si="471"/>
        <v>240135.06086384715</v>
      </c>
      <c r="AD937">
        <f t="shared" si="472"/>
        <v>240530.07523293159</v>
      </c>
      <c r="AE937">
        <f t="shared" si="473"/>
        <v>239931.17062851333</v>
      </c>
      <c r="AF937">
        <f t="shared" si="474"/>
        <v>239756.04218422994</v>
      </c>
      <c r="AG937">
        <f t="shared" si="475"/>
        <v>239280.54705953796</v>
      </c>
      <c r="AH937">
        <f t="shared" si="476"/>
        <v>238502.96268668282</v>
      </c>
      <c r="AI937">
        <f t="shared" si="439"/>
        <v>240530.07523293159</v>
      </c>
    </row>
    <row r="938" spans="2:35" x14ac:dyDescent="0.3">
      <c r="B938">
        <v>895</v>
      </c>
      <c r="C938">
        <v>81915.967699999994</v>
      </c>
      <c r="D938">
        <v>81817.886100000003</v>
      </c>
      <c r="E938">
        <v>82489.763800000001</v>
      </c>
      <c r="F938">
        <v>82429.107300000003</v>
      </c>
      <c r="G938">
        <v>83430.924799999993</v>
      </c>
      <c r="H938">
        <v>84279.823300000004</v>
      </c>
      <c r="I938">
        <v>11.374597087501646</v>
      </c>
      <c r="J938">
        <v>11.353910091371958</v>
      </c>
      <c r="K938">
        <v>11.344036681417618</v>
      </c>
      <c r="L938">
        <v>11.340667623054403</v>
      </c>
      <c r="M938">
        <v>11.32655557115412</v>
      </c>
      <c r="N938">
        <v>11.311229144117881</v>
      </c>
      <c r="P938">
        <f t="shared" si="449"/>
        <v>259321.94492504944</v>
      </c>
      <c r="Q938">
        <f t="shared" si="450"/>
        <v>258799.41664115875</v>
      </c>
      <c r="R938">
        <f t="shared" si="451"/>
        <v>257831.33664252853</v>
      </c>
      <c r="S938">
        <f t="shared" si="452"/>
        <v>257790.92139163209</v>
      </c>
      <c r="T938">
        <f t="shared" si="453"/>
        <v>256365.74233462365</v>
      </c>
      <c r="U938">
        <f t="shared" si="454"/>
        <v>255057.05102353642</v>
      </c>
      <c r="V938">
        <f t="shared" si="478"/>
        <v>1</v>
      </c>
      <c r="W938">
        <f t="shared" si="479"/>
        <v>0</v>
      </c>
      <c r="X938">
        <f t="shared" si="480"/>
        <v>0</v>
      </c>
      <c r="Y938">
        <f t="shared" si="481"/>
        <v>0</v>
      </c>
      <c r="Z938">
        <f t="shared" si="482"/>
        <v>0</v>
      </c>
      <c r="AC938">
        <f t="shared" si="471"/>
        <v>259321.94492504944</v>
      </c>
      <c r="AD938">
        <f t="shared" si="472"/>
        <v>258799.41664115875</v>
      </c>
      <c r="AE938">
        <f t="shared" si="473"/>
        <v>257831.33664252853</v>
      </c>
      <c r="AF938">
        <f t="shared" si="474"/>
        <v>257790.92139163209</v>
      </c>
      <c r="AG938">
        <f t="shared" si="475"/>
        <v>256365.74233462365</v>
      </c>
      <c r="AH938">
        <f t="shared" si="476"/>
        <v>255057.05102353642</v>
      </c>
      <c r="AI938">
        <f t="shared" si="439"/>
        <v>259321.94492504944</v>
      </c>
    </row>
    <row r="939" spans="2:35" x14ac:dyDescent="0.3">
      <c r="B939">
        <v>896</v>
      </c>
      <c r="C939">
        <v>76674.522599999997</v>
      </c>
      <c r="D939">
        <v>77314.792300000001</v>
      </c>
      <c r="E939">
        <v>78439.058300000004</v>
      </c>
      <c r="F939">
        <v>78810.5576</v>
      </c>
      <c r="G939">
        <v>79970.122900000002</v>
      </c>
      <c r="H939">
        <v>81190.2837</v>
      </c>
      <c r="I939">
        <v>9.7264599676040984</v>
      </c>
      <c r="J939">
        <v>9.6953286960769827</v>
      </c>
      <c r="K939">
        <v>9.6752733086157985</v>
      </c>
      <c r="L939">
        <v>9.6636569494986375</v>
      </c>
      <c r="M939">
        <v>9.6434152761152578</v>
      </c>
      <c r="N939">
        <v>9.6241475180341158</v>
      </c>
      <c r="P939">
        <f t="shared" si="449"/>
        <v>215119.27642812298</v>
      </c>
      <c r="Q939">
        <f t="shared" si="450"/>
        <v>213545.0685823095</v>
      </c>
      <c r="R939">
        <f t="shared" si="451"/>
        <v>211819.14095847393</v>
      </c>
      <c r="S939">
        <f t="shared" si="452"/>
        <v>211099.15088495915</v>
      </c>
      <c r="T939">
        <f t="shared" si="453"/>
        <v>209332.33538345771</v>
      </c>
      <c r="U939">
        <f t="shared" si="454"/>
        <v>207534.14184102349</v>
      </c>
      <c r="V939">
        <f t="shared" si="478"/>
        <v>1</v>
      </c>
      <c r="W939">
        <f t="shared" si="479"/>
        <v>0</v>
      </c>
      <c r="X939">
        <f t="shared" si="480"/>
        <v>0</v>
      </c>
      <c r="Y939">
        <f t="shared" si="481"/>
        <v>0</v>
      </c>
      <c r="Z939">
        <f t="shared" si="482"/>
        <v>0</v>
      </c>
      <c r="AA939">
        <f t="shared" ref="AA939" si="487">IF(MAX(P939:U939)=U939, 1, 0)</f>
        <v>0</v>
      </c>
      <c r="AC939">
        <f t="shared" si="471"/>
        <v>215119.27642812298</v>
      </c>
      <c r="AD939">
        <f t="shared" si="472"/>
        <v>213545.0685823095</v>
      </c>
      <c r="AE939">
        <f t="shared" si="473"/>
        <v>211819.14095847393</v>
      </c>
      <c r="AF939">
        <f t="shared" si="474"/>
        <v>211099.15088495915</v>
      </c>
      <c r="AG939">
        <f t="shared" si="475"/>
        <v>209332.33538345771</v>
      </c>
      <c r="AH939">
        <f t="shared" si="476"/>
        <v>207534.14184102349</v>
      </c>
      <c r="AI939">
        <f t="shared" si="439"/>
        <v>215119.27642812298</v>
      </c>
    </row>
    <row r="940" spans="2:35" x14ac:dyDescent="0.3">
      <c r="B940">
        <v>897</v>
      </c>
      <c r="C940">
        <v>79114.045800000007</v>
      </c>
      <c r="D940">
        <v>78846.427299999996</v>
      </c>
      <c r="E940">
        <v>79298.232699999993</v>
      </c>
      <c r="F940">
        <v>79383.215500000006</v>
      </c>
      <c r="G940">
        <v>80036.980800000005</v>
      </c>
      <c r="H940">
        <v>80900.249500000005</v>
      </c>
      <c r="I940">
        <v>9.8129140511652704</v>
      </c>
      <c r="J940">
        <v>9.7837836227940667</v>
      </c>
      <c r="K940">
        <v>9.7667136512933297</v>
      </c>
      <c r="L940">
        <v>9.7608889156403578</v>
      </c>
      <c r="M940">
        <v>9.7382571594851903</v>
      </c>
      <c r="N940">
        <v>9.7171142655071261</v>
      </c>
      <c r="P940">
        <f t="shared" si="449"/>
        <v>215273.3757349581</v>
      </c>
      <c r="Q940">
        <f t="shared" si="450"/>
        <v>214667.08138382202</v>
      </c>
      <c r="R940">
        <f t="shared" si="451"/>
        <v>213703.1768387999</v>
      </c>
      <c r="S940">
        <f t="shared" si="452"/>
        <v>213443.45196921076</v>
      </c>
      <c r="T940">
        <f t="shared" si="453"/>
        <v>212110.7339845557</v>
      </c>
      <c r="U940">
        <f t="shared" si="454"/>
        <v>210613.17846521377</v>
      </c>
      <c r="V940">
        <f t="shared" si="478"/>
        <v>1</v>
      </c>
      <c r="W940">
        <f t="shared" si="479"/>
        <v>0</v>
      </c>
      <c r="X940">
        <f t="shared" si="480"/>
        <v>0</v>
      </c>
      <c r="Y940">
        <f t="shared" si="481"/>
        <v>0</v>
      </c>
      <c r="Z940">
        <f t="shared" si="482"/>
        <v>0</v>
      </c>
      <c r="AC940">
        <f t="shared" si="471"/>
        <v>215273.3757349581</v>
      </c>
      <c r="AD940">
        <f t="shared" si="472"/>
        <v>214667.08138382202</v>
      </c>
      <c r="AE940">
        <f t="shared" si="473"/>
        <v>213703.1768387999</v>
      </c>
      <c r="AF940">
        <f t="shared" si="474"/>
        <v>213443.45196921076</v>
      </c>
      <c r="AG940">
        <f t="shared" si="475"/>
        <v>212110.7339845557</v>
      </c>
      <c r="AH940">
        <f t="shared" si="476"/>
        <v>210613.17846521377</v>
      </c>
      <c r="AI940">
        <f t="shared" si="439"/>
        <v>215273.3757349581</v>
      </c>
    </row>
    <row r="941" spans="2:35" x14ac:dyDescent="0.3">
      <c r="B941">
        <v>898</v>
      </c>
      <c r="C941">
        <v>76855.963099999994</v>
      </c>
      <c r="D941">
        <v>74891.517900000006</v>
      </c>
      <c r="E941">
        <v>74505.970700000005</v>
      </c>
      <c r="F941">
        <v>74049.678199999995</v>
      </c>
      <c r="G941">
        <v>73578.385999999999</v>
      </c>
      <c r="H941">
        <v>73013.497099999993</v>
      </c>
      <c r="I941">
        <v>10.381586590052629</v>
      </c>
      <c r="J941">
        <v>10.333054462992504</v>
      </c>
      <c r="K941">
        <v>10.294201803505244</v>
      </c>
      <c r="L941">
        <v>10.267963175458659</v>
      </c>
      <c r="M941">
        <v>10.237046252011398</v>
      </c>
      <c r="N941">
        <v>10.198379885026499</v>
      </c>
      <c r="P941">
        <f t="shared" si="449"/>
        <v>234591.63460157887</v>
      </c>
      <c r="Q941">
        <f t="shared" si="450"/>
        <v>235100.11598977508</v>
      </c>
      <c r="R941">
        <f t="shared" si="451"/>
        <v>234320.08340515732</v>
      </c>
      <c r="S941">
        <f t="shared" si="452"/>
        <v>233989.21706375977</v>
      </c>
      <c r="T941">
        <f t="shared" si="453"/>
        <v>233533.00156034192</v>
      </c>
      <c r="U941">
        <f t="shared" si="454"/>
        <v>232937.89945079503</v>
      </c>
      <c r="V941">
        <f t="shared" si="478"/>
        <v>0</v>
      </c>
      <c r="W941">
        <f t="shared" si="479"/>
        <v>1</v>
      </c>
      <c r="X941">
        <f t="shared" si="480"/>
        <v>0</v>
      </c>
      <c r="Y941">
        <f t="shared" si="481"/>
        <v>0</v>
      </c>
      <c r="Z941">
        <f t="shared" si="482"/>
        <v>0</v>
      </c>
      <c r="AA941">
        <f t="shared" ref="AA941" si="488">IF(MAX(P941:U941)=U941, 1, 0)</f>
        <v>0</v>
      </c>
      <c r="AC941">
        <f t="shared" si="471"/>
        <v>234591.63460157887</v>
      </c>
      <c r="AD941">
        <f t="shared" si="472"/>
        <v>235100.11598977508</v>
      </c>
      <c r="AE941">
        <f t="shared" si="473"/>
        <v>234320.08340515732</v>
      </c>
      <c r="AF941">
        <f t="shared" si="474"/>
        <v>233989.21706375977</v>
      </c>
      <c r="AG941">
        <f t="shared" si="475"/>
        <v>233533.00156034192</v>
      </c>
      <c r="AH941">
        <f t="shared" si="476"/>
        <v>232937.89945079503</v>
      </c>
      <c r="AI941">
        <f t="shared" ref="AI941:AI1004" si="489">MAX(AC941:AH941)</f>
        <v>235100.11598977508</v>
      </c>
    </row>
    <row r="942" spans="2:35" x14ac:dyDescent="0.3">
      <c r="B942">
        <v>899</v>
      </c>
      <c r="C942">
        <v>78669.249100000001</v>
      </c>
      <c r="D942">
        <v>78048.872700000007</v>
      </c>
      <c r="E942">
        <v>78361.110100000005</v>
      </c>
      <c r="F942">
        <v>78627.847800000003</v>
      </c>
      <c r="G942">
        <v>79035.686900000001</v>
      </c>
      <c r="H942">
        <v>79605.117400000003</v>
      </c>
      <c r="I942">
        <v>11.008139039895452</v>
      </c>
      <c r="J942">
        <v>10.981551437699441</v>
      </c>
      <c r="K942">
        <v>10.962860292201633</v>
      </c>
      <c r="L942">
        <v>10.944164919094279</v>
      </c>
      <c r="M942">
        <v>10.927164577897356</v>
      </c>
      <c r="N942">
        <v>10.903953619063476</v>
      </c>
      <c r="P942">
        <f t="shared" si="449"/>
        <v>251574.92209686356</v>
      </c>
      <c r="Q942">
        <f t="shared" si="450"/>
        <v>251397.67043098324</v>
      </c>
      <c r="R942">
        <f t="shared" si="451"/>
        <v>250524.69866604899</v>
      </c>
      <c r="S942">
        <f t="shared" si="452"/>
        <v>249697.0997728284</v>
      </c>
      <c r="T942">
        <f t="shared" si="453"/>
        <v>248779.2504369207</v>
      </c>
      <c r="U942">
        <f t="shared" si="454"/>
        <v>247513.49117190426</v>
      </c>
      <c r="V942">
        <f t="shared" si="478"/>
        <v>1</v>
      </c>
      <c r="W942">
        <f t="shared" si="479"/>
        <v>0</v>
      </c>
      <c r="X942">
        <f t="shared" si="480"/>
        <v>0</v>
      </c>
      <c r="Y942">
        <f t="shared" si="481"/>
        <v>0</v>
      </c>
      <c r="Z942">
        <f t="shared" si="482"/>
        <v>0</v>
      </c>
      <c r="AC942">
        <f t="shared" si="471"/>
        <v>251574.92209686356</v>
      </c>
      <c r="AD942">
        <f t="shared" si="472"/>
        <v>251397.67043098324</v>
      </c>
      <c r="AE942">
        <f t="shared" si="473"/>
        <v>250524.69866604899</v>
      </c>
      <c r="AF942">
        <f t="shared" si="474"/>
        <v>249697.0997728284</v>
      </c>
      <c r="AG942">
        <f t="shared" si="475"/>
        <v>248779.2504369207</v>
      </c>
      <c r="AH942">
        <f t="shared" si="476"/>
        <v>247513.49117190426</v>
      </c>
      <c r="AI942">
        <f t="shared" si="489"/>
        <v>251574.92209686356</v>
      </c>
    </row>
    <row r="943" spans="2:35" x14ac:dyDescent="0.3">
      <c r="B943">
        <v>900</v>
      </c>
      <c r="C943">
        <v>73940.6253</v>
      </c>
      <c r="D943">
        <v>73207.939599999998</v>
      </c>
      <c r="E943">
        <v>73767.274300000005</v>
      </c>
      <c r="F943">
        <v>73892.181599999996</v>
      </c>
      <c r="G943">
        <v>74281.262900000002</v>
      </c>
      <c r="H943">
        <v>74650.260699999999</v>
      </c>
      <c r="I943">
        <v>9.3397440201804294</v>
      </c>
      <c r="J943">
        <v>9.3088595491430652</v>
      </c>
      <c r="K943">
        <v>9.29130075863889</v>
      </c>
      <c r="L943">
        <v>9.28294451927602</v>
      </c>
      <c r="M943">
        <v>9.2600364538974755</v>
      </c>
      <c r="N943">
        <v>9.2402485088185546</v>
      </c>
      <c r="P943">
        <f t="shared" si="449"/>
        <v>206251.69530541287</v>
      </c>
      <c r="Q943">
        <f t="shared" si="450"/>
        <v>206057.84687429195</v>
      </c>
      <c r="R943">
        <f t="shared" si="451"/>
        <v>204971.74845916673</v>
      </c>
      <c r="S943">
        <f t="shared" si="452"/>
        <v>204596.15397828061</v>
      </c>
      <c r="T943">
        <f t="shared" si="453"/>
        <v>203519.83071692425</v>
      </c>
      <c r="U943">
        <f t="shared" si="454"/>
        <v>202557.19456455664</v>
      </c>
      <c r="V943">
        <f t="shared" si="478"/>
        <v>1</v>
      </c>
      <c r="W943">
        <f t="shared" si="479"/>
        <v>0</v>
      </c>
      <c r="X943">
        <f t="shared" si="480"/>
        <v>0</v>
      </c>
      <c r="Y943">
        <f t="shared" si="481"/>
        <v>0</v>
      </c>
      <c r="Z943">
        <f t="shared" si="482"/>
        <v>0</v>
      </c>
      <c r="AA943">
        <f t="shared" ref="AA943" si="490">IF(MAX(P943:U943)=U943, 1, 0)</f>
        <v>0</v>
      </c>
      <c r="AC943">
        <f t="shared" si="471"/>
        <v>206251.69530541287</v>
      </c>
      <c r="AD943">
        <f t="shared" si="472"/>
        <v>206057.84687429195</v>
      </c>
      <c r="AE943">
        <f t="shared" si="473"/>
        <v>204971.74845916673</v>
      </c>
      <c r="AF943">
        <f t="shared" si="474"/>
        <v>204596.15397828061</v>
      </c>
      <c r="AG943">
        <f t="shared" si="475"/>
        <v>203519.83071692425</v>
      </c>
      <c r="AH943">
        <f t="shared" si="476"/>
        <v>202557.19456455664</v>
      </c>
      <c r="AI943">
        <f t="shared" si="489"/>
        <v>206251.69530541287</v>
      </c>
    </row>
    <row r="944" spans="2:35" x14ac:dyDescent="0.3">
      <c r="B944">
        <v>901</v>
      </c>
      <c r="C944">
        <v>71766.422500000001</v>
      </c>
      <c r="D944">
        <v>70602.046100000007</v>
      </c>
      <c r="E944">
        <v>70538.827699999994</v>
      </c>
      <c r="F944">
        <v>70309.105899999995</v>
      </c>
      <c r="G944">
        <v>70324.497300000003</v>
      </c>
      <c r="H944">
        <v>70628.911999999997</v>
      </c>
      <c r="I944">
        <v>10.603759093505888</v>
      </c>
      <c r="J944">
        <v>10.566881467177877</v>
      </c>
      <c r="K944">
        <v>10.532303042722306</v>
      </c>
      <c r="L944">
        <v>10.520502031183264</v>
      </c>
      <c r="M944">
        <v>10.475896165729417</v>
      </c>
      <c r="N944">
        <v>10.458095347873712</v>
      </c>
      <c r="P944">
        <f t="shared" si="449"/>
        <v>246346.35030517663</v>
      </c>
      <c r="Q944">
        <f t="shared" si="450"/>
        <v>246404.39791533633</v>
      </c>
      <c r="R944">
        <f t="shared" si="451"/>
        <v>245430.26358166922</v>
      </c>
      <c r="S944">
        <f t="shared" si="452"/>
        <v>245305.95503549793</v>
      </c>
      <c r="T944">
        <f t="shared" si="453"/>
        <v>243952.38767188252</v>
      </c>
      <c r="U944">
        <f t="shared" si="454"/>
        <v>243113.94843621133</v>
      </c>
      <c r="V944">
        <f t="shared" si="478"/>
        <v>0</v>
      </c>
      <c r="W944">
        <f t="shared" si="479"/>
        <v>1</v>
      </c>
      <c r="X944">
        <f t="shared" si="480"/>
        <v>0</v>
      </c>
      <c r="Y944">
        <f t="shared" si="481"/>
        <v>0</v>
      </c>
      <c r="Z944">
        <f t="shared" si="482"/>
        <v>0</v>
      </c>
      <c r="AC944">
        <f t="shared" si="471"/>
        <v>246346.35030517663</v>
      </c>
      <c r="AD944">
        <f t="shared" si="472"/>
        <v>246404.39791533633</v>
      </c>
      <c r="AE944">
        <f t="shared" si="473"/>
        <v>245430.26358166922</v>
      </c>
      <c r="AF944">
        <f t="shared" si="474"/>
        <v>245305.95503549793</v>
      </c>
      <c r="AG944">
        <f t="shared" si="475"/>
        <v>243952.38767188252</v>
      </c>
      <c r="AH944">
        <f t="shared" si="476"/>
        <v>243113.94843621133</v>
      </c>
      <c r="AI944">
        <f t="shared" si="489"/>
        <v>246404.39791533633</v>
      </c>
    </row>
    <row r="945" spans="2:35" x14ac:dyDescent="0.3">
      <c r="B945">
        <v>902</v>
      </c>
      <c r="C945">
        <v>66348.387300000002</v>
      </c>
      <c r="D945">
        <v>65643.410499999998</v>
      </c>
      <c r="E945">
        <v>65921.585099999997</v>
      </c>
      <c r="F945">
        <v>65831.650299999994</v>
      </c>
      <c r="G945">
        <v>66333.1682</v>
      </c>
      <c r="H945">
        <v>66739.743900000001</v>
      </c>
      <c r="I945">
        <v>9.9634611798344821</v>
      </c>
      <c r="J945">
        <v>9.9537563103914923</v>
      </c>
      <c r="K945">
        <v>9.9485599288219397</v>
      </c>
      <c r="L945">
        <v>9.9461661748206627</v>
      </c>
      <c r="M945">
        <v>9.9397336923565494</v>
      </c>
      <c r="N945">
        <v>9.9316427560722129</v>
      </c>
      <c r="P945">
        <f t="shared" si="449"/>
        <v>232555.44809503446</v>
      </c>
      <c r="Q945">
        <f t="shared" si="450"/>
        <v>232969.27881174476</v>
      </c>
      <c r="R945">
        <f t="shared" si="451"/>
        <v>232535.21276465818</v>
      </c>
      <c r="S945">
        <f t="shared" si="452"/>
        <v>232553.33494461991</v>
      </c>
      <c r="T945">
        <f t="shared" si="453"/>
        <v>231858.84257069649</v>
      </c>
      <c r="U945">
        <f t="shared" si="454"/>
        <v>231209.53878216638</v>
      </c>
      <c r="V945">
        <f t="shared" si="478"/>
        <v>0</v>
      </c>
      <c r="W945">
        <f t="shared" si="479"/>
        <v>1</v>
      </c>
      <c r="X945">
        <f t="shared" si="480"/>
        <v>0</v>
      </c>
      <c r="Y945">
        <f t="shared" si="481"/>
        <v>0</v>
      </c>
      <c r="Z945">
        <f t="shared" si="482"/>
        <v>0</v>
      </c>
      <c r="AA945">
        <f t="shared" ref="AA945" si="491">IF(MAX(P945:U945)=U945, 1, 0)</f>
        <v>0</v>
      </c>
      <c r="AC945">
        <f t="shared" si="471"/>
        <v>232555.44809503446</v>
      </c>
      <c r="AD945">
        <f t="shared" si="472"/>
        <v>232969.27881174476</v>
      </c>
      <c r="AE945">
        <f t="shared" si="473"/>
        <v>232535.21276465818</v>
      </c>
      <c r="AF945">
        <f t="shared" si="474"/>
        <v>232553.33494461991</v>
      </c>
      <c r="AG945">
        <f t="shared" si="475"/>
        <v>231858.84257069649</v>
      </c>
      <c r="AH945">
        <f t="shared" si="476"/>
        <v>231209.53878216638</v>
      </c>
      <c r="AI945">
        <f t="shared" si="489"/>
        <v>232969.27881174476</v>
      </c>
    </row>
    <row r="946" spans="2:35" x14ac:dyDescent="0.3">
      <c r="B946">
        <v>903</v>
      </c>
      <c r="C946">
        <v>71858.962100000004</v>
      </c>
      <c r="D946">
        <v>70898.950700000001</v>
      </c>
      <c r="E946">
        <v>71106.959600000002</v>
      </c>
      <c r="F946">
        <v>71048.057700000005</v>
      </c>
      <c r="G946">
        <v>71347.503299999997</v>
      </c>
      <c r="H946">
        <v>71603.206300000005</v>
      </c>
      <c r="I946">
        <v>10.560910932375446</v>
      </c>
      <c r="J946">
        <v>10.538826356123533</v>
      </c>
      <c r="K946">
        <v>10.518771978904189</v>
      </c>
      <c r="L946">
        <v>10.510308720852484</v>
      </c>
      <c r="M946">
        <v>10.497394893394624</v>
      </c>
      <c r="N946">
        <v>10.478728942702055</v>
      </c>
      <c r="P946">
        <f t="shared" si="449"/>
        <v>244968.36587126338</v>
      </c>
      <c r="Q946">
        <f t="shared" si="450"/>
        <v>245265.83998370601</v>
      </c>
      <c r="R946">
        <f t="shared" si="451"/>
        <v>244456.19976712565</v>
      </c>
      <c r="S946">
        <f t="shared" si="452"/>
        <v>244261.20392557449</v>
      </c>
      <c r="T946">
        <f t="shared" si="453"/>
        <v>243574.34350183874</v>
      </c>
      <c r="U946">
        <f t="shared" si="454"/>
        <v>242758.66198106162</v>
      </c>
      <c r="V946">
        <f t="shared" si="478"/>
        <v>0</v>
      </c>
      <c r="W946">
        <f t="shared" si="479"/>
        <v>1</v>
      </c>
      <c r="X946">
        <f t="shared" si="480"/>
        <v>0</v>
      </c>
      <c r="Y946">
        <f t="shared" si="481"/>
        <v>0</v>
      </c>
      <c r="Z946">
        <f t="shared" si="482"/>
        <v>0</v>
      </c>
      <c r="AC946">
        <f t="shared" si="471"/>
        <v>244968.36587126338</v>
      </c>
      <c r="AD946">
        <f t="shared" si="472"/>
        <v>245265.83998370601</v>
      </c>
      <c r="AE946">
        <f t="shared" si="473"/>
        <v>244456.19976712565</v>
      </c>
      <c r="AF946">
        <f t="shared" si="474"/>
        <v>244261.20392557449</v>
      </c>
      <c r="AG946">
        <f t="shared" si="475"/>
        <v>243574.34350183874</v>
      </c>
      <c r="AH946">
        <f t="shared" si="476"/>
        <v>242758.66198106162</v>
      </c>
      <c r="AI946">
        <f t="shared" si="489"/>
        <v>245265.83998370601</v>
      </c>
    </row>
    <row r="947" spans="2:35" x14ac:dyDescent="0.3">
      <c r="B947">
        <v>904</v>
      </c>
      <c r="C947">
        <v>74304.973499999993</v>
      </c>
      <c r="D947">
        <v>72773.546300000002</v>
      </c>
      <c r="E947">
        <v>72849.097299999994</v>
      </c>
      <c r="F947">
        <v>72658.955799999996</v>
      </c>
      <c r="G947">
        <v>72519.1394</v>
      </c>
      <c r="H947">
        <v>72529.584300000002</v>
      </c>
      <c r="I947">
        <v>11.021077370714984</v>
      </c>
      <c r="J947">
        <v>11.002877121332345</v>
      </c>
      <c r="K947">
        <v>10.990730033006992</v>
      </c>
      <c r="L947">
        <v>10.982341473118128</v>
      </c>
      <c r="M947">
        <v>10.972270291599738</v>
      </c>
      <c r="N947">
        <v>10.959639478404506</v>
      </c>
      <c r="P947">
        <f t="shared" si="449"/>
        <v>256327.34762144953</v>
      </c>
      <c r="Q947">
        <f t="shared" si="450"/>
        <v>257312.76733997033</v>
      </c>
      <c r="R947">
        <f t="shared" si="451"/>
        <v>256872.80369020978</v>
      </c>
      <c r="S947">
        <f t="shared" si="452"/>
        <v>256811.28839354386</v>
      </c>
      <c r="T947">
        <f t="shared" si="453"/>
        <v>256648.96934799216</v>
      </c>
      <c r="U947">
        <f t="shared" si="454"/>
        <v>256259.60005213518</v>
      </c>
      <c r="V947">
        <f t="shared" si="478"/>
        <v>0</v>
      </c>
      <c r="W947">
        <f t="shared" si="479"/>
        <v>1</v>
      </c>
      <c r="X947">
        <f t="shared" si="480"/>
        <v>0</v>
      </c>
      <c r="Y947">
        <f t="shared" si="481"/>
        <v>0</v>
      </c>
      <c r="Z947">
        <f t="shared" si="482"/>
        <v>0</v>
      </c>
      <c r="AA947">
        <f t="shared" ref="AA947" si="492">IF(MAX(P947:U947)=U947, 1, 0)</f>
        <v>0</v>
      </c>
      <c r="AC947">
        <f t="shared" si="471"/>
        <v>256327.34762144953</v>
      </c>
      <c r="AD947">
        <f t="shared" si="472"/>
        <v>257312.76733997033</v>
      </c>
      <c r="AE947">
        <f t="shared" si="473"/>
        <v>256872.80369020978</v>
      </c>
      <c r="AF947">
        <f t="shared" si="474"/>
        <v>256811.28839354386</v>
      </c>
      <c r="AG947">
        <f t="shared" si="475"/>
        <v>256648.96934799216</v>
      </c>
      <c r="AH947">
        <f t="shared" si="476"/>
        <v>256259.60005213518</v>
      </c>
      <c r="AI947">
        <f t="shared" si="489"/>
        <v>257312.76733997033</v>
      </c>
    </row>
    <row r="948" spans="2:35" x14ac:dyDescent="0.3">
      <c r="B948">
        <v>905</v>
      </c>
      <c r="C948">
        <v>65763.9761</v>
      </c>
      <c r="D948">
        <v>65160.139300000003</v>
      </c>
      <c r="E948">
        <v>65671.591899999999</v>
      </c>
      <c r="F948">
        <v>65653.901800000007</v>
      </c>
      <c r="G948">
        <v>65931.209099999993</v>
      </c>
      <c r="H948">
        <v>66477.426900000006</v>
      </c>
      <c r="I948">
        <v>9.7386900554018183</v>
      </c>
      <c r="J948">
        <v>9.711989743594879</v>
      </c>
      <c r="K948">
        <v>9.6924782622135019</v>
      </c>
      <c r="L948">
        <v>9.6780673806998774</v>
      </c>
      <c r="M948">
        <v>9.6653425640165551</v>
      </c>
      <c r="N948">
        <v>9.6392173604189146</v>
      </c>
      <c r="P948">
        <f t="shared" si="449"/>
        <v>226396.72556205458</v>
      </c>
      <c r="Q948">
        <f t="shared" si="450"/>
        <v>226199.55300784638</v>
      </c>
      <c r="R948">
        <f t="shared" si="451"/>
        <v>225102.75596640503</v>
      </c>
      <c r="S948">
        <f t="shared" si="452"/>
        <v>224688.11962099635</v>
      </c>
      <c r="T948">
        <f t="shared" si="453"/>
        <v>224029.06782049668</v>
      </c>
      <c r="U948">
        <f t="shared" si="454"/>
        <v>222699.09391256742</v>
      </c>
      <c r="V948">
        <f t="shared" si="478"/>
        <v>1</v>
      </c>
      <c r="W948">
        <f t="shared" si="479"/>
        <v>0</v>
      </c>
      <c r="X948">
        <f t="shared" si="480"/>
        <v>0</v>
      </c>
      <c r="Y948">
        <f t="shared" si="481"/>
        <v>0</v>
      </c>
      <c r="Z948">
        <f t="shared" si="482"/>
        <v>0</v>
      </c>
      <c r="AC948">
        <f t="shared" si="471"/>
        <v>226396.72556205458</v>
      </c>
      <c r="AD948">
        <f t="shared" si="472"/>
        <v>226199.55300784638</v>
      </c>
      <c r="AE948">
        <f t="shared" si="473"/>
        <v>225102.75596640503</v>
      </c>
      <c r="AF948">
        <f t="shared" si="474"/>
        <v>224688.11962099635</v>
      </c>
      <c r="AG948">
        <f t="shared" si="475"/>
        <v>224029.06782049668</v>
      </c>
      <c r="AH948">
        <f t="shared" si="476"/>
        <v>222699.09391256742</v>
      </c>
      <c r="AI948">
        <f t="shared" si="489"/>
        <v>226396.72556205458</v>
      </c>
    </row>
    <row r="949" spans="2:35" x14ac:dyDescent="0.3">
      <c r="B949">
        <v>906</v>
      </c>
      <c r="C949">
        <v>73785.795700000002</v>
      </c>
      <c r="D949">
        <v>72914.007500000007</v>
      </c>
      <c r="E949">
        <v>73458.059399999998</v>
      </c>
      <c r="F949">
        <v>73425.773199999996</v>
      </c>
      <c r="G949">
        <v>73712.029399999999</v>
      </c>
      <c r="H949">
        <v>74050.905599999998</v>
      </c>
      <c r="I949">
        <v>9.5961166221155256</v>
      </c>
      <c r="J949">
        <v>9.5628344584802321</v>
      </c>
      <c r="K949">
        <v>9.541135213727669</v>
      </c>
      <c r="L949">
        <v>9.5288151059041937</v>
      </c>
      <c r="M949">
        <v>9.5017680345429429</v>
      </c>
      <c r="N949">
        <v>9.4829023090304609</v>
      </c>
      <c r="P949">
        <f t="shared" si="449"/>
        <v>214097.70296346577</v>
      </c>
      <c r="Q949">
        <f t="shared" si="450"/>
        <v>213971.02625440696</v>
      </c>
      <c r="R949">
        <f t="shared" si="451"/>
        <v>212775.99701183007</v>
      </c>
      <c r="S949">
        <f t="shared" si="452"/>
        <v>212438.67997712584</v>
      </c>
      <c r="T949">
        <f t="shared" si="453"/>
        <v>211341.01163628831</v>
      </c>
      <c r="U949">
        <f t="shared" si="454"/>
        <v>210436.16367091384</v>
      </c>
      <c r="V949">
        <f t="shared" si="478"/>
        <v>1</v>
      </c>
      <c r="W949">
        <f t="shared" si="479"/>
        <v>0</v>
      </c>
      <c r="X949">
        <f t="shared" si="480"/>
        <v>0</v>
      </c>
      <c r="Y949">
        <f t="shared" si="481"/>
        <v>0</v>
      </c>
      <c r="Z949">
        <f t="shared" si="482"/>
        <v>0</v>
      </c>
      <c r="AA949">
        <f t="shared" ref="AA949" si="493">IF(MAX(P949:U949)=U949, 1, 0)</f>
        <v>0</v>
      </c>
      <c r="AC949">
        <f t="shared" si="471"/>
        <v>214097.70296346577</v>
      </c>
      <c r="AD949">
        <f t="shared" si="472"/>
        <v>213971.02625440696</v>
      </c>
      <c r="AE949">
        <f t="shared" si="473"/>
        <v>212775.99701183007</v>
      </c>
      <c r="AF949">
        <f t="shared" si="474"/>
        <v>212438.67997712584</v>
      </c>
      <c r="AG949">
        <f t="shared" si="475"/>
        <v>211341.01163628831</v>
      </c>
      <c r="AH949">
        <f t="shared" si="476"/>
        <v>210436.16367091384</v>
      </c>
      <c r="AI949">
        <f t="shared" si="489"/>
        <v>214097.70296346577</v>
      </c>
    </row>
    <row r="950" spans="2:35" x14ac:dyDescent="0.3">
      <c r="B950">
        <v>907</v>
      </c>
      <c r="C950">
        <v>82540.8465</v>
      </c>
      <c r="D950">
        <v>81605.366099999999</v>
      </c>
      <c r="E950">
        <v>81877.802200000006</v>
      </c>
      <c r="F950">
        <v>81783.571100000001</v>
      </c>
      <c r="G950">
        <v>82042.761299999998</v>
      </c>
      <c r="H950">
        <v>82245.776899999997</v>
      </c>
      <c r="I950">
        <v>10.266668222954699</v>
      </c>
      <c r="J950">
        <v>10.255374827686827</v>
      </c>
      <c r="K950">
        <v>10.242896493916421</v>
      </c>
      <c r="L950">
        <v>10.239287637209882</v>
      </c>
      <c r="M950">
        <v>10.23160740395484</v>
      </c>
      <c r="N950">
        <v>10.219461051438895</v>
      </c>
      <c r="P950">
        <f t="shared" si="449"/>
        <v>225459.20018864097</v>
      </c>
      <c r="Q950">
        <f t="shared" si="450"/>
        <v>226055.87873060483</v>
      </c>
      <c r="R950">
        <f t="shared" si="451"/>
        <v>225409.09261749263</v>
      </c>
      <c r="S950">
        <f t="shared" si="452"/>
        <v>225395.05801629648</v>
      </c>
      <c r="T950">
        <f t="shared" si="453"/>
        <v>224905.4608186452</v>
      </c>
      <c r="U950">
        <f t="shared" si="454"/>
        <v>224338.05464316683</v>
      </c>
      <c r="V950">
        <f t="shared" si="478"/>
        <v>0</v>
      </c>
      <c r="W950">
        <f t="shared" si="479"/>
        <v>1</v>
      </c>
      <c r="X950">
        <f t="shared" si="480"/>
        <v>0</v>
      </c>
      <c r="Y950">
        <f t="shared" si="481"/>
        <v>0</v>
      </c>
      <c r="Z950">
        <f t="shared" si="482"/>
        <v>0</v>
      </c>
      <c r="AC950">
        <f t="shared" si="471"/>
        <v>225459.20018864097</v>
      </c>
      <c r="AD950">
        <f t="shared" si="472"/>
        <v>226055.87873060483</v>
      </c>
      <c r="AE950">
        <f t="shared" si="473"/>
        <v>225409.09261749263</v>
      </c>
      <c r="AF950">
        <f t="shared" si="474"/>
        <v>225395.05801629648</v>
      </c>
      <c r="AG950">
        <f t="shared" si="475"/>
        <v>224905.4608186452</v>
      </c>
      <c r="AH950">
        <f t="shared" si="476"/>
        <v>224338.05464316683</v>
      </c>
      <c r="AI950">
        <f t="shared" si="489"/>
        <v>226055.87873060483</v>
      </c>
    </row>
    <row r="951" spans="2:35" x14ac:dyDescent="0.3">
      <c r="B951">
        <v>908</v>
      </c>
      <c r="C951">
        <v>86419.219700000001</v>
      </c>
      <c r="D951">
        <v>85527.389299999995</v>
      </c>
      <c r="E951">
        <v>85902.161800000002</v>
      </c>
      <c r="F951">
        <v>85659.660900000003</v>
      </c>
      <c r="G951">
        <v>86084.962799999994</v>
      </c>
      <c r="H951">
        <v>86438.447700000004</v>
      </c>
      <c r="I951">
        <v>10.691476116489811</v>
      </c>
      <c r="J951">
        <v>10.669947292473616</v>
      </c>
      <c r="K951">
        <v>10.646738868129255</v>
      </c>
      <c r="L951">
        <v>10.645915145882526</v>
      </c>
      <c r="M951">
        <v>10.622412403821398</v>
      </c>
      <c r="N951">
        <v>10.602211195206829</v>
      </c>
      <c r="P951">
        <f t="shared" si="449"/>
        <v>234325.06379469432</v>
      </c>
      <c r="Q951">
        <f t="shared" si="450"/>
        <v>234571.02947420848</v>
      </c>
      <c r="R951">
        <f t="shared" si="451"/>
        <v>233500.00424387766</v>
      </c>
      <c r="S951">
        <f t="shared" si="452"/>
        <v>233717.79347647575</v>
      </c>
      <c r="T951">
        <f t="shared" si="453"/>
        <v>232587.40931464196</v>
      </c>
      <c r="U951">
        <f t="shared" si="454"/>
        <v>231627.88815620483</v>
      </c>
      <c r="V951">
        <f t="shared" si="478"/>
        <v>0</v>
      </c>
      <c r="W951">
        <f t="shared" si="479"/>
        <v>1</v>
      </c>
      <c r="X951">
        <f t="shared" si="480"/>
        <v>0</v>
      </c>
      <c r="Y951">
        <f t="shared" si="481"/>
        <v>0</v>
      </c>
      <c r="Z951">
        <f t="shared" si="482"/>
        <v>0</v>
      </c>
      <c r="AA951">
        <f t="shared" ref="AA951" si="494">IF(MAX(P951:U951)=U951, 1, 0)</f>
        <v>0</v>
      </c>
      <c r="AC951">
        <f t="shared" si="471"/>
        <v>234325.06379469432</v>
      </c>
      <c r="AD951">
        <f t="shared" si="472"/>
        <v>234571.02947420848</v>
      </c>
      <c r="AE951">
        <f t="shared" si="473"/>
        <v>233500.00424387766</v>
      </c>
      <c r="AF951">
        <f t="shared" si="474"/>
        <v>233717.79347647575</v>
      </c>
      <c r="AG951">
        <f t="shared" si="475"/>
        <v>232587.40931464196</v>
      </c>
      <c r="AH951">
        <f t="shared" si="476"/>
        <v>231627.88815620483</v>
      </c>
      <c r="AI951">
        <f t="shared" si="489"/>
        <v>234571.02947420848</v>
      </c>
    </row>
    <row r="952" spans="2:35" x14ac:dyDescent="0.3">
      <c r="B952">
        <v>909</v>
      </c>
      <c r="C952">
        <v>80020.700100000002</v>
      </c>
      <c r="D952">
        <v>78767.3125</v>
      </c>
      <c r="E952">
        <v>78791.514999999999</v>
      </c>
      <c r="F952">
        <v>78649.876300000004</v>
      </c>
      <c r="G952">
        <v>78455.073999999993</v>
      </c>
      <c r="H952">
        <v>78517.036900000006</v>
      </c>
      <c r="I952">
        <v>11.541943704909542</v>
      </c>
      <c r="J952">
        <v>11.492989933895503</v>
      </c>
      <c r="K952">
        <v>11.454733759487029</v>
      </c>
      <c r="L952">
        <v>11.439063492144703</v>
      </c>
      <c r="M952">
        <v>11.388501452408255</v>
      </c>
      <c r="N952">
        <v>11.349153829028841</v>
      </c>
      <c r="P952">
        <f t="shared" si="449"/>
        <v>266237.61104728625</v>
      </c>
      <c r="Q952">
        <f t="shared" si="450"/>
        <v>266022.38551686506</v>
      </c>
      <c r="R952">
        <f t="shared" si="451"/>
        <v>264850.49778461084</v>
      </c>
      <c r="S952">
        <f t="shared" si="452"/>
        <v>264522.02846434107</v>
      </c>
      <c r="T952">
        <f t="shared" si="453"/>
        <v>263199.96957224759</v>
      </c>
      <c r="U952">
        <f t="shared" si="454"/>
        <v>261957.57797086524</v>
      </c>
      <c r="V952">
        <f t="shared" si="478"/>
        <v>1</v>
      </c>
      <c r="W952">
        <f t="shared" si="479"/>
        <v>0</v>
      </c>
      <c r="X952">
        <f t="shared" si="480"/>
        <v>0</v>
      </c>
      <c r="Y952">
        <f t="shared" si="481"/>
        <v>0</v>
      </c>
      <c r="Z952">
        <f t="shared" si="482"/>
        <v>0</v>
      </c>
      <c r="AC952">
        <f t="shared" si="471"/>
        <v>266237.61104728625</v>
      </c>
      <c r="AD952">
        <f t="shared" si="472"/>
        <v>266022.38551686506</v>
      </c>
      <c r="AE952">
        <f t="shared" si="473"/>
        <v>264850.49778461084</v>
      </c>
      <c r="AF952">
        <f t="shared" si="474"/>
        <v>264522.02846434107</v>
      </c>
      <c r="AG952">
        <f t="shared" si="475"/>
        <v>263199.96957224759</v>
      </c>
      <c r="AH952">
        <f t="shared" si="476"/>
        <v>261957.57797086524</v>
      </c>
      <c r="AI952">
        <f t="shared" si="489"/>
        <v>266237.61104728625</v>
      </c>
    </row>
    <row r="953" spans="2:35" x14ac:dyDescent="0.3">
      <c r="B953">
        <v>910</v>
      </c>
      <c r="C953">
        <v>75240.839600000007</v>
      </c>
      <c r="D953">
        <v>74890.313099999999</v>
      </c>
      <c r="E953">
        <v>75970.6783</v>
      </c>
      <c r="F953">
        <v>76086.155700000003</v>
      </c>
      <c r="G953">
        <v>76811.403200000001</v>
      </c>
      <c r="H953">
        <v>77719.778399999996</v>
      </c>
      <c r="I953">
        <v>11.41451291691188</v>
      </c>
      <c r="J953">
        <v>11.378579943248265</v>
      </c>
      <c r="K953">
        <v>11.344873766728217</v>
      </c>
      <c r="L953">
        <v>11.327091727065326</v>
      </c>
      <c r="M953">
        <v>11.30416181332976</v>
      </c>
      <c r="N953">
        <v>11.265141122400317</v>
      </c>
      <c r="P953">
        <f t="shared" si="449"/>
        <v>267194.54790735641</v>
      </c>
      <c r="Q953">
        <f t="shared" si="450"/>
        <v>266467.08519744792</v>
      </c>
      <c r="R953">
        <f t="shared" si="451"/>
        <v>264375.53470184654</v>
      </c>
      <c r="S953">
        <f t="shared" si="452"/>
        <v>263726.59611195978</v>
      </c>
      <c r="T953">
        <f t="shared" si="453"/>
        <v>262313.45119989279</v>
      </c>
      <c r="U953">
        <f t="shared" si="454"/>
        <v>260234.45527200948</v>
      </c>
      <c r="V953">
        <f t="shared" si="478"/>
        <v>1</v>
      </c>
      <c r="W953">
        <f t="shared" si="479"/>
        <v>0</v>
      </c>
      <c r="X953">
        <f t="shared" si="480"/>
        <v>0</v>
      </c>
      <c r="Y953">
        <f t="shared" si="481"/>
        <v>0</v>
      </c>
      <c r="Z953">
        <f t="shared" si="482"/>
        <v>0</v>
      </c>
      <c r="AA953">
        <f t="shared" ref="AA953" si="495">IF(MAX(P953:U953)=U953, 1, 0)</f>
        <v>0</v>
      </c>
      <c r="AC953">
        <f t="shared" si="471"/>
        <v>267194.54790735641</v>
      </c>
      <c r="AD953">
        <f t="shared" si="472"/>
        <v>266467.08519744792</v>
      </c>
      <c r="AE953">
        <f t="shared" si="473"/>
        <v>264375.53470184654</v>
      </c>
      <c r="AF953">
        <f t="shared" si="474"/>
        <v>263726.59611195978</v>
      </c>
      <c r="AG953">
        <f t="shared" si="475"/>
        <v>262313.45119989279</v>
      </c>
      <c r="AH953">
        <f t="shared" si="476"/>
        <v>260234.45527200948</v>
      </c>
      <c r="AI953">
        <f t="shared" si="489"/>
        <v>267194.54790735641</v>
      </c>
    </row>
    <row r="954" spans="2:35" x14ac:dyDescent="0.3">
      <c r="B954">
        <v>911</v>
      </c>
      <c r="C954">
        <v>77026.375</v>
      </c>
      <c r="D954">
        <v>75226.553700000004</v>
      </c>
      <c r="E954">
        <v>74929.483399999997</v>
      </c>
      <c r="F954">
        <v>74673.538499999995</v>
      </c>
      <c r="G954">
        <v>74466.881399999998</v>
      </c>
      <c r="H954">
        <v>73928.034</v>
      </c>
      <c r="I954">
        <v>11.503678024619134</v>
      </c>
      <c r="J954">
        <v>11.457312714983525</v>
      </c>
      <c r="K954">
        <v>11.42351549140194</v>
      </c>
      <c r="L954">
        <v>11.413687440707495</v>
      </c>
      <c r="M954">
        <v>11.384937244675271</v>
      </c>
      <c r="N954">
        <v>11.343484122227858</v>
      </c>
      <c r="P954">
        <f t="shared" si="449"/>
        <v>268083.96573857404</v>
      </c>
      <c r="Q954">
        <f t="shared" si="450"/>
        <v>268492.82774950576</v>
      </c>
      <c r="R954">
        <f t="shared" si="451"/>
        <v>267775.98134205816</v>
      </c>
      <c r="S954">
        <f t="shared" si="452"/>
        <v>267737.08472122485</v>
      </c>
      <c r="T954">
        <f t="shared" si="453"/>
        <v>267081.23594025814</v>
      </c>
      <c r="U954">
        <f t="shared" si="454"/>
        <v>266376.48966683575</v>
      </c>
      <c r="V954">
        <f t="shared" si="478"/>
        <v>0</v>
      </c>
      <c r="W954">
        <f t="shared" si="479"/>
        <v>1</v>
      </c>
      <c r="X954">
        <f t="shared" si="480"/>
        <v>0</v>
      </c>
      <c r="Y954">
        <f t="shared" si="481"/>
        <v>0</v>
      </c>
      <c r="Z954">
        <f t="shared" si="482"/>
        <v>0</v>
      </c>
      <c r="AC954">
        <f t="shared" si="471"/>
        <v>268083.96573857404</v>
      </c>
      <c r="AD954">
        <f t="shared" si="472"/>
        <v>268492.82774950576</v>
      </c>
      <c r="AE954">
        <f t="shared" si="473"/>
        <v>267775.98134205816</v>
      </c>
      <c r="AF954">
        <f t="shared" si="474"/>
        <v>267737.08472122485</v>
      </c>
      <c r="AG954">
        <f t="shared" si="475"/>
        <v>267081.23594025814</v>
      </c>
      <c r="AH954">
        <f t="shared" si="476"/>
        <v>266376.48966683575</v>
      </c>
      <c r="AI954">
        <f t="shared" si="489"/>
        <v>268492.82774950576</v>
      </c>
    </row>
    <row r="955" spans="2:35" x14ac:dyDescent="0.3">
      <c r="B955">
        <v>912</v>
      </c>
      <c r="C955">
        <v>63798.815999999999</v>
      </c>
      <c r="D955">
        <v>62789.224900000001</v>
      </c>
      <c r="E955">
        <v>62917.840400000001</v>
      </c>
      <c r="F955">
        <v>62802.419000000002</v>
      </c>
      <c r="G955">
        <v>63043.049700000003</v>
      </c>
      <c r="H955">
        <v>63223.340499999998</v>
      </c>
      <c r="I955">
        <v>10.330559803318586</v>
      </c>
      <c r="J955">
        <v>10.293769298815914</v>
      </c>
      <c r="K955">
        <v>10.264444250079384</v>
      </c>
      <c r="L955">
        <v>10.245160676787274</v>
      </c>
      <c r="M955">
        <v>10.216821484763649</v>
      </c>
      <c r="N955">
        <v>10.180301200934926</v>
      </c>
      <c r="P955">
        <f t="shared" si="449"/>
        <v>246117.97809955757</v>
      </c>
      <c r="Q955">
        <f t="shared" si="450"/>
        <v>246023.8540644774</v>
      </c>
      <c r="R955">
        <f t="shared" si="451"/>
        <v>245015.48710238154</v>
      </c>
      <c r="S955">
        <f t="shared" si="452"/>
        <v>244552.40130361822</v>
      </c>
      <c r="T955">
        <f t="shared" si="453"/>
        <v>243461.59484290946</v>
      </c>
      <c r="U955">
        <f t="shared" si="454"/>
        <v>242185.6955280478</v>
      </c>
      <c r="V955">
        <f t="shared" si="478"/>
        <v>1</v>
      </c>
      <c r="W955">
        <f t="shared" si="479"/>
        <v>0</v>
      </c>
      <c r="X955">
        <f t="shared" si="480"/>
        <v>0</v>
      </c>
      <c r="Y955">
        <f t="shared" si="481"/>
        <v>0</v>
      </c>
      <c r="Z955">
        <f t="shared" si="482"/>
        <v>0</v>
      </c>
      <c r="AA955">
        <f t="shared" ref="AA955" si="496">IF(MAX(P955:U955)=U955, 1, 0)</f>
        <v>0</v>
      </c>
      <c r="AC955">
        <f t="shared" si="471"/>
        <v>246117.97809955757</v>
      </c>
      <c r="AD955">
        <f t="shared" si="472"/>
        <v>246023.8540644774</v>
      </c>
      <c r="AE955">
        <f t="shared" si="473"/>
        <v>245015.48710238154</v>
      </c>
      <c r="AF955">
        <f t="shared" si="474"/>
        <v>244552.40130361822</v>
      </c>
      <c r="AG955">
        <f t="shared" si="475"/>
        <v>243461.59484290946</v>
      </c>
      <c r="AH955">
        <f t="shared" si="476"/>
        <v>242185.6955280478</v>
      </c>
      <c r="AI955">
        <f t="shared" si="489"/>
        <v>246117.97809955757</v>
      </c>
    </row>
    <row r="956" spans="2:35" x14ac:dyDescent="0.3">
      <c r="B956">
        <v>913</v>
      </c>
      <c r="C956">
        <v>79080.725000000006</v>
      </c>
      <c r="D956">
        <v>78520.544999999998</v>
      </c>
      <c r="E956">
        <v>78776.814599999998</v>
      </c>
      <c r="F956">
        <v>78629.626799999998</v>
      </c>
      <c r="G956">
        <v>79131.333799999993</v>
      </c>
      <c r="H956">
        <v>79699.154800000004</v>
      </c>
      <c r="I956">
        <v>10.350690941339591</v>
      </c>
      <c r="J956">
        <v>10.32441190252896</v>
      </c>
      <c r="K956">
        <v>10.308489597039292</v>
      </c>
      <c r="L956">
        <v>10.300526103713372</v>
      </c>
      <c r="M956">
        <v>10.278678906312622</v>
      </c>
      <c r="N956">
        <v>10.261109879619942</v>
      </c>
      <c r="P956">
        <f t="shared" si="449"/>
        <v>231440.00324018774</v>
      </c>
      <c r="Q956">
        <f t="shared" si="450"/>
        <v>231211.81207586883</v>
      </c>
      <c r="R956">
        <f t="shared" si="451"/>
        <v>230477.87331117882</v>
      </c>
      <c r="S956">
        <f t="shared" si="452"/>
        <v>230386.15631140114</v>
      </c>
      <c r="T956">
        <f t="shared" si="453"/>
        <v>229229.03338937866</v>
      </c>
      <c r="U956">
        <f t="shared" si="454"/>
        <v>228134.14158859826</v>
      </c>
      <c r="V956">
        <f t="shared" si="478"/>
        <v>1</v>
      </c>
      <c r="W956">
        <f t="shared" si="479"/>
        <v>0</v>
      </c>
      <c r="X956">
        <f t="shared" si="480"/>
        <v>0</v>
      </c>
      <c r="Y956">
        <f t="shared" si="481"/>
        <v>0</v>
      </c>
      <c r="Z956">
        <f t="shared" si="482"/>
        <v>0</v>
      </c>
      <c r="AC956">
        <f t="shared" si="471"/>
        <v>231440.00324018774</v>
      </c>
      <c r="AD956">
        <f t="shared" si="472"/>
        <v>231211.81207586883</v>
      </c>
      <c r="AE956">
        <f t="shared" si="473"/>
        <v>230477.87331117882</v>
      </c>
      <c r="AF956">
        <f t="shared" si="474"/>
        <v>230386.15631140114</v>
      </c>
      <c r="AG956">
        <f t="shared" si="475"/>
        <v>229229.03338937866</v>
      </c>
      <c r="AH956">
        <f t="shared" si="476"/>
        <v>228134.14158859826</v>
      </c>
      <c r="AI956">
        <f t="shared" si="489"/>
        <v>231440.00324018774</v>
      </c>
    </row>
    <row r="957" spans="2:35" x14ac:dyDescent="0.3">
      <c r="B957">
        <v>914</v>
      </c>
      <c r="C957">
        <v>77015.899099999995</v>
      </c>
      <c r="D957">
        <v>75852.963000000003</v>
      </c>
      <c r="E957">
        <v>75735.692999999999</v>
      </c>
      <c r="F957">
        <v>75473.665299999993</v>
      </c>
      <c r="G957">
        <v>75689.186300000001</v>
      </c>
      <c r="H957">
        <v>75648.724799999996</v>
      </c>
      <c r="I957">
        <v>10.176523480474328</v>
      </c>
      <c r="J957">
        <v>10.138663722653368</v>
      </c>
      <c r="K957">
        <v>10.10492424005961</v>
      </c>
      <c r="L957">
        <v>10.091127749598348</v>
      </c>
      <c r="M957">
        <v>10.054907850437084</v>
      </c>
      <c r="N957">
        <v>10.021675317353736</v>
      </c>
      <c r="P957">
        <f t="shared" si="449"/>
        <v>228279.80531422986</v>
      </c>
      <c r="Q957">
        <f t="shared" si="450"/>
        <v>228306.94867960102</v>
      </c>
      <c r="R957">
        <f t="shared" si="451"/>
        <v>227412.03420178828</v>
      </c>
      <c r="S957">
        <f t="shared" si="452"/>
        <v>227260.16718795046</v>
      </c>
      <c r="T957">
        <f t="shared" si="453"/>
        <v>225958.04921311251</v>
      </c>
      <c r="U957">
        <f t="shared" si="454"/>
        <v>225001.53472061208</v>
      </c>
      <c r="V957">
        <f t="shared" si="478"/>
        <v>0</v>
      </c>
      <c r="W957">
        <f t="shared" si="479"/>
        <v>1</v>
      </c>
      <c r="X957">
        <f t="shared" si="480"/>
        <v>0</v>
      </c>
      <c r="Y957">
        <f t="shared" si="481"/>
        <v>0</v>
      </c>
      <c r="Z957">
        <f t="shared" si="482"/>
        <v>0</v>
      </c>
      <c r="AA957">
        <f t="shared" ref="AA957" si="497">IF(MAX(P957:U957)=U957, 1, 0)</f>
        <v>0</v>
      </c>
      <c r="AC957">
        <f t="shared" si="471"/>
        <v>228279.80531422986</v>
      </c>
      <c r="AD957">
        <f t="shared" si="472"/>
        <v>228306.94867960102</v>
      </c>
      <c r="AE957">
        <f t="shared" si="473"/>
        <v>227412.03420178828</v>
      </c>
      <c r="AF957">
        <f t="shared" si="474"/>
        <v>227260.16718795046</v>
      </c>
      <c r="AG957">
        <f t="shared" si="475"/>
        <v>225958.04921311251</v>
      </c>
      <c r="AH957">
        <f t="shared" si="476"/>
        <v>225001.53472061208</v>
      </c>
      <c r="AI957">
        <f t="shared" si="489"/>
        <v>228306.94867960102</v>
      </c>
    </row>
    <row r="958" spans="2:35" x14ac:dyDescent="0.3">
      <c r="B958">
        <v>915</v>
      </c>
      <c r="C958">
        <v>76715.019899999999</v>
      </c>
      <c r="D958">
        <v>76129.870599999995</v>
      </c>
      <c r="E958">
        <v>76459.250599999999</v>
      </c>
      <c r="F958">
        <v>76191.242700000003</v>
      </c>
      <c r="G958">
        <v>76725.644</v>
      </c>
      <c r="H958">
        <v>77197.814400000003</v>
      </c>
      <c r="I958">
        <v>10.350769555197168</v>
      </c>
      <c r="J958">
        <v>10.302604660213518</v>
      </c>
      <c r="K958">
        <v>10.27559093036006</v>
      </c>
      <c r="L958">
        <v>10.267095357261624</v>
      </c>
      <c r="M958">
        <v>10.228215879871694</v>
      </c>
      <c r="N958">
        <v>10.201678354698343</v>
      </c>
      <c r="P958">
        <f t="shared" si="449"/>
        <v>233808.066755915</v>
      </c>
      <c r="Q958">
        <f t="shared" si="450"/>
        <v>232948.26920640553</v>
      </c>
      <c r="R958">
        <f t="shared" si="451"/>
        <v>231808.47731080183</v>
      </c>
      <c r="S958">
        <f t="shared" si="452"/>
        <v>231821.6180178487</v>
      </c>
      <c r="T958">
        <f t="shared" si="453"/>
        <v>230120.83239615083</v>
      </c>
      <c r="U958">
        <f t="shared" si="454"/>
        <v>228852.53624095031</v>
      </c>
      <c r="V958">
        <f t="shared" si="478"/>
        <v>1</v>
      </c>
      <c r="W958">
        <f t="shared" si="479"/>
        <v>0</v>
      </c>
      <c r="X958">
        <f t="shared" si="480"/>
        <v>0</v>
      </c>
      <c r="Y958">
        <f t="shared" si="481"/>
        <v>0</v>
      </c>
      <c r="Z958">
        <f t="shared" si="482"/>
        <v>0</v>
      </c>
      <c r="AC958">
        <f t="shared" si="471"/>
        <v>233808.066755915</v>
      </c>
      <c r="AD958">
        <f t="shared" si="472"/>
        <v>232948.26920640553</v>
      </c>
      <c r="AE958">
        <f t="shared" si="473"/>
        <v>231808.47731080183</v>
      </c>
      <c r="AF958">
        <f t="shared" si="474"/>
        <v>231821.6180178487</v>
      </c>
      <c r="AG958">
        <f t="shared" si="475"/>
        <v>230120.83239615083</v>
      </c>
      <c r="AH958">
        <f t="shared" si="476"/>
        <v>228852.53624095031</v>
      </c>
      <c r="AI958">
        <f t="shared" si="489"/>
        <v>233808.066755915</v>
      </c>
    </row>
    <row r="959" spans="2:35" x14ac:dyDescent="0.3">
      <c r="B959">
        <v>916</v>
      </c>
      <c r="C959">
        <v>74839.167100000006</v>
      </c>
      <c r="D959">
        <v>73928.441500000001</v>
      </c>
      <c r="E959">
        <v>74364.351999999999</v>
      </c>
      <c r="F959">
        <v>74188.641699999993</v>
      </c>
      <c r="G959">
        <v>74578.404399999999</v>
      </c>
      <c r="H959">
        <v>74913.440300000002</v>
      </c>
      <c r="I959">
        <v>11.37101846783537</v>
      </c>
      <c r="J959">
        <v>11.351074476531871</v>
      </c>
      <c r="K959">
        <v>11.334627653521395</v>
      </c>
      <c r="L959">
        <v>11.330325440047304</v>
      </c>
      <c r="M959">
        <v>11.31103865364358</v>
      </c>
      <c r="N959">
        <v>11.295291083469847</v>
      </c>
      <c r="P959">
        <f t="shared" si="449"/>
        <v>266291.38693506108</v>
      </c>
      <c r="Q959">
        <f t="shared" si="450"/>
        <v>266603.79279595608</v>
      </c>
      <c r="R959">
        <f t="shared" si="451"/>
        <v>265674.47760564182</v>
      </c>
      <c r="S959">
        <f t="shared" si="452"/>
        <v>265721.12150141911</v>
      </c>
      <c r="T959">
        <f t="shared" si="453"/>
        <v>264752.75520930742</v>
      </c>
      <c r="U959">
        <f t="shared" si="454"/>
        <v>263945.2922040954</v>
      </c>
      <c r="V959">
        <f t="shared" si="478"/>
        <v>0</v>
      </c>
      <c r="W959">
        <f t="shared" si="479"/>
        <v>1</v>
      </c>
      <c r="X959">
        <f t="shared" si="480"/>
        <v>0</v>
      </c>
      <c r="Y959">
        <f t="shared" si="481"/>
        <v>0</v>
      </c>
      <c r="Z959">
        <f t="shared" si="482"/>
        <v>0</v>
      </c>
      <c r="AA959">
        <f t="shared" ref="AA959" si="498">IF(MAX(P959:U959)=U959, 1, 0)</f>
        <v>0</v>
      </c>
      <c r="AC959">
        <f t="shared" si="471"/>
        <v>266291.38693506108</v>
      </c>
      <c r="AD959">
        <f t="shared" si="472"/>
        <v>266603.79279595608</v>
      </c>
      <c r="AE959">
        <f t="shared" si="473"/>
        <v>265674.47760564182</v>
      </c>
      <c r="AF959">
        <f t="shared" si="474"/>
        <v>265721.12150141911</v>
      </c>
      <c r="AG959">
        <f t="shared" si="475"/>
        <v>264752.75520930742</v>
      </c>
      <c r="AH959">
        <f t="shared" si="476"/>
        <v>263945.2922040954</v>
      </c>
      <c r="AI959">
        <f t="shared" si="489"/>
        <v>266603.79279595608</v>
      </c>
    </row>
    <row r="960" spans="2:35" x14ac:dyDescent="0.3">
      <c r="B960">
        <v>917</v>
      </c>
      <c r="C960">
        <v>68603.046900000001</v>
      </c>
      <c r="D960">
        <v>69036.859800000006</v>
      </c>
      <c r="E960">
        <v>70200.733999999997</v>
      </c>
      <c r="F960">
        <v>70361.274699999994</v>
      </c>
      <c r="G960">
        <v>71541.673200000005</v>
      </c>
      <c r="H960">
        <v>73073.2935</v>
      </c>
      <c r="I960">
        <v>10.889231633121939</v>
      </c>
      <c r="J960">
        <v>10.861089864811147</v>
      </c>
      <c r="K960">
        <v>10.841766020392912</v>
      </c>
      <c r="L960">
        <v>10.837274604401426</v>
      </c>
      <c r="M960">
        <v>10.815119736609741</v>
      </c>
      <c r="N960">
        <v>10.791304280078707</v>
      </c>
      <c r="P960">
        <f t="shared" si="449"/>
        <v>258073.90209365817</v>
      </c>
      <c r="Q960">
        <f t="shared" si="450"/>
        <v>256795.83614433437</v>
      </c>
      <c r="R960">
        <f t="shared" si="451"/>
        <v>255052.24661178736</v>
      </c>
      <c r="S960">
        <f t="shared" si="452"/>
        <v>254756.96343204274</v>
      </c>
      <c r="T960">
        <f t="shared" si="453"/>
        <v>252911.91889829224</v>
      </c>
      <c r="U960">
        <f t="shared" si="454"/>
        <v>250665.83490236124</v>
      </c>
      <c r="V960">
        <f t="shared" si="478"/>
        <v>1</v>
      </c>
      <c r="W960">
        <f t="shared" si="479"/>
        <v>0</v>
      </c>
      <c r="X960">
        <f t="shared" si="480"/>
        <v>0</v>
      </c>
      <c r="Y960">
        <f t="shared" si="481"/>
        <v>0</v>
      </c>
      <c r="Z960">
        <f t="shared" si="482"/>
        <v>0</v>
      </c>
      <c r="AC960">
        <f t="shared" si="471"/>
        <v>258073.90209365817</v>
      </c>
      <c r="AD960">
        <f t="shared" si="472"/>
        <v>256795.83614433437</v>
      </c>
      <c r="AE960">
        <f t="shared" si="473"/>
        <v>255052.24661178736</v>
      </c>
      <c r="AF960">
        <f t="shared" si="474"/>
        <v>254756.96343204274</v>
      </c>
      <c r="AG960">
        <f t="shared" si="475"/>
        <v>252911.91889829224</v>
      </c>
      <c r="AH960">
        <f t="shared" si="476"/>
        <v>250665.83490236124</v>
      </c>
      <c r="AI960">
        <f t="shared" si="489"/>
        <v>258073.90209365817</v>
      </c>
    </row>
    <row r="961" spans="2:35" x14ac:dyDescent="0.3">
      <c r="B961">
        <v>918</v>
      </c>
      <c r="C961">
        <v>74697.069900000002</v>
      </c>
      <c r="D961">
        <v>74123.349900000001</v>
      </c>
      <c r="E961">
        <v>74897.090500000006</v>
      </c>
      <c r="F961">
        <v>74915.422099999996</v>
      </c>
      <c r="G961">
        <v>75818.915699999998</v>
      </c>
      <c r="H961">
        <v>76572.118199999997</v>
      </c>
      <c r="I961">
        <v>10.64170081573258</v>
      </c>
      <c r="J961">
        <v>10.613810203140863</v>
      </c>
      <c r="K961">
        <v>10.581367827035532</v>
      </c>
      <c r="L961">
        <v>10.566665300290577</v>
      </c>
      <c r="M961">
        <v>10.536264688507654</v>
      </c>
      <c r="N961">
        <v>10.509580310872899</v>
      </c>
      <c r="P961">
        <f t="shared" ref="P961:P1024" si="499">Threshold*I961-C961</f>
        <v>244553.95457197743</v>
      </c>
      <c r="Q961">
        <f t="shared" ref="Q961:Q1024" si="500">Threshold*J961-D961</f>
        <v>244290.9561942259</v>
      </c>
      <c r="R961">
        <f t="shared" ref="R961:R1024" si="501">Threshold*K961-E961</f>
        <v>242543.94431106595</v>
      </c>
      <c r="S961">
        <f t="shared" ref="S961:S1024" si="502">Threshold*L961-F961</f>
        <v>242084.53690871733</v>
      </c>
      <c r="T961">
        <f t="shared" ref="T961:T1024" si="503">Threshold*M961-G961</f>
        <v>240269.0249552296</v>
      </c>
      <c r="U961">
        <f t="shared" ref="U961:U1024" si="504">Threshold*N961-H961</f>
        <v>238715.29112618699</v>
      </c>
      <c r="V961">
        <f t="shared" si="478"/>
        <v>1</v>
      </c>
      <c r="W961">
        <f t="shared" si="479"/>
        <v>0</v>
      </c>
      <c r="X961">
        <f t="shared" si="480"/>
        <v>0</v>
      </c>
      <c r="Y961">
        <f t="shared" si="481"/>
        <v>0</v>
      </c>
      <c r="Z961">
        <f t="shared" si="482"/>
        <v>0</v>
      </c>
      <c r="AA961">
        <f t="shared" ref="AA961" si="505">IF(MAX(P961:U961)=U961, 1, 0)</f>
        <v>0</v>
      </c>
      <c r="AC961">
        <f t="shared" si="471"/>
        <v>244553.95457197743</v>
      </c>
      <c r="AD961">
        <f t="shared" si="472"/>
        <v>244290.9561942259</v>
      </c>
      <c r="AE961">
        <f t="shared" si="473"/>
        <v>242543.94431106595</v>
      </c>
      <c r="AF961">
        <f t="shared" si="474"/>
        <v>242084.53690871733</v>
      </c>
      <c r="AG961">
        <f t="shared" si="475"/>
        <v>240269.0249552296</v>
      </c>
      <c r="AH961">
        <f t="shared" si="476"/>
        <v>238715.29112618699</v>
      </c>
      <c r="AI961">
        <f t="shared" si="489"/>
        <v>244553.95457197743</v>
      </c>
    </row>
    <row r="962" spans="2:35" x14ac:dyDescent="0.3">
      <c r="B962">
        <v>919</v>
      </c>
      <c r="C962">
        <v>73729.426500000001</v>
      </c>
      <c r="D962">
        <v>73087.798299999995</v>
      </c>
      <c r="E962">
        <v>73759.962100000004</v>
      </c>
      <c r="F962">
        <v>74029.9234</v>
      </c>
      <c r="G962">
        <v>74341.2641</v>
      </c>
      <c r="H962">
        <v>75116.348400000003</v>
      </c>
      <c r="I962">
        <v>9.8242319870864083</v>
      </c>
      <c r="J962">
        <v>9.7970405575720889</v>
      </c>
      <c r="K962">
        <v>9.779292746211695</v>
      </c>
      <c r="L962">
        <v>9.7624451966522905</v>
      </c>
      <c r="M962">
        <v>9.7506232644509154</v>
      </c>
      <c r="N962">
        <v>9.7235190359233457</v>
      </c>
      <c r="P962">
        <f t="shared" si="499"/>
        <v>220997.53311259224</v>
      </c>
      <c r="Q962">
        <f t="shared" si="500"/>
        <v>220823.41842716266</v>
      </c>
      <c r="R962">
        <f t="shared" si="501"/>
        <v>219618.82028635085</v>
      </c>
      <c r="S962">
        <f t="shared" si="502"/>
        <v>218843.43249956871</v>
      </c>
      <c r="T962">
        <f t="shared" si="503"/>
        <v>218177.43383352747</v>
      </c>
      <c r="U962">
        <f t="shared" si="504"/>
        <v>216589.22267770034</v>
      </c>
      <c r="V962">
        <f t="shared" si="478"/>
        <v>1</v>
      </c>
      <c r="W962">
        <f t="shared" si="479"/>
        <v>0</v>
      </c>
      <c r="X962">
        <f t="shared" si="480"/>
        <v>0</v>
      </c>
      <c r="Y962">
        <f t="shared" si="481"/>
        <v>0</v>
      </c>
      <c r="Z962">
        <f t="shared" si="482"/>
        <v>0</v>
      </c>
      <c r="AC962">
        <f t="shared" si="471"/>
        <v>220997.53311259224</v>
      </c>
      <c r="AD962">
        <f t="shared" si="472"/>
        <v>220823.41842716266</v>
      </c>
      <c r="AE962">
        <f t="shared" si="473"/>
        <v>219618.82028635085</v>
      </c>
      <c r="AF962">
        <f t="shared" si="474"/>
        <v>218843.43249956871</v>
      </c>
      <c r="AG962">
        <f t="shared" si="475"/>
        <v>218177.43383352747</v>
      </c>
      <c r="AH962">
        <f t="shared" si="476"/>
        <v>216589.22267770034</v>
      </c>
      <c r="AI962">
        <f t="shared" si="489"/>
        <v>220997.53311259224</v>
      </c>
    </row>
    <row r="963" spans="2:35" x14ac:dyDescent="0.3">
      <c r="B963">
        <v>920</v>
      </c>
      <c r="C963">
        <v>79607.684800000003</v>
      </c>
      <c r="D963">
        <v>79298.897299999997</v>
      </c>
      <c r="E963">
        <v>79958.958199999994</v>
      </c>
      <c r="F963">
        <v>80086.370599999995</v>
      </c>
      <c r="G963">
        <v>80713.395399999994</v>
      </c>
      <c r="H963">
        <v>81541.210099999997</v>
      </c>
      <c r="I963">
        <v>9.3303059178707297</v>
      </c>
      <c r="J963">
        <v>9.3059577374555538</v>
      </c>
      <c r="K963">
        <v>9.2889116244617647</v>
      </c>
      <c r="L963">
        <v>9.2793590034590849</v>
      </c>
      <c r="M963">
        <v>9.2573867856263252</v>
      </c>
      <c r="N963">
        <v>9.2405455786091526</v>
      </c>
      <c r="P963">
        <f t="shared" si="499"/>
        <v>200301.49273612193</v>
      </c>
      <c r="Q963">
        <f t="shared" si="500"/>
        <v>199879.83482366661</v>
      </c>
      <c r="R963">
        <f t="shared" si="501"/>
        <v>198708.39053385297</v>
      </c>
      <c r="S963">
        <f t="shared" si="502"/>
        <v>198294.39950377253</v>
      </c>
      <c r="T963">
        <f t="shared" si="503"/>
        <v>197008.2081687898</v>
      </c>
      <c r="U963">
        <f t="shared" si="504"/>
        <v>195675.15725827459</v>
      </c>
      <c r="V963">
        <f t="shared" si="478"/>
        <v>1</v>
      </c>
      <c r="W963">
        <f t="shared" si="479"/>
        <v>0</v>
      </c>
      <c r="X963">
        <f t="shared" si="480"/>
        <v>0</v>
      </c>
      <c r="Y963">
        <f t="shared" si="481"/>
        <v>0</v>
      </c>
      <c r="Z963">
        <f t="shared" si="482"/>
        <v>0</v>
      </c>
      <c r="AA963">
        <f t="shared" ref="AA963" si="506">IF(MAX(P963:U963)=U963, 1, 0)</f>
        <v>0</v>
      </c>
      <c r="AC963">
        <f t="shared" si="471"/>
        <v>200301.49273612193</v>
      </c>
      <c r="AD963">
        <f t="shared" si="472"/>
        <v>199879.83482366661</v>
      </c>
      <c r="AE963">
        <f t="shared" si="473"/>
        <v>198708.39053385297</v>
      </c>
      <c r="AF963">
        <f t="shared" si="474"/>
        <v>198294.39950377253</v>
      </c>
      <c r="AG963">
        <f t="shared" si="475"/>
        <v>197008.2081687898</v>
      </c>
      <c r="AH963">
        <f t="shared" si="476"/>
        <v>195675.15725827459</v>
      </c>
      <c r="AI963">
        <f t="shared" si="489"/>
        <v>200301.49273612193</v>
      </c>
    </row>
    <row r="964" spans="2:35" x14ac:dyDescent="0.3">
      <c r="B964">
        <v>921</v>
      </c>
      <c r="C964">
        <v>76654.603900000002</v>
      </c>
      <c r="D964">
        <v>76794.110100000005</v>
      </c>
      <c r="E964">
        <v>77801.328899999993</v>
      </c>
      <c r="F964">
        <v>78029.726899999994</v>
      </c>
      <c r="G964">
        <v>79137.653000000006</v>
      </c>
      <c r="H964">
        <v>79947.306700000001</v>
      </c>
      <c r="I964">
        <v>11.074219440438618</v>
      </c>
      <c r="J964">
        <v>11.058481581650343</v>
      </c>
      <c r="K964">
        <v>11.047722942097646</v>
      </c>
      <c r="L964">
        <v>11.041750116072546</v>
      </c>
      <c r="M964">
        <v>11.030323973112406</v>
      </c>
      <c r="N964">
        <v>11.021815861892501</v>
      </c>
      <c r="P964">
        <f t="shared" si="499"/>
        <v>255571.97931315855</v>
      </c>
      <c r="Q964">
        <f t="shared" si="500"/>
        <v>254960.33734951029</v>
      </c>
      <c r="R964">
        <f t="shared" si="501"/>
        <v>253630.35936292939</v>
      </c>
      <c r="S964">
        <f t="shared" si="502"/>
        <v>253222.77658217639</v>
      </c>
      <c r="T964">
        <f t="shared" si="503"/>
        <v>251772.06619337219</v>
      </c>
      <c r="U964">
        <f t="shared" si="504"/>
        <v>250707.16915677499</v>
      </c>
      <c r="V964">
        <f t="shared" si="478"/>
        <v>1</v>
      </c>
      <c r="W964">
        <f t="shared" si="479"/>
        <v>0</v>
      </c>
      <c r="X964">
        <f t="shared" si="480"/>
        <v>0</v>
      </c>
      <c r="Y964">
        <f t="shared" si="481"/>
        <v>0</v>
      </c>
      <c r="Z964">
        <f t="shared" si="482"/>
        <v>0</v>
      </c>
      <c r="AC964">
        <f t="shared" si="471"/>
        <v>255571.97931315855</v>
      </c>
      <c r="AD964">
        <f t="shared" si="472"/>
        <v>254960.33734951029</v>
      </c>
      <c r="AE964">
        <f t="shared" si="473"/>
        <v>253630.35936292939</v>
      </c>
      <c r="AF964">
        <f t="shared" si="474"/>
        <v>253222.77658217639</v>
      </c>
      <c r="AG964">
        <f t="shared" si="475"/>
        <v>251772.06619337219</v>
      </c>
      <c r="AH964">
        <f t="shared" si="476"/>
        <v>250707.16915677499</v>
      </c>
      <c r="AI964">
        <f t="shared" si="489"/>
        <v>255571.97931315855</v>
      </c>
    </row>
    <row r="965" spans="2:35" x14ac:dyDescent="0.3">
      <c r="B965">
        <v>922</v>
      </c>
      <c r="C965">
        <v>89602.051500000001</v>
      </c>
      <c r="D965">
        <v>89619.519799999995</v>
      </c>
      <c r="E965">
        <v>90594.636400000003</v>
      </c>
      <c r="F965">
        <v>90870.487399999998</v>
      </c>
      <c r="G965">
        <v>91819.509600000005</v>
      </c>
      <c r="H965">
        <v>92843.586200000005</v>
      </c>
      <c r="I965">
        <v>11.353390889787772</v>
      </c>
      <c r="J965">
        <v>11.337667309459373</v>
      </c>
      <c r="K965">
        <v>11.330005128157685</v>
      </c>
      <c r="L965">
        <v>11.322663816097371</v>
      </c>
      <c r="M965">
        <v>11.312765783411995</v>
      </c>
      <c r="N965">
        <v>11.297056547326935</v>
      </c>
      <c r="P965">
        <f t="shared" si="499"/>
        <v>250999.67519363313</v>
      </c>
      <c r="Q965">
        <f t="shared" si="500"/>
        <v>250510.49948378117</v>
      </c>
      <c r="R965">
        <f t="shared" si="501"/>
        <v>249305.51744473056</v>
      </c>
      <c r="S965">
        <f t="shared" si="502"/>
        <v>248809.42708292115</v>
      </c>
      <c r="T965">
        <f t="shared" si="503"/>
        <v>247563.46390235989</v>
      </c>
      <c r="U965">
        <f t="shared" si="504"/>
        <v>246068.11021980806</v>
      </c>
      <c r="V965">
        <f t="shared" si="478"/>
        <v>1</v>
      </c>
      <c r="W965">
        <f t="shared" si="479"/>
        <v>0</v>
      </c>
      <c r="X965">
        <f t="shared" si="480"/>
        <v>0</v>
      </c>
      <c r="Y965">
        <f t="shared" si="481"/>
        <v>0</v>
      </c>
      <c r="Z965">
        <f t="shared" si="482"/>
        <v>0</v>
      </c>
      <c r="AA965">
        <f t="shared" ref="AA965" si="507">IF(MAX(P965:U965)=U965, 1, 0)</f>
        <v>0</v>
      </c>
      <c r="AC965">
        <f t="shared" si="471"/>
        <v>250999.67519363313</v>
      </c>
      <c r="AD965">
        <f t="shared" si="472"/>
        <v>250510.49948378117</v>
      </c>
      <c r="AE965">
        <f t="shared" si="473"/>
        <v>249305.51744473056</v>
      </c>
      <c r="AF965">
        <f t="shared" si="474"/>
        <v>248809.42708292115</v>
      </c>
      <c r="AG965">
        <f t="shared" si="475"/>
        <v>247563.46390235989</v>
      </c>
      <c r="AH965">
        <f t="shared" si="476"/>
        <v>246068.11021980806</v>
      </c>
      <c r="AI965">
        <f t="shared" si="489"/>
        <v>250999.67519363313</v>
      </c>
    </row>
    <row r="966" spans="2:35" x14ac:dyDescent="0.3">
      <c r="B966">
        <v>923</v>
      </c>
      <c r="C966">
        <v>68626.367899999997</v>
      </c>
      <c r="D966">
        <v>67289.096999999994</v>
      </c>
      <c r="E966">
        <v>67329.408800000005</v>
      </c>
      <c r="F966">
        <v>67105.1636</v>
      </c>
      <c r="G966">
        <v>66971.455600000001</v>
      </c>
      <c r="H966">
        <v>67030.540399999998</v>
      </c>
      <c r="I966">
        <v>9.6904525189325526</v>
      </c>
      <c r="J966">
        <v>9.6346312586444451</v>
      </c>
      <c r="K966">
        <v>9.5965028759346644</v>
      </c>
      <c r="L966">
        <v>9.5783217639779483</v>
      </c>
      <c r="M966">
        <v>9.5392917301197819</v>
      </c>
      <c r="N966">
        <v>9.4914359209003667</v>
      </c>
      <c r="P966">
        <f t="shared" si="499"/>
        <v>222087.20766797656</v>
      </c>
      <c r="Q966">
        <f t="shared" si="500"/>
        <v>221749.84075933334</v>
      </c>
      <c r="R966">
        <f t="shared" si="501"/>
        <v>220565.67747803996</v>
      </c>
      <c r="S966">
        <f t="shared" si="502"/>
        <v>220244.48931933843</v>
      </c>
      <c r="T966">
        <f t="shared" si="503"/>
        <v>219207.2963035935</v>
      </c>
      <c r="U966">
        <f t="shared" si="504"/>
        <v>217712.53722701099</v>
      </c>
      <c r="V966">
        <f t="shared" si="478"/>
        <v>1</v>
      </c>
      <c r="W966">
        <f t="shared" si="479"/>
        <v>0</v>
      </c>
      <c r="X966">
        <f t="shared" si="480"/>
        <v>0</v>
      </c>
      <c r="Y966">
        <f t="shared" si="481"/>
        <v>0</v>
      </c>
      <c r="Z966">
        <f t="shared" si="482"/>
        <v>0</v>
      </c>
      <c r="AC966">
        <f t="shared" si="471"/>
        <v>222087.20766797656</v>
      </c>
      <c r="AD966">
        <f t="shared" si="472"/>
        <v>221749.84075933334</v>
      </c>
      <c r="AE966">
        <f t="shared" si="473"/>
        <v>220565.67747803996</v>
      </c>
      <c r="AF966">
        <f t="shared" si="474"/>
        <v>220244.48931933843</v>
      </c>
      <c r="AG966">
        <f t="shared" si="475"/>
        <v>219207.2963035935</v>
      </c>
      <c r="AH966">
        <f t="shared" si="476"/>
        <v>217712.53722701099</v>
      </c>
      <c r="AI966">
        <f t="shared" si="489"/>
        <v>222087.20766797656</v>
      </c>
    </row>
    <row r="967" spans="2:35" x14ac:dyDescent="0.3">
      <c r="B967">
        <v>924</v>
      </c>
      <c r="C967">
        <v>86244.655700000003</v>
      </c>
      <c r="D967">
        <v>85543.370699999999</v>
      </c>
      <c r="E967">
        <v>86082.397500000006</v>
      </c>
      <c r="F967">
        <v>85933.157500000001</v>
      </c>
      <c r="G967">
        <v>86614.313899999994</v>
      </c>
      <c r="H967">
        <v>86996.691399999996</v>
      </c>
      <c r="I967">
        <v>11.086660978389709</v>
      </c>
      <c r="J967">
        <v>11.086771098255369</v>
      </c>
      <c r="K967">
        <v>11.086974021522524</v>
      </c>
      <c r="L967">
        <v>11.086655278847346</v>
      </c>
      <c r="M967">
        <v>11.087076172505355</v>
      </c>
      <c r="N967">
        <v>11.086857450640025</v>
      </c>
      <c r="P967">
        <f t="shared" si="499"/>
        <v>246355.17365169129</v>
      </c>
      <c r="Q967">
        <f t="shared" si="500"/>
        <v>247059.76224766104</v>
      </c>
      <c r="R967">
        <f t="shared" si="501"/>
        <v>246526.82314567571</v>
      </c>
      <c r="S967">
        <f t="shared" si="502"/>
        <v>246666.50086542036</v>
      </c>
      <c r="T967">
        <f t="shared" si="503"/>
        <v>245997.97127516067</v>
      </c>
      <c r="U967">
        <f t="shared" si="504"/>
        <v>245609.03211920074</v>
      </c>
      <c r="V967">
        <f t="shared" si="478"/>
        <v>0</v>
      </c>
      <c r="W967">
        <f t="shared" si="479"/>
        <v>1</v>
      </c>
      <c r="X967">
        <f t="shared" si="480"/>
        <v>0</v>
      </c>
      <c r="Y967">
        <f t="shared" si="481"/>
        <v>0</v>
      </c>
      <c r="Z967">
        <f t="shared" si="482"/>
        <v>0</v>
      </c>
      <c r="AA967">
        <f t="shared" ref="AA967" si="508">IF(MAX(P967:U967)=U967, 1, 0)</f>
        <v>0</v>
      </c>
      <c r="AC967">
        <f t="shared" si="471"/>
        <v>246355.17365169129</v>
      </c>
      <c r="AD967">
        <f t="shared" si="472"/>
        <v>247059.76224766104</v>
      </c>
      <c r="AE967">
        <f t="shared" si="473"/>
        <v>246526.82314567571</v>
      </c>
      <c r="AF967">
        <f t="shared" si="474"/>
        <v>246666.50086542036</v>
      </c>
      <c r="AG967">
        <f t="shared" si="475"/>
        <v>245997.97127516067</v>
      </c>
      <c r="AH967">
        <f t="shared" si="476"/>
        <v>245609.03211920074</v>
      </c>
      <c r="AI967">
        <f t="shared" si="489"/>
        <v>247059.76224766104</v>
      </c>
    </row>
    <row r="968" spans="2:35" x14ac:dyDescent="0.3">
      <c r="B968">
        <v>925</v>
      </c>
      <c r="C968">
        <v>75325.699200000003</v>
      </c>
      <c r="D968">
        <v>74048.658200000005</v>
      </c>
      <c r="E968">
        <v>74157.130399999995</v>
      </c>
      <c r="F968">
        <v>73884.053</v>
      </c>
      <c r="G968">
        <v>74050.226500000004</v>
      </c>
      <c r="H968">
        <v>74074.764599999995</v>
      </c>
      <c r="I968">
        <v>9.7035266028365843</v>
      </c>
      <c r="J968">
        <v>9.6786799761014866</v>
      </c>
      <c r="K968">
        <v>9.6628253038830696</v>
      </c>
      <c r="L968">
        <v>9.6514582261885167</v>
      </c>
      <c r="M968">
        <v>9.6321512753630962</v>
      </c>
      <c r="N968">
        <v>9.6130110239561919</v>
      </c>
      <c r="P968">
        <f t="shared" si="499"/>
        <v>215780.09888509751</v>
      </c>
      <c r="Q968">
        <f t="shared" si="500"/>
        <v>216311.74108304462</v>
      </c>
      <c r="R968">
        <f t="shared" si="501"/>
        <v>215727.62871649206</v>
      </c>
      <c r="S968">
        <f t="shared" si="502"/>
        <v>215659.69378565549</v>
      </c>
      <c r="T968">
        <f t="shared" si="503"/>
        <v>214914.31176089292</v>
      </c>
      <c r="U968">
        <f t="shared" si="504"/>
        <v>214315.56611868576</v>
      </c>
      <c r="V968">
        <f t="shared" si="478"/>
        <v>0</v>
      </c>
      <c r="W968">
        <f t="shared" si="479"/>
        <v>1</v>
      </c>
      <c r="X968">
        <f t="shared" si="480"/>
        <v>0</v>
      </c>
      <c r="Y968">
        <f t="shared" si="481"/>
        <v>0</v>
      </c>
      <c r="Z968">
        <f t="shared" si="482"/>
        <v>0</v>
      </c>
      <c r="AC968">
        <f t="shared" si="471"/>
        <v>215780.09888509751</v>
      </c>
      <c r="AD968">
        <f t="shared" si="472"/>
        <v>216311.74108304462</v>
      </c>
      <c r="AE968">
        <f t="shared" si="473"/>
        <v>215727.62871649206</v>
      </c>
      <c r="AF968">
        <f t="shared" si="474"/>
        <v>215659.69378565549</v>
      </c>
      <c r="AG968">
        <f t="shared" si="475"/>
        <v>214914.31176089292</v>
      </c>
      <c r="AH968">
        <f t="shared" si="476"/>
        <v>214315.56611868576</v>
      </c>
      <c r="AI968">
        <f t="shared" si="489"/>
        <v>216311.74108304462</v>
      </c>
    </row>
    <row r="969" spans="2:35" x14ac:dyDescent="0.3">
      <c r="B969">
        <v>926</v>
      </c>
      <c r="C969">
        <v>80651.635699999999</v>
      </c>
      <c r="D969">
        <v>80201.706099999996</v>
      </c>
      <c r="E969">
        <v>80544.266799999998</v>
      </c>
      <c r="F969">
        <v>80698.535499999998</v>
      </c>
      <c r="G969">
        <v>81212.898499999996</v>
      </c>
      <c r="H969">
        <v>81678.033899999995</v>
      </c>
      <c r="I969">
        <v>10.176663388725338</v>
      </c>
      <c r="J969">
        <v>10.155662441544825</v>
      </c>
      <c r="K969">
        <v>10.142794038188088</v>
      </c>
      <c r="L969">
        <v>10.135577574448808</v>
      </c>
      <c r="M969">
        <v>10.114298497565519</v>
      </c>
      <c r="N969">
        <v>10.100382229724913</v>
      </c>
      <c r="P969">
        <f t="shared" si="499"/>
        <v>224648.26596176013</v>
      </c>
      <c r="Q969">
        <f t="shared" si="500"/>
        <v>224468.16714634473</v>
      </c>
      <c r="R969">
        <f t="shared" si="501"/>
        <v>223739.55434564262</v>
      </c>
      <c r="S969">
        <f t="shared" si="502"/>
        <v>223368.79173346423</v>
      </c>
      <c r="T969">
        <f t="shared" si="503"/>
        <v>222216.05642696557</v>
      </c>
      <c r="U969">
        <f t="shared" si="504"/>
        <v>221333.4329917474</v>
      </c>
      <c r="V969">
        <f t="shared" si="478"/>
        <v>1</v>
      </c>
      <c r="W969">
        <f t="shared" si="479"/>
        <v>0</v>
      </c>
      <c r="X969">
        <f t="shared" si="480"/>
        <v>0</v>
      </c>
      <c r="Y969">
        <f t="shared" si="481"/>
        <v>0</v>
      </c>
      <c r="Z969">
        <f t="shared" si="482"/>
        <v>0</v>
      </c>
      <c r="AA969">
        <f t="shared" ref="AA969" si="509">IF(MAX(P969:U969)=U969, 1, 0)</f>
        <v>0</v>
      </c>
      <c r="AC969">
        <f t="shared" si="471"/>
        <v>224648.26596176013</v>
      </c>
      <c r="AD969">
        <f t="shared" si="472"/>
        <v>224468.16714634473</v>
      </c>
      <c r="AE969">
        <f t="shared" si="473"/>
        <v>223739.55434564262</v>
      </c>
      <c r="AF969">
        <f t="shared" si="474"/>
        <v>223368.79173346423</v>
      </c>
      <c r="AG969">
        <f t="shared" si="475"/>
        <v>222216.05642696557</v>
      </c>
      <c r="AH969">
        <f t="shared" si="476"/>
        <v>221333.4329917474</v>
      </c>
      <c r="AI969">
        <f t="shared" si="489"/>
        <v>224648.26596176013</v>
      </c>
    </row>
    <row r="970" spans="2:35" x14ac:dyDescent="0.3">
      <c r="B970">
        <v>927</v>
      </c>
      <c r="C970">
        <v>67488.087199999994</v>
      </c>
      <c r="D970">
        <v>66175.383300000001</v>
      </c>
      <c r="E970">
        <v>66376.625599999999</v>
      </c>
      <c r="F970">
        <v>66149.825599999996</v>
      </c>
      <c r="G970">
        <v>66278.627999999997</v>
      </c>
      <c r="H970">
        <v>66259.512499999997</v>
      </c>
      <c r="I970">
        <v>9.9613517287597269</v>
      </c>
      <c r="J970">
        <v>9.9323460478684211</v>
      </c>
      <c r="K970">
        <v>9.910924047131104</v>
      </c>
      <c r="L970">
        <v>9.9043907231888184</v>
      </c>
      <c r="M970">
        <v>9.8805181227945287</v>
      </c>
      <c r="N970">
        <v>9.8621650736436326</v>
      </c>
      <c r="P970">
        <f t="shared" si="499"/>
        <v>231352.46466279181</v>
      </c>
      <c r="Q970">
        <f t="shared" si="500"/>
        <v>231794.99813605263</v>
      </c>
      <c r="R970">
        <f t="shared" si="501"/>
        <v>230951.09581393315</v>
      </c>
      <c r="S970">
        <f t="shared" si="502"/>
        <v>230981.89609566459</v>
      </c>
      <c r="T970">
        <f t="shared" si="503"/>
        <v>230136.91568383589</v>
      </c>
      <c r="U970">
        <f t="shared" si="504"/>
        <v>229605.43970930896</v>
      </c>
      <c r="V970">
        <f t="shared" si="478"/>
        <v>0</v>
      </c>
      <c r="W970">
        <f t="shared" si="479"/>
        <v>1</v>
      </c>
      <c r="X970">
        <f t="shared" si="480"/>
        <v>0</v>
      </c>
      <c r="Y970">
        <f t="shared" si="481"/>
        <v>0</v>
      </c>
      <c r="Z970">
        <f t="shared" si="482"/>
        <v>0</v>
      </c>
      <c r="AC970">
        <f t="shared" si="471"/>
        <v>231352.46466279181</v>
      </c>
      <c r="AD970">
        <f t="shared" si="472"/>
        <v>231794.99813605263</v>
      </c>
      <c r="AE970">
        <f t="shared" si="473"/>
        <v>230951.09581393315</v>
      </c>
      <c r="AF970">
        <f t="shared" si="474"/>
        <v>230981.89609566459</v>
      </c>
      <c r="AG970">
        <f t="shared" si="475"/>
        <v>230136.91568383589</v>
      </c>
      <c r="AH970">
        <f t="shared" si="476"/>
        <v>229605.43970930896</v>
      </c>
      <c r="AI970">
        <f t="shared" si="489"/>
        <v>231794.99813605263</v>
      </c>
    </row>
    <row r="971" spans="2:35" x14ac:dyDescent="0.3">
      <c r="B971">
        <v>928</v>
      </c>
      <c r="C971">
        <v>74436.396399999998</v>
      </c>
      <c r="D971">
        <v>73611.114700000006</v>
      </c>
      <c r="E971">
        <v>73891.832899999994</v>
      </c>
      <c r="F971">
        <v>73798.373699999996</v>
      </c>
      <c r="G971">
        <v>74062.150800000003</v>
      </c>
      <c r="H971">
        <v>74375.020499999999</v>
      </c>
      <c r="I971">
        <v>11.006726268750718</v>
      </c>
      <c r="J971">
        <v>10.957663876325627</v>
      </c>
      <c r="K971">
        <v>10.933620178986319</v>
      </c>
      <c r="L971">
        <v>10.918607498503384</v>
      </c>
      <c r="M971">
        <v>10.879286091184628</v>
      </c>
      <c r="N971">
        <v>10.855637678176731</v>
      </c>
      <c r="P971">
        <f t="shared" si="499"/>
        <v>255765.39166252155</v>
      </c>
      <c r="Q971">
        <f t="shared" si="500"/>
        <v>255118.80158976882</v>
      </c>
      <c r="R971">
        <f t="shared" si="501"/>
        <v>254116.7724695896</v>
      </c>
      <c r="S971">
        <f t="shared" si="502"/>
        <v>253759.8512551015</v>
      </c>
      <c r="T971">
        <f t="shared" si="503"/>
        <v>252316.43193553883</v>
      </c>
      <c r="U971">
        <f t="shared" si="504"/>
        <v>251294.10984530195</v>
      </c>
      <c r="V971">
        <f t="shared" si="478"/>
        <v>1</v>
      </c>
      <c r="W971">
        <f t="shared" si="479"/>
        <v>0</v>
      </c>
      <c r="X971">
        <f t="shared" si="480"/>
        <v>0</v>
      </c>
      <c r="Y971">
        <f t="shared" si="481"/>
        <v>0</v>
      </c>
      <c r="Z971">
        <f t="shared" si="482"/>
        <v>0</v>
      </c>
      <c r="AA971">
        <f t="shared" ref="AA971" si="510">IF(MAX(P971:U971)=U971, 1, 0)</f>
        <v>0</v>
      </c>
      <c r="AC971">
        <f t="shared" si="471"/>
        <v>255765.39166252155</v>
      </c>
      <c r="AD971">
        <f t="shared" si="472"/>
        <v>255118.80158976882</v>
      </c>
      <c r="AE971">
        <f t="shared" si="473"/>
        <v>254116.7724695896</v>
      </c>
      <c r="AF971">
        <f t="shared" si="474"/>
        <v>253759.8512551015</v>
      </c>
      <c r="AG971">
        <f t="shared" si="475"/>
        <v>252316.43193553883</v>
      </c>
      <c r="AH971">
        <f t="shared" si="476"/>
        <v>251294.10984530195</v>
      </c>
      <c r="AI971">
        <f t="shared" si="489"/>
        <v>255765.39166252155</v>
      </c>
    </row>
    <row r="972" spans="2:35" x14ac:dyDescent="0.3">
      <c r="B972">
        <v>929</v>
      </c>
      <c r="C972">
        <v>67526.988200000007</v>
      </c>
      <c r="D972">
        <v>67184.754000000001</v>
      </c>
      <c r="E972">
        <v>67867.694600000003</v>
      </c>
      <c r="F972">
        <v>67625.996700000003</v>
      </c>
      <c r="G972">
        <v>68423.744099999996</v>
      </c>
      <c r="H972">
        <v>69251.448699999994</v>
      </c>
      <c r="I972">
        <v>8.7619558988787745</v>
      </c>
      <c r="J972">
        <v>8.7391822480086656</v>
      </c>
      <c r="K972">
        <v>8.7214576219284687</v>
      </c>
      <c r="L972">
        <v>8.7166688142168169</v>
      </c>
      <c r="M972">
        <v>8.6956976239911032</v>
      </c>
      <c r="N972">
        <v>8.6746107989086614</v>
      </c>
      <c r="P972">
        <f t="shared" si="499"/>
        <v>195331.68876636319</v>
      </c>
      <c r="Q972">
        <f t="shared" si="500"/>
        <v>194990.71344025998</v>
      </c>
      <c r="R972">
        <f t="shared" si="501"/>
        <v>193776.03405785403</v>
      </c>
      <c r="S972">
        <f t="shared" si="502"/>
        <v>193874.06772650452</v>
      </c>
      <c r="T972">
        <f t="shared" si="503"/>
        <v>192447.18461973307</v>
      </c>
      <c r="U972">
        <f t="shared" si="504"/>
        <v>190986.87526725983</v>
      </c>
      <c r="V972">
        <f t="shared" si="478"/>
        <v>1</v>
      </c>
      <c r="W972">
        <f t="shared" si="479"/>
        <v>0</v>
      </c>
      <c r="X972">
        <f t="shared" si="480"/>
        <v>0</v>
      </c>
      <c r="Y972">
        <f t="shared" si="481"/>
        <v>0</v>
      </c>
      <c r="Z972">
        <f t="shared" si="482"/>
        <v>0</v>
      </c>
      <c r="AC972">
        <f t="shared" si="471"/>
        <v>195331.68876636319</v>
      </c>
      <c r="AD972">
        <f t="shared" si="472"/>
        <v>194990.71344025998</v>
      </c>
      <c r="AE972">
        <f t="shared" si="473"/>
        <v>193776.03405785403</v>
      </c>
      <c r="AF972">
        <f t="shared" si="474"/>
        <v>193874.06772650452</v>
      </c>
      <c r="AG972">
        <f t="shared" si="475"/>
        <v>192447.18461973307</v>
      </c>
      <c r="AH972">
        <f t="shared" si="476"/>
        <v>190986.87526725983</v>
      </c>
      <c r="AI972">
        <f t="shared" si="489"/>
        <v>195331.68876636319</v>
      </c>
    </row>
    <row r="973" spans="2:35" x14ac:dyDescent="0.3">
      <c r="B973">
        <v>930</v>
      </c>
      <c r="C973">
        <v>73655.488299999997</v>
      </c>
      <c r="D973">
        <v>73068.636199999994</v>
      </c>
      <c r="E973">
        <v>73683.513600000006</v>
      </c>
      <c r="F973">
        <v>73665.765199999994</v>
      </c>
      <c r="G973">
        <v>73891.230500000005</v>
      </c>
      <c r="H973">
        <v>74738.729300000006</v>
      </c>
      <c r="I973">
        <v>9.7748922669902552</v>
      </c>
      <c r="J973">
        <v>9.7433089224565315</v>
      </c>
      <c r="K973">
        <v>9.7196712386668676</v>
      </c>
      <c r="L973">
        <v>9.7086423501069774</v>
      </c>
      <c r="M973">
        <v>9.6811659549080531</v>
      </c>
      <c r="N973">
        <v>9.6566651853027832</v>
      </c>
      <c r="P973">
        <f t="shared" si="499"/>
        <v>219591.27970970768</v>
      </c>
      <c r="Q973">
        <f t="shared" si="500"/>
        <v>219230.63147369592</v>
      </c>
      <c r="R973">
        <f t="shared" si="501"/>
        <v>217906.62356000603</v>
      </c>
      <c r="S973">
        <f t="shared" si="502"/>
        <v>217593.50530320933</v>
      </c>
      <c r="T973">
        <f t="shared" si="503"/>
        <v>216543.7481472416</v>
      </c>
      <c r="U973">
        <f t="shared" si="504"/>
        <v>214961.22625908349</v>
      </c>
      <c r="V973">
        <f t="shared" si="478"/>
        <v>1</v>
      </c>
      <c r="W973">
        <f t="shared" si="479"/>
        <v>0</v>
      </c>
      <c r="X973">
        <f t="shared" si="480"/>
        <v>0</v>
      </c>
      <c r="Y973">
        <f t="shared" si="481"/>
        <v>0</v>
      </c>
      <c r="Z973">
        <f t="shared" si="482"/>
        <v>0</v>
      </c>
      <c r="AA973">
        <f t="shared" ref="AA973" si="511">IF(MAX(P973:U973)=U973, 1, 0)</f>
        <v>0</v>
      </c>
      <c r="AC973">
        <f t="shared" si="471"/>
        <v>219591.27970970768</v>
      </c>
      <c r="AD973">
        <f t="shared" si="472"/>
        <v>219230.63147369592</v>
      </c>
      <c r="AE973">
        <f t="shared" si="473"/>
        <v>217906.62356000603</v>
      </c>
      <c r="AF973">
        <f t="shared" si="474"/>
        <v>217593.50530320933</v>
      </c>
      <c r="AG973">
        <f t="shared" si="475"/>
        <v>216543.7481472416</v>
      </c>
      <c r="AH973">
        <f t="shared" si="476"/>
        <v>214961.22625908349</v>
      </c>
      <c r="AI973">
        <f t="shared" si="489"/>
        <v>219591.27970970768</v>
      </c>
    </row>
    <row r="974" spans="2:35" x14ac:dyDescent="0.3">
      <c r="B974">
        <v>931</v>
      </c>
      <c r="C974">
        <v>74450.718900000007</v>
      </c>
      <c r="D974">
        <v>73546.3226</v>
      </c>
      <c r="E974">
        <v>73904.677200000006</v>
      </c>
      <c r="F974">
        <v>73802.402900000001</v>
      </c>
      <c r="G974">
        <v>74084.163499999995</v>
      </c>
      <c r="H974">
        <v>74436.130999999994</v>
      </c>
      <c r="I974">
        <v>10.217552147559003</v>
      </c>
      <c r="J974">
        <v>10.205865449914331</v>
      </c>
      <c r="K974">
        <v>10.191302948641427</v>
      </c>
      <c r="L974">
        <v>10.187261898629922</v>
      </c>
      <c r="M974">
        <v>10.175033412999905</v>
      </c>
      <c r="N974">
        <v>10.162591537149504</v>
      </c>
      <c r="P974">
        <f t="shared" si="499"/>
        <v>232075.84552677008</v>
      </c>
      <c r="Q974">
        <f t="shared" si="500"/>
        <v>232629.6408974299</v>
      </c>
      <c r="R974">
        <f t="shared" si="501"/>
        <v>231834.41125924283</v>
      </c>
      <c r="S974">
        <f t="shared" si="502"/>
        <v>231815.45405889768</v>
      </c>
      <c r="T974">
        <f t="shared" si="503"/>
        <v>231166.83888999719</v>
      </c>
      <c r="U974">
        <f t="shared" si="504"/>
        <v>230441.61511448515</v>
      </c>
      <c r="V974">
        <f t="shared" si="478"/>
        <v>0</v>
      </c>
      <c r="W974">
        <f t="shared" si="479"/>
        <v>1</v>
      </c>
      <c r="X974">
        <f t="shared" si="480"/>
        <v>0</v>
      </c>
      <c r="Y974">
        <f t="shared" si="481"/>
        <v>0</v>
      </c>
      <c r="Z974">
        <f t="shared" si="482"/>
        <v>0</v>
      </c>
      <c r="AC974">
        <f t="shared" si="471"/>
        <v>232075.84552677008</v>
      </c>
      <c r="AD974">
        <f t="shared" si="472"/>
        <v>232629.6408974299</v>
      </c>
      <c r="AE974">
        <f t="shared" si="473"/>
        <v>231834.41125924283</v>
      </c>
      <c r="AF974">
        <f t="shared" si="474"/>
        <v>231815.45405889768</v>
      </c>
      <c r="AG974">
        <f t="shared" si="475"/>
        <v>231166.83888999719</v>
      </c>
      <c r="AH974">
        <f t="shared" si="476"/>
        <v>230441.61511448515</v>
      </c>
      <c r="AI974">
        <f t="shared" si="489"/>
        <v>232629.6408974299</v>
      </c>
    </row>
    <row r="975" spans="2:35" x14ac:dyDescent="0.3">
      <c r="B975">
        <v>932</v>
      </c>
      <c r="C975">
        <v>78025.126499999998</v>
      </c>
      <c r="D975">
        <v>77506.857999999993</v>
      </c>
      <c r="E975">
        <v>78290.271999999997</v>
      </c>
      <c r="F975">
        <v>78165.922699999996</v>
      </c>
      <c r="G975">
        <v>78593.445000000007</v>
      </c>
      <c r="H975">
        <v>79182.955199999997</v>
      </c>
      <c r="I975">
        <v>9.2981551927836321</v>
      </c>
      <c r="J975">
        <v>9.2440389770514582</v>
      </c>
      <c r="K975">
        <v>9.1835844477295439</v>
      </c>
      <c r="L975">
        <v>9.175525750298446</v>
      </c>
      <c r="M975">
        <v>9.1218661409460733</v>
      </c>
      <c r="N975">
        <v>9.0772065184906001</v>
      </c>
      <c r="P975">
        <f t="shared" si="499"/>
        <v>200919.52928350895</v>
      </c>
      <c r="Q975">
        <f t="shared" si="500"/>
        <v>199814.31131154374</v>
      </c>
      <c r="R975">
        <f t="shared" si="501"/>
        <v>197217.26143188629</v>
      </c>
      <c r="S975">
        <f t="shared" si="502"/>
        <v>197099.84980895341</v>
      </c>
      <c r="T975">
        <f t="shared" si="503"/>
        <v>195062.53922838217</v>
      </c>
      <c r="U975">
        <f t="shared" si="504"/>
        <v>193133.24035471803</v>
      </c>
      <c r="V975">
        <f t="shared" si="478"/>
        <v>1</v>
      </c>
      <c r="W975">
        <f t="shared" si="479"/>
        <v>0</v>
      </c>
      <c r="X975">
        <f t="shared" si="480"/>
        <v>0</v>
      </c>
      <c r="Y975">
        <f t="shared" si="481"/>
        <v>0</v>
      </c>
      <c r="Z975">
        <f t="shared" si="482"/>
        <v>0</v>
      </c>
      <c r="AA975">
        <f t="shared" ref="AA975" si="512">IF(MAX(P975:U975)=U975, 1, 0)</f>
        <v>0</v>
      </c>
      <c r="AC975">
        <f t="shared" si="471"/>
        <v>200919.52928350895</v>
      </c>
      <c r="AD975">
        <f t="shared" si="472"/>
        <v>199814.31131154374</v>
      </c>
      <c r="AE975">
        <f t="shared" si="473"/>
        <v>197217.26143188629</v>
      </c>
      <c r="AF975">
        <f t="shared" si="474"/>
        <v>197099.84980895341</v>
      </c>
      <c r="AG975">
        <f t="shared" si="475"/>
        <v>195062.53922838217</v>
      </c>
      <c r="AH975">
        <f t="shared" si="476"/>
        <v>193133.24035471803</v>
      </c>
      <c r="AI975">
        <f t="shared" si="489"/>
        <v>200919.52928350895</v>
      </c>
    </row>
    <row r="976" spans="2:35" x14ac:dyDescent="0.3">
      <c r="B976">
        <v>933</v>
      </c>
      <c r="C976">
        <v>75174.8125</v>
      </c>
      <c r="D976">
        <v>73642.949200000003</v>
      </c>
      <c r="E976">
        <v>73590.147500000006</v>
      </c>
      <c r="F976">
        <v>73233.109299999996</v>
      </c>
      <c r="G976">
        <v>73046.511400000003</v>
      </c>
      <c r="H976">
        <v>72926.382299999997</v>
      </c>
      <c r="I976">
        <v>9.4030565707050222</v>
      </c>
      <c r="J976">
        <v>9.3743609494478726</v>
      </c>
      <c r="K976">
        <v>9.3550725243957888</v>
      </c>
      <c r="L976">
        <v>9.3440146749782063</v>
      </c>
      <c r="M976">
        <v>9.3259354587173817</v>
      </c>
      <c r="N976">
        <v>9.2942187280449495</v>
      </c>
      <c r="P976">
        <f t="shared" si="499"/>
        <v>206916.88462115068</v>
      </c>
      <c r="Q976">
        <f t="shared" si="500"/>
        <v>207587.8792834362</v>
      </c>
      <c r="R976">
        <f t="shared" si="501"/>
        <v>207062.02823187364</v>
      </c>
      <c r="S976">
        <f t="shared" si="502"/>
        <v>207087.33094934619</v>
      </c>
      <c r="T976">
        <f t="shared" si="503"/>
        <v>206731.55236152146</v>
      </c>
      <c r="U976">
        <f t="shared" si="504"/>
        <v>205900.17954134848</v>
      </c>
      <c r="V976">
        <f t="shared" si="478"/>
        <v>0</v>
      </c>
      <c r="W976">
        <f t="shared" si="479"/>
        <v>1</v>
      </c>
      <c r="X976">
        <f t="shared" si="480"/>
        <v>0</v>
      </c>
      <c r="Y976">
        <f t="shared" si="481"/>
        <v>0</v>
      </c>
      <c r="Z976">
        <f t="shared" si="482"/>
        <v>0</v>
      </c>
      <c r="AC976">
        <f t="shared" si="471"/>
        <v>206916.88462115068</v>
      </c>
      <c r="AD976">
        <f t="shared" si="472"/>
        <v>207587.8792834362</v>
      </c>
      <c r="AE976">
        <f t="shared" si="473"/>
        <v>207062.02823187364</v>
      </c>
      <c r="AF976">
        <f t="shared" si="474"/>
        <v>207087.33094934619</v>
      </c>
      <c r="AG976">
        <f t="shared" si="475"/>
        <v>206731.55236152146</v>
      </c>
      <c r="AH976">
        <f t="shared" si="476"/>
        <v>205900.17954134848</v>
      </c>
      <c r="AI976">
        <f t="shared" si="489"/>
        <v>207587.8792834362</v>
      </c>
    </row>
    <row r="977" spans="2:35" x14ac:dyDescent="0.3">
      <c r="B977">
        <v>934</v>
      </c>
      <c r="C977">
        <v>81871.542100000006</v>
      </c>
      <c r="D977">
        <v>80926.903300000005</v>
      </c>
      <c r="E977">
        <v>80968.502699999997</v>
      </c>
      <c r="F977">
        <v>80780.780499999993</v>
      </c>
      <c r="G977">
        <v>80863.656199999998</v>
      </c>
      <c r="H977">
        <v>81013.735700000005</v>
      </c>
      <c r="I977">
        <v>9.9602957983368157</v>
      </c>
      <c r="J977">
        <v>9.9161238771291025</v>
      </c>
      <c r="K977">
        <v>9.8957001595259921</v>
      </c>
      <c r="L977">
        <v>9.8814638785257927</v>
      </c>
      <c r="M977">
        <v>9.8409106671885986</v>
      </c>
      <c r="N977">
        <v>9.8135277686385489</v>
      </c>
      <c r="P977">
        <f t="shared" si="499"/>
        <v>216937.33185010444</v>
      </c>
      <c r="Q977">
        <f t="shared" si="500"/>
        <v>216556.81301387306</v>
      </c>
      <c r="R977">
        <f t="shared" si="501"/>
        <v>215902.50208577974</v>
      </c>
      <c r="S977">
        <f t="shared" si="502"/>
        <v>215663.13585577381</v>
      </c>
      <c r="T977">
        <f t="shared" si="503"/>
        <v>214363.66381565799</v>
      </c>
      <c r="U977">
        <f t="shared" si="504"/>
        <v>213392.09735915647</v>
      </c>
      <c r="V977">
        <f t="shared" si="478"/>
        <v>1</v>
      </c>
      <c r="W977">
        <f t="shared" si="479"/>
        <v>0</v>
      </c>
      <c r="X977">
        <f t="shared" si="480"/>
        <v>0</v>
      </c>
      <c r="Y977">
        <f t="shared" si="481"/>
        <v>0</v>
      </c>
      <c r="Z977">
        <f t="shared" si="482"/>
        <v>0</v>
      </c>
      <c r="AA977">
        <f t="shared" ref="AA977" si="513">IF(MAX(P977:U977)=U977, 1, 0)</f>
        <v>0</v>
      </c>
      <c r="AC977">
        <f t="shared" si="471"/>
        <v>216937.33185010444</v>
      </c>
      <c r="AD977">
        <f t="shared" si="472"/>
        <v>216556.81301387306</v>
      </c>
      <c r="AE977">
        <f t="shared" si="473"/>
        <v>215902.50208577974</v>
      </c>
      <c r="AF977">
        <f t="shared" si="474"/>
        <v>215663.13585577381</v>
      </c>
      <c r="AG977">
        <f t="shared" si="475"/>
        <v>214363.66381565799</v>
      </c>
      <c r="AH977">
        <f t="shared" si="476"/>
        <v>213392.09735915647</v>
      </c>
      <c r="AI977">
        <f t="shared" si="489"/>
        <v>216937.33185010444</v>
      </c>
    </row>
    <row r="978" spans="2:35" x14ac:dyDescent="0.3">
      <c r="B978">
        <v>935</v>
      </c>
      <c r="C978">
        <v>75783.253700000001</v>
      </c>
      <c r="D978">
        <v>74840.230100000001</v>
      </c>
      <c r="E978">
        <v>75160.094599999997</v>
      </c>
      <c r="F978">
        <v>75105.245800000004</v>
      </c>
      <c r="G978">
        <v>75370.522200000007</v>
      </c>
      <c r="H978">
        <v>75626.475600000005</v>
      </c>
      <c r="I978">
        <v>11.017806743417557</v>
      </c>
      <c r="J978">
        <v>10.973658964142306</v>
      </c>
      <c r="K978">
        <v>10.930491161308277</v>
      </c>
      <c r="L978">
        <v>10.908557842354858</v>
      </c>
      <c r="M978">
        <v>10.877314786590338</v>
      </c>
      <c r="N978">
        <v>10.839275019751948</v>
      </c>
      <c r="P978">
        <f t="shared" si="499"/>
        <v>254750.94860252674</v>
      </c>
      <c r="Q978">
        <f t="shared" si="500"/>
        <v>254369.5388242692</v>
      </c>
      <c r="R978">
        <f t="shared" si="501"/>
        <v>252754.64023924829</v>
      </c>
      <c r="S978">
        <f t="shared" si="502"/>
        <v>252151.48947064576</v>
      </c>
      <c r="T978">
        <f t="shared" si="503"/>
        <v>250948.9213977101</v>
      </c>
      <c r="U978">
        <f t="shared" si="504"/>
        <v>249551.77499255846</v>
      </c>
      <c r="V978">
        <f t="shared" si="478"/>
        <v>1</v>
      </c>
      <c r="W978">
        <f t="shared" si="479"/>
        <v>0</v>
      </c>
      <c r="X978">
        <f t="shared" si="480"/>
        <v>0</v>
      </c>
      <c r="Y978">
        <f t="shared" si="481"/>
        <v>0</v>
      </c>
      <c r="Z978">
        <f t="shared" si="482"/>
        <v>0</v>
      </c>
      <c r="AC978">
        <f t="shared" si="471"/>
        <v>254750.94860252674</v>
      </c>
      <c r="AD978">
        <f t="shared" si="472"/>
        <v>254369.5388242692</v>
      </c>
      <c r="AE978">
        <f t="shared" si="473"/>
        <v>252754.64023924829</v>
      </c>
      <c r="AF978">
        <f t="shared" si="474"/>
        <v>252151.48947064576</v>
      </c>
      <c r="AG978">
        <f t="shared" si="475"/>
        <v>250948.9213977101</v>
      </c>
      <c r="AH978">
        <f t="shared" si="476"/>
        <v>249551.77499255846</v>
      </c>
      <c r="AI978">
        <f t="shared" si="489"/>
        <v>254750.94860252674</v>
      </c>
    </row>
    <row r="979" spans="2:35" x14ac:dyDescent="0.3">
      <c r="B979">
        <v>936</v>
      </c>
      <c r="C979">
        <v>70836.065900000001</v>
      </c>
      <c r="D979">
        <v>70293.843500000003</v>
      </c>
      <c r="E979">
        <v>70928.112500000003</v>
      </c>
      <c r="F979">
        <v>70859.281000000003</v>
      </c>
      <c r="G979">
        <v>71401.472200000004</v>
      </c>
      <c r="H979">
        <v>71894.369099999996</v>
      </c>
      <c r="I979">
        <v>10.900642792883609</v>
      </c>
      <c r="J979">
        <v>10.869418339785849</v>
      </c>
      <c r="K979">
        <v>10.840874974059613</v>
      </c>
      <c r="L979">
        <v>10.836922160171904</v>
      </c>
      <c r="M979">
        <v>10.811795528979392</v>
      </c>
      <c r="N979">
        <v>10.791197357747464</v>
      </c>
      <c r="P979">
        <f t="shared" si="499"/>
        <v>256183.21788650827</v>
      </c>
      <c r="Q979">
        <f t="shared" si="500"/>
        <v>255788.70669357543</v>
      </c>
      <c r="R979">
        <f t="shared" si="501"/>
        <v>254298.13672178838</v>
      </c>
      <c r="S979">
        <f t="shared" si="502"/>
        <v>254248.38380515709</v>
      </c>
      <c r="T979">
        <f t="shared" si="503"/>
        <v>252952.39366938174</v>
      </c>
      <c r="U979">
        <f t="shared" si="504"/>
        <v>251841.55163242389</v>
      </c>
      <c r="V979">
        <f t="shared" si="478"/>
        <v>1</v>
      </c>
      <c r="W979">
        <f t="shared" si="479"/>
        <v>0</v>
      </c>
      <c r="X979">
        <f t="shared" si="480"/>
        <v>0</v>
      </c>
      <c r="Y979">
        <f t="shared" si="481"/>
        <v>0</v>
      </c>
      <c r="Z979">
        <f t="shared" si="482"/>
        <v>0</v>
      </c>
      <c r="AA979">
        <f t="shared" ref="AA979" si="514">IF(MAX(P979:U979)=U979, 1, 0)</f>
        <v>0</v>
      </c>
      <c r="AC979">
        <f t="shared" si="471"/>
        <v>256183.21788650827</v>
      </c>
      <c r="AD979">
        <f t="shared" si="472"/>
        <v>255788.70669357543</v>
      </c>
      <c r="AE979">
        <f t="shared" si="473"/>
        <v>254298.13672178838</v>
      </c>
      <c r="AF979">
        <f t="shared" si="474"/>
        <v>254248.38380515709</v>
      </c>
      <c r="AG979">
        <f t="shared" si="475"/>
        <v>252952.39366938174</v>
      </c>
      <c r="AH979">
        <f t="shared" si="476"/>
        <v>251841.55163242389</v>
      </c>
      <c r="AI979">
        <f t="shared" si="489"/>
        <v>256183.21788650827</v>
      </c>
    </row>
    <row r="980" spans="2:35" x14ac:dyDescent="0.3">
      <c r="B980">
        <v>937</v>
      </c>
      <c r="C980">
        <v>79142.066200000001</v>
      </c>
      <c r="D980">
        <v>78639.651199999993</v>
      </c>
      <c r="E980">
        <v>79400.170899999997</v>
      </c>
      <c r="F980">
        <v>79412.537599999996</v>
      </c>
      <c r="G980">
        <v>80069.805800000002</v>
      </c>
      <c r="H980">
        <v>80594.662400000001</v>
      </c>
      <c r="I980">
        <v>9.3218635369666192</v>
      </c>
      <c r="J980">
        <v>9.2853257163752279</v>
      </c>
      <c r="K980">
        <v>9.2497244900305358</v>
      </c>
      <c r="L980">
        <v>9.241677865374891</v>
      </c>
      <c r="M980">
        <v>9.2101064354832758</v>
      </c>
      <c r="N980">
        <v>9.1647187972802868</v>
      </c>
      <c r="P980">
        <f t="shared" si="499"/>
        <v>200513.83990899858</v>
      </c>
      <c r="Q980">
        <f t="shared" si="500"/>
        <v>199920.12029125684</v>
      </c>
      <c r="R980">
        <f t="shared" si="501"/>
        <v>198091.56380091605</v>
      </c>
      <c r="S980">
        <f t="shared" si="502"/>
        <v>197837.79836124677</v>
      </c>
      <c r="T980">
        <f t="shared" si="503"/>
        <v>196233.38726449825</v>
      </c>
      <c r="U980">
        <f t="shared" si="504"/>
        <v>194346.90151840859</v>
      </c>
      <c r="V980">
        <f t="shared" si="478"/>
        <v>1</v>
      </c>
      <c r="W980">
        <f t="shared" si="479"/>
        <v>0</v>
      </c>
      <c r="X980">
        <f t="shared" si="480"/>
        <v>0</v>
      </c>
      <c r="Y980">
        <f t="shared" si="481"/>
        <v>0</v>
      </c>
      <c r="Z980">
        <f t="shared" si="482"/>
        <v>0</v>
      </c>
      <c r="AC980">
        <f t="shared" si="471"/>
        <v>200513.83990899858</v>
      </c>
      <c r="AD980">
        <f t="shared" si="472"/>
        <v>199920.12029125684</v>
      </c>
      <c r="AE980">
        <f t="shared" si="473"/>
        <v>198091.56380091605</v>
      </c>
      <c r="AF980">
        <f t="shared" si="474"/>
        <v>197837.79836124677</v>
      </c>
      <c r="AG980">
        <f t="shared" si="475"/>
        <v>196233.38726449825</v>
      </c>
      <c r="AH980">
        <f t="shared" si="476"/>
        <v>194346.90151840859</v>
      </c>
      <c r="AI980">
        <f t="shared" si="489"/>
        <v>200513.83990899858</v>
      </c>
    </row>
    <row r="981" spans="2:35" x14ac:dyDescent="0.3">
      <c r="B981">
        <v>938</v>
      </c>
      <c r="C981">
        <v>74158.506200000003</v>
      </c>
      <c r="D981">
        <v>73632.729600000006</v>
      </c>
      <c r="E981">
        <v>74046.968500000003</v>
      </c>
      <c r="F981">
        <v>74138.327900000004</v>
      </c>
      <c r="G981">
        <v>74707.835399999996</v>
      </c>
      <c r="H981">
        <v>75341.610499999995</v>
      </c>
      <c r="I981">
        <v>10.481660571433716</v>
      </c>
      <c r="J981">
        <v>10.463286951996119</v>
      </c>
      <c r="K981">
        <v>10.452887432939958</v>
      </c>
      <c r="L981">
        <v>10.445931481256352</v>
      </c>
      <c r="M981">
        <v>10.430302874766252</v>
      </c>
      <c r="N981">
        <v>10.418637613629949</v>
      </c>
      <c r="P981">
        <f t="shared" si="499"/>
        <v>240291.31094301149</v>
      </c>
      <c r="Q981">
        <f t="shared" si="500"/>
        <v>240265.87895988359</v>
      </c>
      <c r="R981">
        <f t="shared" si="501"/>
        <v>239539.65448819875</v>
      </c>
      <c r="S981">
        <f t="shared" si="502"/>
        <v>239239.61653769054</v>
      </c>
      <c r="T981">
        <f t="shared" si="503"/>
        <v>238201.25084298756</v>
      </c>
      <c r="U981">
        <f t="shared" si="504"/>
        <v>237217.51790889847</v>
      </c>
      <c r="V981">
        <f t="shared" si="478"/>
        <v>1</v>
      </c>
      <c r="W981">
        <f t="shared" si="479"/>
        <v>0</v>
      </c>
      <c r="X981">
        <f t="shared" si="480"/>
        <v>0</v>
      </c>
      <c r="Y981">
        <f t="shared" si="481"/>
        <v>0</v>
      </c>
      <c r="Z981">
        <f t="shared" si="482"/>
        <v>0</v>
      </c>
      <c r="AA981">
        <f t="shared" ref="AA981" si="515">IF(MAX(P981:U981)=U981, 1, 0)</f>
        <v>0</v>
      </c>
      <c r="AC981">
        <f t="shared" si="471"/>
        <v>240291.31094301149</v>
      </c>
      <c r="AD981">
        <f t="shared" si="472"/>
        <v>240265.87895988359</v>
      </c>
      <c r="AE981">
        <f t="shared" si="473"/>
        <v>239539.65448819875</v>
      </c>
      <c r="AF981">
        <f t="shared" si="474"/>
        <v>239239.61653769054</v>
      </c>
      <c r="AG981">
        <f t="shared" si="475"/>
        <v>238201.25084298756</v>
      </c>
      <c r="AH981">
        <f t="shared" si="476"/>
        <v>237217.51790889847</v>
      </c>
      <c r="AI981">
        <f t="shared" si="489"/>
        <v>240291.31094301149</v>
      </c>
    </row>
    <row r="982" spans="2:35" x14ac:dyDescent="0.3">
      <c r="B982">
        <v>939</v>
      </c>
      <c r="C982">
        <v>84656.304699999993</v>
      </c>
      <c r="D982">
        <v>84133.980100000001</v>
      </c>
      <c r="E982">
        <v>84890.2016</v>
      </c>
      <c r="F982">
        <v>84567.408299999996</v>
      </c>
      <c r="G982">
        <v>85140.093900000007</v>
      </c>
      <c r="H982">
        <v>85954.959099999993</v>
      </c>
      <c r="I982">
        <v>9.2916066088120566</v>
      </c>
      <c r="J982">
        <v>9.2704776228873715</v>
      </c>
      <c r="K982">
        <v>9.2454084690737623</v>
      </c>
      <c r="L982">
        <v>9.2359586892402277</v>
      </c>
      <c r="M982">
        <v>9.2130359210312829</v>
      </c>
      <c r="N982">
        <v>9.1935933778936718</v>
      </c>
      <c r="P982">
        <f t="shared" si="499"/>
        <v>194091.89356436173</v>
      </c>
      <c r="Q982">
        <f t="shared" si="500"/>
        <v>193980.34858662117</v>
      </c>
      <c r="R982">
        <f t="shared" si="501"/>
        <v>192472.05247221285</v>
      </c>
      <c r="S982">
        <f t="shared" si="502"/>
        <v>192511.35237720684</v>
      </c>
      <c r="T982">
        <f t="shared" si="503"/>
        <v>191250.98373093849</v>
      </c>
      <c r="U982">
        <f t="shared" si="504"/>
        <v>189852.84223681019</v>
      </c>
      <c r="V982">
        <f t="shared" si="478"/>
        <v>1</v>
      </c>
      <c r="W982">
        <f t="shared" si="479"/>
        <v>0</v>
      </c>
      <c r="X982">
        <f t="shared" si="480"/>
        <v>0</v>
      </c>
      <c r="Y982">
        <f t="shared" si="481"/>
        <v>0</v>
      </c>
      <c r="Z982">
        <f t="shared" si="482"/>
        <v>0</v>
      </c>
      <c r="AC982">
        <f t="shared" si="471"/>
        <v>194091.89356436173</v>
      </c>
      <c r="AD982">
        <f t="shared" si="472"/>
        <v>193980.34858662117</v>
      </c>
      <c r="AE982">
        <f t="shared" si="473"/>
        <v>192472.05247221285</v>
      </c>
      <c r="AF982">
        <f t="shared" si="474"/>
        <v>192511.35237720684</v>
      </c>
      <c r="AG982">
        <f t="shared" si="475"/>
        <v>191250.98373093849</v>
      </c>
      <c r="AH982">
        <f t="shared" si="476"/>
        <v>189852.84223681019</v>
      </c>
      <c r="AI982">
        <f t="shared" si="489"/>
        <v>194091.89356436173</v>
      </c>
    </row>
    <row r="983" spans="2:35" x14ac:dyDescent="0.3">
      <c r="B983">
        <v>940</v>
      </c>
      <c r="C983">
        <v>83045.978300000002</v>
      </c>
      <c r="D983">
        <v>82076.346300000005</v>
      </c>
      <c r="E983">
        <v>82421.421400000007</v>
      </c>
      <c r="F983">
        <v>82312.100600000005</v>
      </c>
      <c r="G983">
        <v>82405.290999999997</v>
      </c>
      <c r="H983">
        <v>82759.912899999996</v>
      </c>
      <c r="I983">
        <v>9.8824142919919655</v>
      </c>
      <c r="J983">
        <v>9.8568035585905207</v>
      </c>
      <c r="K983">
        <v>9.8357764763371254</v>
      </c>
      <c r="L983">
        <v>9.8214526221628073</v>
      </c>
      <c r="M983">
        <v>9.806158926068516</v>
      </c>
      <c r="N983">
        <v>9.785787026387494</v>
      </c>
      <c r="P983">
        <f t="shared" si="499"/>
        <v>213426.45045975893</v>
      </c>
      <c r="Q983">
        <f t="shared" si="500"/>
        <v>213627.76045771563</v>
      </c>
      <c r="R983">
        <f t="shared" si="501"/>
        <v>212651.87289011379</v>
      </c>
      <c r="S983">
        <f t="shared" si="502"/>
        <v>212331.4780648842</v>
      </c>
      <c r="T983">
        <f t="shared" si="503"/>
        <v>211779.47678205548</v>
      </c>
      <c r="U983">
        <f t="shared" si="504"/>
        <v>210813.69789162482</v>
      </c>
      <c r="V983">
        <f t="shared" si="478"/>
        <v>0</v>
      </c>
      <c r="W983">
        <f t="shared" si="479"/>
        <v>1</v>
      </c>
      <c r="X983">
        <f t="shared" si="480"/>
        <v>0</v>
      </c>
      <c r="Y983">
        <f t="shared" si="481"/>
        <v>0</v>
      </c>
      <c r="Z983">
        <f t="shared" si="482"/>
        <v>0</v>
      </c>
      <c r="AA983">
        <f t="shared" ref="AA983" si="516">IF(MAX(P983:U983)=U983, 1, 0)</f>
        <v>0</v>
      </c>
      <c r="AC983">
        <f t="shared" si="471"/>
        <v>213426.45045975893</v>
      </c>
      <c r="AD983">
        <f t="shared" si="472"/>
        <v>213627.76045771563</v>
      </c>
      <c r="AE983">
        <f t="shared" si="473"/>
        <v>212651.87289011379</v>
      </c>
      <c r="AF983">
        <f t="shared" si="474"/>
        <v>212331.4780648842</v>
      </c>
      <c r="AG983">
        <f t="shared" si="475"/>
        <v>211779.47678205548</v>
      </c>
      <c r="AH983">
        <f t="shared" si="476"/>
        <v>210813.69789162482</v>
      </c>
      <c r="AI983">
        <f t="shared" si="489"/>
        <v>213627.76045771563</v>
      </c>
    </row>
    <row r="984" spans="2:35" x14ac:dyDescent="0.3">
      <c r="B984">
        <v>941</v>
      </c>
      <c r="C984">
        <v>80928.024699999994</v>
      </c>
      <c r="D984">
        <v>80199.357900000003</v>
      </c>
      <c r="E984">
        <v>80872.266300000003</v>
      </c>
      <c r="F984">
        <v>80847.353799999997</v>
      </c>
      <c r="G984">
        <v>81107.734400000001</v>
      </c>
      <c r="H984">
        <v>81725.387100000007</v>
      </c>
      <c r="I984">
        <v>11.946131207284996</v>
      </c>
      <c r="J984">
        <v>11.928558600625323</v>
      </c>
      <c r="K984">
        <v>11.913701034967712</v>
      </c>
      <c r="L984">
        <v>11.906631846821117</v>
      </c>
      <c r="M984">
        <v>11.898188695388303</v>
      </c>
      <c r="N984">
        <v>11.87940944864199</v>
      </c>
      <c r="P984">
        <f t="shared" si="499"/>
        <v>277455.91151854984</v>
      </c>
      <c r="Q984">
        <f t="shared" si="500"/>
        <v>277657.40011875966</v>
      </c>
      <c r="R984">
        <f t="shared" si="501"/>
        <v>276538.76474903134</v>
      </c>
      <c r="S984">
        <f t="shared" si="502"/>
        <v>276351.60160463356</v>
      </c>
      <c r="T984">
        <f t="shared" si="503"/>
        <v>275837.92646164907</v>
      </c>
      <c r="U984">
        <f t="shared" si="504"/>
        <v>274656.89635925973</v>
      </c>
      <c r="V984">
        <f t="shared" si="478"/>
        <v>0</v>
      </c>
      <c r="W984">
        <f t="shared" si="479"/>
        <v>1</v>
      </c>
      <c r="X984">
        <f t="shared" si="480"/>
        <v>0</v>
      </c>
      <c r="Y984">
        <f t="shared" si="481"/>
        <v>0</v>
      </c>
      <c r="Z984">
        <f t="shared" si="482"/>
        <v>0</v>
      </c>
      <c r="AC984">
        <f t="shared" si="471"/>
        <v>277455.91151854984</v>
      </c>
      <c r="AD984">
        <f t="shared" si="472"/>
        <v>277657.40011875966</v>
      </c>
      <c r="AE984">
        <f t="shared" si="473"/>
        <v>276538.76474903134</v>
      </c>
      <c r="AF984">
        <f t="shared" si="474"/>
        <v>276351.60160463356</v>
      </c>
      <c r="AG984">
        <f t="shared" si="475"/>
        <v>275837.92646164907</v>
      </c>
      <c r="AH984">
        <f t="shared" si="476"/>
        <v>274656.89635925973</v>
      </c>
      <c r="AI984">
        <f t="shared" si="489"/>
        <v>277657.40011875966</v>
      </c>
    </row>
    <row r="985" spans="2:35" x14ac:dyDescent="0.3">
      <c r="B985">
        <v>942</v>
      </c>
      <c r="C985">
        <v>75200.437399999995</v>
      </c>
      <c r="D985">
        <v>74906.579299999998</v>
      </c>
      <c r="E985">
        <v>75777.492299999998</v>
      </c>
      <c r="F985">
        <v>75974.191900000005</v>
      </c>
      <c r="G985">
        <v>76863.187999999995</v>
      </c>
      <c r="H985">
        <v>77767.697799999994</v>
      </c>
      <c r="I985">
        <v>9.7536510447523916</v>
      </c>
      <c r="J985">
        <v>9.7308550954968425</v>
      </c>
      <c r="K985">
        <v>9.7072509660649562</v>
      </c>
      <c r="L985">
        <v>9.6973444152505959</v>
      </c>
      <c r="M985">
        <v>9.6787747295588638</v>
      </c>
      <c r="N985">
        <v>9.6512160605999338</v>
      </c>
      <c r="P985">
        <f t="shared" si="499"/>
        <v>217409.09394257178</v>
      </c>
      <c r="Q985">
        <f t="shared" si="500"/>
        <v>217019.07356490527</v>
      </c>
      <c r="R985">
        <f t="shared" si="501"/>
        <v>215440.0366819487</v>
      </c>
      <c r="S985">
        <f t="shared" si="502"/>
        <v>214946.14055751785</v>
      </c>
      <c r="T985">
        <f t="shared" si="503"/>
        <v>213500.05388676593</v>
      </c>
      <c r="U985">
        <f t="shared" si="504"/>
        <v>211768.784017998</v>
      </c>
      <c r="V985">
        <f t="shared" si="478"/>
        <v>1</v>
      </c>
      <c r="W985">
        <f t="shared" si="479"/>
        <v>0</v>
      </c>
      <c r="X985">
        <f t="shared" si="480"/>
        <v>0</v>
      </c>
      <c r="Y985">
        <f t="shared" si="481"/>
        <v>0</v>
      </c>
      <c r="Z985">
        <f t="shared" si="482"/>
        <v>0</v>
      </c>
      <c r="AA985">
        <f t="shared" ref="AA985" si="517">IF(MAX(P985:U985)=U985, 1, 0)</f>
        <v>0</v>
      </c>
      <c r="AC985">
        <f t="shared" si="471"/>
        <v>217409.09394257178</v>
      </c>
      <c r="AD985">
        <f t="shared" si="472"/>
        <v>217019.07356490527</v>
      </c>
      <c r="AE985">
        <f t="shared" si="473"/>
        <v>215440.0366819487</v>
      </c>
      <c r="AF985">
        <f t="shared" si="474"/>
        <v>214946.14055751785</v>
      </c>
      <c r="AG985">
        <f t="shared" si="475"/>
        <v>213500.05388676593</v>
      </c>
      <c r="AH985">
        <f t="shared" si="476"/>
        <v>211768.784017998</v>
      </c>
      <c r="AI985">
        <f t="shared" si="489"/>
        <v>217409.09394257178</v>
      </c>
    </row>
    <row r="986" spans="2:35" x14ac:dyDescent="0.3">
      <c r="B986">
        <v>943</v>
      </c>
      <c r="C986">
        <v>80812.455799999996</v>
      </c>
      <c r="D986">
        <v>79318.849199999997</v>
      </c>
      <c r="E986">
        <v>79074.433900000004</v>
      </c>
      <c r="F986">
        <v>78760.176900000006</v>
      </c>
      <c r="G986">
        <v>78582.794299999994</v>
      </c>
      <c r="H986">
        <v>78331.363400000002</v>
      </c>
      <c r="I986">
        <v>10.233893822860953</v>
      </c>
      <c r="J986">
        <v>10.2180422259318</v>
      </c>
      <c r="K986">
        <v>10.204401203423274</v>
      </c>
      <c r="L986">
        <v>10.200808267167378</v>
      </c>
      <c r="M986">
        <v>10.184377882401826</v>
      </c>
      <c r="N986">
        <v>10.168271167279942</v>
      </c>
      <c r="P986">
        <f t="shared" si="499"/>
        <v>226204.35888582858</v>
      </c>
      <c r="Q986">
        <f t="shared" si="500"/>
        <v>227222.41757795401</v>
      </c>
      <c r="R986">
        <f t="shared" si="501"/>
        <v>227057.60220269818</v>
      </c>
      <c r="S986">
        <f t="shared" si="502"/>
        <v>227264.0711150213</v>
      </c>
      <c r="T986">
        <f t="shared" si="503"/>
        <v>226948.54217205476</v>
      </c>
      <c r="U986">
        <f t="shared" si="504"/>
        <v>226716.77161839823</v>
      </c>
      <c r="V986">
        <f t="shared" si="478"/>
        <v>0</v>
      </c>
      <c r="W986">
        <f t="shared" si="479"/>
        <v>0</v>
      </c>
      <c r="X986">
        <f t="shared" si="480"/>
        <v>0</v>
      </c>
      <c r="Y986">
        <f t="shared" si="481"/>
        <v>1</v>
      </c>
      <c r="Z986">
        <f t="shared" si="482"/>
        <v>0</v>
      </c>
      <c r="AC986">
        <f t="shared" si="471"/>
        <v>226204.35888582858</v>
      </c>
      <c r="AD986">
        <f t="shared" si="472"/>
        <v>227222.41757795401</v>
      </c>
      <c r="AE986">
        <f t="shared" si="473"/>
        <v>227057.60220269818</v>
      </c>
      <c r="AF986">
        <f t="shared" si="474"/>
        <v>227264.0711150213</v>
      </c>
      <c r="AG986">
        <f t="shared" si="475"/>
        <v>226948.54217205476</v>
      </c>
      <c r="AH986">
        <f t="shared" si="476"/>
        <v>226716.77161839823</v>
      </c>
      <c r="AI986">
        <f t="shared" si="489"/>
        <v>227264.0711150213</v>
      </c>
    </row>
    <row r="987" spans="2:35" x14ac:dyDescent="0.3">
      <c r="B987">
        <v>944</v>
      </c>
      <c r="C987">
        <v>76867.390599999999</v>
      </c>
      <c r="D987">
        <v>76435.615300000005</v>
      </c>
      <c r="E987">
        <v>77313.709400000007</v>
      </c>
      <c r="F987">
        <v>77353.584099999993</v>
      </c>
      <c r="G987">
        <v>78053.518500000006</v>
      </c>
      <c r="H987">
        <v>78919.418999999994</v>
      </c>
      <c r="I987">
        <v>10.593028522569464</v>
      </c>
      <c r="J987">
        <v>10.580424330508622</v>
      </c>
      <c r="K987">
        <v>10.567517876030857</v>
      </c>
      <c r="L987">
        <v>10.562305206463215</v>
      </c>
      <c r="M987">
        <v>10.550476715032682</v>
      </c>
      <c r="N987">
        <v>10.539718010884382</v>
      </c>
      <c r="P987">
        <f t="shared" si="499"/>
        <v>240923.46507708391</v>
      </c>
      <c r="Q987">
        <f t="shared" si="500"/>
        <v>240977.11461525864</v>
      </c>
      <c r="R987">
        <f t="shared" si="501"/>
        <v>239711.82688092574</v>
      </c>
      <c r="S987">
        <f t="shared" si="502"/>
        <v>239515.57209389645</v>
      </c>
      <c r="T987">
        <f t="shared" si="503"/>
        <v>238460.78295098047</v>
      </c>
      <c r="U987">
        <f t="shared" si="504"/>
        <v>237272.12132653146</v>
      </c>
      <c r="V987">
        <f t="shared" si="478"/>
        <v>0</v>
      </c>
      <c r="W987">
        <f t="shared" si="479"/>
        <v>1</v>
      </c>
      <c r="X987">
        <f t="shared" si="480"/>
        <v>0</v>
      </c>
      <c r="Y987">
        <f t="shared" si="481"/>
        <v>0</v>
      </c>
      <c r="Z987">
        <f t="shared" si="482"/>
        <v>0</v>
      </c>
      <c r="AA987">
        <f t="shared" ref="AA987" si="518">IF(MAX(P987:U987)=U987, 1, 0)</f>
        <v>0</v>
      </c>
      <c r="AC987">
        <f t="shared" si="471"/>
        <v>240923.46507708391</v>
      </c>
      <c r="AD987">
        <f t="shared" si="472"/>
        <v>240977.11461525864</v>
      </c>
      <c r="AE987">
        <f t="shared" si="473"/>
        <v>239711.82688092574</v>
      </c>
      <c r="AF987">
        <f t="shared" si="474"/>
        <v>239515.57209389645</v>
      </c>
      <c r="AG987">
        <f t="shared" si="475"/>
        <v>238460.78295098047</v>
      </c>
      <c r="AH987">
        <f t="shared" si="476"/>
        <v>237272.12132653146</v>
      </c>
      <c r="AI987">
        <f t="shared" si="489"/>
        <v>240977.11461525864</v>
      </c>
    </row>
    <row r="988" spans="2:35" x14ac:dyDescent="0.3">
      <c r="B988">
        <v>945</v>
      </c>
      <c r="C988">
        <v>74997.359400000001</v>
      </c>
      <c r="D988">
        <v>74387.726999999999</v>
      </c>
      <c r="E988">
        <v>74737.762100000007</v>
      </c>
      <c r="F988">
        <v>74726.867199999993</v>
      </c>
      <c r="G988">
        <v>75193.146699999998</v>
      </c>
      <c r="H988">
        <v>75635.130099999995</v>
      </c>
      <c r="I988">
        <v>10.856042779625161</v>
      </c>
      <c r="J988">
        <v>10.828639000171359</v>
      </c>
      <c r="K988">
        <v>10.814171387181325</v>
      </c>
      <c r="L988">
        <v>10.806488729469452</v>
      </c>
      <c r="M988">
        <v>10.783624915699983</v>
      </c>
      <c r="N988">
        <v>10.765361618485992</v>
      </c>
      <c r="P988">
        <f t="shared" si="499"/>
        <v>250683.9239887548</v>
      </c>
      <c r="Q988">
        <f t="shared" si="500"/>
        <v>250471.44300514075</v>
      </c>
      <c r="R988">
        <f t="shared" si="501"/>
        <v>249687.37951543974</v>
      </c>
      <c r="S988">
        <f t="shared" si="502"/>
        <v>249467.79468408355</v>
      </c>
      <c r="T988">
        <f t="shared" si="503"/>
        <v>248315.6007709995</v>
      </c>
      <c r="U988">
        <f t="shared" si="504"/>
        <v>247325.71845457976</v>
      </c>
      <c r="V988">
        <f t="shared" si="478"/>
        <v>1</v>
      </c>
      <c r="W988">
        <f t="shared" si="479"/>
        <v>0</v>
      </c>
      <c r="X988">
        <f t="shared" si="480"/>
        <v>0</v>
      </c>
      <c r="Y988">
        <f t="shared" si="481"/>
        <v>0</v>
      </c>
      <c r="Z988">
        <f t="shared" si="482"/>
        <v>0</v>
      </c>
      <c r="AC988">
        <f t="shared" si="471"/>
        <v>250683.9239887548</v>
      </c>
      <c r="AD988">
        <f t="shared" si="472"/>
        <v>250471.44300514075</v>
      </c>
      <c r="AE988">
        <f t="shared" si="473"/>
        <v>249687.37951543974</v>
      </c>
      <c r="AF988">
        <f t="shared" si="474"/>
        <v>249467.79468408355</v>
      </c>
      <c r="AG988">
        <f t="shared" si="475"/>
        <v>248315.6007709995</v>
      </c>
      <c r="AH988">
        <f t="shared" si="476"/>
        <v>247325.71845457976</v>
      </c>
      <c r="AI988">
        <f t="shared" si="489"/>
        <v>250683.9239887548</v>
      </c>
    </row>
    <row r="989" spans="2:35" x14ac:dyDescent="0.3">
      <c r="B989">
        <v>946</v>
      </c>
      <c r="C989">
        <v>74346.041800000006</v>
      </c>
      <c r="D989">
        <v>73009.533500000005</v>
      </c>
      <c r="E989">
        <v>72923.685500000007</v>
      </c>
      <c r="F989">
        <v>72641.948399999994</v>
      </c>
      <c r="G989">
        <v>72531.457699999999</v>
      </c>
      <c r="H989">
        <v>72314.872700000007</v>
      </c>
      <c r="I989">
        <v>8.4138388236249959</v>
      </c>
      <c r="J989">
        <v>8.3961826613584858</v>
      </c>
      <c r="K989">
        <v>8.3848844487462237</v>
      </c>
      <c r="L989">
        <v>8.3756154363632334</v>
      </c>
      <c r="M989">
        <v>8.363432160856453</v>
      </c>
      <c r="N989">
        <v>8.3450688275754548</v>
      </c>
      <c r="P989">
        <f t="shared" si="499"/>
        <v>178069.12290874988</v>
      </c>
      <c r="Q989">
        <f t="shared" si="500"/>
        <v>178875.94634075457</v>
      </c>
      <c r="R989">
        <f t="shared" si="501"/>
        <v>178622.84796238673</v>
      </c>
      <c r="S989">
        <f t="shared" si="502"/>
        <v>178626.51469089702</v>
      </c>
      <c r="T989">
        <f t="shared" si="503"/>
        <v>178371.50712569361</v>
      </c>
      <c r="U989">
        <f t="shared" si="504"/>
        <v>178037.19212726364</v>
      </c>
      <c r="V989">
        <f t="shared" si="478"/>
        <v>0</v>
      </c>
      <c r="W989">
        <f t="shared" si="479"/>
        <v>1</v>
      </c>
      <c r="X989">
        <f t="shared" si="480"/>
        <v>0</v>
      </c>
      <c r="Y989">
        <f t="shared" si="481"/>
        <v>0</v>
      </c>
      <c r="Z989">
        <f t="shared" si="482"/>
        <v>0</v>
      </c>
      <c r="AA989">
        <f t="shared" ref="AA989" si="519">IF(MAX(P989:U989)=U989, 1, 0)</f>
        <v>0</v>
      </c>
      <c r="AC989">
        <f t="shared" si="471"/>
        <v>178069.12290874988</v>
      </c>
      <c r="AD989">
        <f t="shared" si="472"/>
        <v>178875.94634075457</v>
      </c>
      <c r="AE989">
        <f t="shared" si="473"/>
        <v>178622.84796238673</v>
      </c>
      <c r="AF989">
        <f t="shared" si="474"/>
        <v>178626.51469089702</v>
      </c>
      <c r="AG989">
        <f t="shared" si="475"/>
        <v>178371.50712569361</v>
      </c>
      <c r="AH989">
        <f t="shared" si="476"/>
        <v>178037.19212726364</v>
      </c>
      <c r="AI989">
        <f t="shared" si="489"/>
        <v>178875.94634075457</v>
      </c>
    </row>
    <row r="990" spans="2:35" x14ac:dyDescent="0.3">
      <c r="B990">
        <v>947</v>
      </c>
      <c r="C990">
        <v>75054.011899999998</v>
      </c>
      <c r="D990">
        <v>73920.063800000004</v>
      </c>
      <c r="E990">
        <v>74104.393100000001</v>
      </c>
      <c r="F990">
        <v>73957.421700000006</v>
      </c>
      <c r="G990">
        <v>74075.051099999997</v>
      </c>
      <c r="H990">
        <v>74271.911600000007</v>
      </c>
      <c r="I990">
        <v>9.9515367845457448</v>
      </c>
      <c r="J990">
        <v>9.9126883576991798</v>
      </c>
      <c r="K990">
        <v>9.8902454334186292</v>
      </c>
      <c r="L990">
        <v>9.8691354899801915</v>
      </c>
      <c r="M990">
        <v>9.8442404569288584</v>
      </c>
      <c r="N990">
        <v>9.8126593643571578</v>
      </c>
      <c r="P990">
        <f t="shared" si="499"/>
        <v>223492.09163637238</v>
      </c>
      <c r="Q990">
        <f t="shared" si="500"/>
        <v>223460.58693097538</v>
      </c>
      <c r="R990">
        <f t="shared" si="501"/>
        <v>222602.96990255889</v>
      </c>
      <c r="S990">
        <f t="shared" si="502"/>
        <v>222116.64299940574</v>
      </c>
      <c r="T990">
        <f t="shared" si="503"/>
        <v>221252.16260786576</v>
      </c>
      <c r="U990">
        <f t="shared" si="504"/>
        <v>220107.86933071475</v>
      </c>
      <c r="V990">
        <f t="shared" si="478"/>
        <v>1</v>
      </c>
      <c r="W990">
        <f t="shared" si="479"/>
        <v>0</v>
      </c>
      <c r="X990">
        <f t="shared" si="480"/>
        <v>0</v>
      </c>
      <c r="Y990">
        <f t="shared" si="481"/>
        <v>0</v>
      </c>
      <c r="Z990">
        <f t="shared" si="482"/>
        <v>0</v>
      </c>
      <c r="AC990">
        <f t="shared" si="471"/>
        <v>223492.09163637238</v>
      </c>
      <c r="AD990">
        <f t="shared" si="472"/>
        <v>223460.58693097538</v>
      </c>
      <c r="AE990">
        <f t="shared" si="473"/>
        <v>222602.96990255889</v>
      </c>
      <c r="AF990">
        <f t="shared" si="474"/>
        <v>222116.64299940574</v>
      </c>
      <c r="AG990">
        <f t="shared" si="475"/>
        <v>221252.16260786576</v>
      </c>
      <c r="AH990">
        <f t="shared" si="476"/>
        <v>220107.86933071475</v>
      </c>
      <c r="AI990">
        <f t="shared" si="489"/>
        <v>223492.09163637238</v>
      </c>
    </row>
    <row r="991" spans="2:35" x14ac:dyDescent="0.3">
      <c r="B991">
        <v>948</v>
      </c>
      <c r="C991">
        <v>75520.771500000003</v>
      </c>
      <c r="D991">
        <v>75054.192299999995</v>
      </c>
      <c r="E991">
        <v>75374.868400000007</v>
      </c>
      <c r="F991">
        <v>75380.824500000002</v>
      </c>
      <c r="G991">
        <v>75671.249400000001</v>
      </c>
      <c r="H991">
        <v>76256.018599999996</v>
      </c>
      <c r="I991">
        <v>8.5187377477475241</v>
      </c>
      <c r="J991">
        <v>8.5044534976110207</v>
      </c>
      <c r="K991">
        <v>8.4916572440693834</v>
      </c>
      <c r="L991">
        <v>8.4857746394441005</v>
      </c>
      <c r="M991">
        <v>8.4766019371034727</v>
      </c>
      <c r="N991">
        <v>8.4628188814688894</v>
      </c>
      <c r="P991">
        <f t="shared" si="499"/>
        <v>180041.36093242571</v>
      </c>
      <c r="Q991">
        <f t="shared" si="500"/>
        <v>180079.41262833061</v>
      </c>
      <c r="R991">
        <f t="shared" si="501"/>
        <v>179374.8489220815</v>
      </c>
      <c r="S991">
        <f t="shared" si="502"/>
        <v>179192.414683323</v>
      </c>
      <c r="T991">
        <f t="shared" si="503"/>
        <v>178626.80871310417</v>
      </c>
      <c r="U991">
        <f t="shared" si="504"/>
        <v>177628.54784406669</v>
      </c>
      <c r="V991">
        <f t="shared" si="478"/>
        <v>0</v>
      </c>
      <c r="W991">
        <f t="shared" si="479"/>
        <v>1</v>
      </c>
      <c r="X991">
        <f t="shared" si="480"/>
        <v>0</v>
      </c>
      <c r="Y991">
        <f t="shared" si="481"/>
        <v>0</v>
      </c>
      <c r="Z991">
        <f t="shared" si="482"/>
        <v>0</v>
      </c>
      <c r="AA991">
        <f t="shared" ref="AA991" si="520">IF(MAX(P991:U991)=U991, 1, 0)</f>
        <v>0</v>
      </c>
      <c r="AC991">
        <f t="shared" si="471"/>
        <v>180041.36093242571</v>
      </c>
      <c r="AD991">
        <f t="shared" si="472"/>
        <v>180079.41262833061</v>
      </c>
      <c r="AE991">
        <f t="shared" si="473"/>
        <v>179374.8489220815</v>
      </c>
      <c r="AF991">
        <f t="shared" si="474"/>
        <v>179192.414683323</v>
      </c>
      <c r="AG991">
        <f t="shared" si="475"/>
        <v>178626.80871310417</v>
      </c>
      <c r="AH991">
        <f t="shared" si="476"/>
        <v>177628.54784406669</v>
      </c>
      <c r="AI991">
        <f t="shared" si="489"/>
        <v>180079.41262833061</v>
      </c>
    </row>
    <row r="992" spans="2:35" x14ac:dyDescent="0.3">
      <c r="B992">
        <v>949</v>
      </c>
      <c r="C992">
        <v>66376.172200000001</v>
      </c>
      <c r="D992">
        <v>65652.801200000002</v>
      </c>
      <c r="E992">
        <v>66187.793399999995</v>
      </c>
      <c r="F992">
        <v>66219.741299999994</v>
      </c>
      <c r="G992">
        <v>66671.531900000002</v>
      </c>
      <c r="H992">
        <v>67036.893200000006</v>
      </c>
      <c r="I992">
        <v>10.706914292550627</v>
      </c>
      <c r="J992">
        <v>10.680978760293366</v>
      </c>
      <c r="K992">
        <v>10.661639451353283</v>
      </c>
      <c r="L992">
        <v>10.647239623439271</v>
      </c>
      <c r="M992">
        <v>10.62984073718391</v>
      </c>
      <c r="N992">
        <v>10.60544796507105</v>
      </c>
      <c r="P992">
        <f t="shared" si="499"/>
        <v>254831.25657651879</v>
      </c>
      <c r="Q992">
        <f t="shared" si="500"/>
        <v>254776.56160880096</v>
      </c>
      <c r="R992">
        <f t="shared" si="501"/>
        <v>253661.39014059849</v>
      </c>
      <c r="S992">
        <f t="shared" si="502"/>
        <v>253197.44740317814</v>
      </c>
      <c r="T992">
        <f t="shared" si="503"/>
        <v>252223.6902155173</v>
      </c>
      <c r="U992">
        <f t="shared" si="504"/>
        <v>251126.5457521315</v>
      </c>
      <c r="V992">
        <f t="shared" si="478"/>
        <v>1</v>
      </c>
      <c r="W992">
        <f t="shared" si="479"/>
        <v>0</v>
      </c>
      <c r="X992">
        <f t="shared" si="480"/>
        <v>0</v>
      </c>
      <c r="Y992">
        <f t="shared" si="481"/>
        <v>0</v>
      </c>
      <c r="Z992">
        <f t="shared" si="482"/>
        <v>0</v>
      </c>
      <c r="AC992">
        <f t="shared" ref="AC992:AC1043" si="521">Threshold*I992-C992</f>
        <v>254831.25657651879</v>
      </c>
      <c r="AD992">
        <f t="shared" ref="AD992:AD1043" si="522">Threshold*J992-D992</f>
        <v>254776.56160880096</v>
      </c>
      <c r="AE992">
        <f t="shared" ref="AE992:AE1043" si="523">Threshold*K992-E992</f>
        <v>253661.39014059849</v>
      </c>
      <c r="AF992">
        <f t="shared" ref="AF992:AF1043" si="524">Threshold*L992-F992</f>
        <v>253197.44740317814</v>
      </c>
      <c r="AG992">
        <f t="shared" ref="AG992:AG1043" si="525">Threshold*M992-G992</f>
        <v>252223.6902155173</v>
      </c>
      <c r="AH992">
        <f t="shared" ref="AH992:AH1043" si="526">Threshold*N992-H992</f>
        <v>251126.5457521315</v>
      </c>
      <c r="AI992">
        <f t="shared" si="489"/>
        <v>254831.25657651879</v>
      </c>
    </row>
    <row r="993" spans="2:35" x14ac:dyDescent="0.3">
      <c r="B993">
        <v>950</v>
      </c>
      <c r="C993">
        <v>81177.586299999995</v>
      </c>
      <c r="D993">
        <v>80860.174899999998</v>
      </c>
      <c r="E993">
        <v>81400.393400000001</v>
      </c>
      <c r="F993">
        <v>81549.873699999996</v>
      </c>
      <c r="G993">
        <v>81988.026500000007</v>
      </c>
      <c r="H993">
        <v>82679.015799999994</v>
      </c>
      <c r="I993">
        <v>10.164361447665087</v>
      </c>
      <c r="J993">
        <v>10.141444085339012</v>
      </c>
      <c r="K993">
        <v>10.125737162119584</v>
      </c>
      <c r="L993">
        <v>10.115286840770482</v>
      </c>
      <c r="M993">
        <v>10.102757354913072</v>
      </c>
      <c r="N993">
        <v>10.08168979286615</v>
      </c>
      <c r="P993">
        <f t="shared" si="499"/>
        <v>223753.25712995263</v>
      </c>
      <c r="Q993">
        <f t="shared" si="500"/>
        <v>223383.14766017039</v>
      </c>
      <c r="R993">
        <f t="shared" si="501"/>
        <v>222371.72146358754</v>
      </c>
      <c r="S993">
        <f t="shared" si="502"/>
        <v>221908.73152311449</v>
      </c>
      <c r="T993">
        <f t="shared" si="503"/>
        <v>221094.69414739215</v>
      </c>
      <c r="U993">
        <f t="shared" si="504"/>
        <v>219771.67798598454</v>
      </c>
      <c r="V993">
        <f t="shared" si="478"/>
        <v>1</v>
      </c>
      <c r="W993">
        <f t="shared" si="479"/>
        <v>0</v>
      </c>
      <c r="X993">
        <f t="shared" si="480"/>
        <v>0</v>
      </c>
      <c r="Y993">
        <f t="shared" si="481"/>
        <v>0</v>
      </c>
      <c r="Z993">
        <f t="shared" si="482"/>
        <v>0</v>
      </c>
      <c r="AA993">
        <f t="shared" ref="AA993" si="527">IF(MAX(P993:U993)=U993, 1, 0)</f>
        <v>0</v>
      </c>
      <c r="AC993">
        <f t="shared" si="521"/>
        <v>223753.25712995263</v>
      </c>
      <c r="AD993">
        <f t="shared" si="522"/>
        <v>223383.14766017039</v>
      </c>
      <c r="AE993">
        <f t="shared" si="523"/>
        <v>222371.72146358754</v>
      </c>
      <c r="AF993">
        <f t="shared" si="524"/>
        <v>221908.73152311449</v>
      </c>
      <c r="AG993">
        <f t="shared" si="525"/>
        <v>221094.69414739215</v>
      </c>
      <c r="AH993">
        <f t="shared" si="526"/>
        <v>219771.67798598454</v>
      </c>
      <c r="AI993">
        <f t="shared" si="489"/>
        <v>223753.25712995263</v>
      </c>
    </row>
    <row r="994" spans="2:35" x14ac:dyDescent="0.3">
      <c r="B994">
        <v>951</v>
      </c>
      <c r="C994">
        <v>87574.458499999993</v>
      </c>
      <c r="D994">
        <v>87017.944499999998</v>
      </c>
      <c r="E994">
        <v>87935.167100000006</v>
      </c>
      <c r="F994">
        <v>87677.602199999994</v>
      </c>
      <c r="G994">
        <v>88431.345499999996</v>
      </c>
      <c r="H994">
        <v>89144.111099999995</v>
      </c>
      <c r="I994">
        <v>10.527625641983718</v>
      </c>
      <c r="J994">
        <v>10.51811105660561</v>
      </c>
      <c r="K994">
        <v>10.506823974683094</v>
      </c>
      <c r="L994">
        <v>10.504139059414181</v>
      </c>
      <c r="M994">
        <v>10.492441077510215</v>
      </c>
      <c r="N994">
        <v>10.483596489047351</v>
      </c>
      <c r="P994">
        <f t="shared" si="499"/>
        <v>228254.31075951154</v>
      </c>
      <c r="Q994">
        <f t="shared" si="500"/>
        <v>228525.38719816832</v>
      </c>
      <c r="R994">
        <f t="shared" si="501"/>
        <v>227269.55214049283</v>
      </c>
      <c r="S994">
        <f t="shared" si="502"/>
        <v>227446.56958242544</v>
      </c>
      <c r="T994">
        <f t="shared" si="503"/>
        <v>226341.88682530646</v>
      </c>
      <c r="U994">
        <f t="shared" si="504"/>
        <v>225363.78357142053</v>
      </c>
      <c r="V994">
        <f t="shared" ref="V994:V1043" si="528">IF(MAX(P994:U994)=P994, 1, 0)</f>
        <v>0</v>
      </c>
      <c r="W994">
        <f t="shared" ref="W994:W1043" si="529">IF(MAX(P994:U994)=Q994, 1, 0)</f>
        <v>1</v>
      </c>
      <c r="X994">
        <f t="shared" ref="X994:X1043" si="530">IF(MAX(P994:U994)=R994, 1, 0)</f>
        <v>0</v>
      </c>
      <c r="Y994">
        <f t="shared" ref="Y994:Y1043" si="531">IF(MAX(P994:U994)=S994, 1, 0)</f>
        <v>0</v>
      </c>
      <c r="Z994">
        <f t="shared" ref="Z994:Z1043" si="532">IF(MAX(P994:U994)=T994, 1, 0)</f>
        <v>0</v>
      </c>
      <c r="AC994">
        <f t="shared" si="521"/>
        <v>228254.31075951154</v>
      </c>
      <c r="AD994">
        <f t="shared" si="522"/>
        <v>228525.38719816832</v>
      </c>
      <c r="AE994">
        <f t="shared" si="523"/>
        <v>227269.55214049283</v>
      </c>
      <c r="AF994">
        <f t="shared" si="524"/>
        <v>227446.56958242544</v>
      </c>
      <c r="AG994">
        <f t="shared" si="525"/>
        <v>226341.88682530646</v>
      </c>
      <c r="AH994">
        <f t="shared" si="526"/>
        <v>225363.78357142053</v>
      </c>
      <c r="AI994">
        <f t="shared" si="489"/>
        <v>228525.38719816832</v>
      </c>
    </row>
    <row r="995" spans="2:35" x14ac:dyDescent="0.3">
      <c r="B995">
        <v>952</v>
      </c>
      <c r="C995">
        <v>69906.628200000006</v>
      </c>
      <c r="D995">
        <v>69258.4902</v>
      </c>
      <c r="E995">
        <v>69478.978900000002</v>
      </c>
      <c r="F995">
        <v>69247.657099999997</v>
      </c>
      <c r="G995">
        <v>69753.171400000007</v>
      </c>
      <c r="H995">
        <v>70135.913199999995</v>
      </c>
      <c r="I995">
        <v>9.6714998842491351</v>
      </c>
      <c r="J995">
        <v>9.6304946094337485</v>
      </c>
      <c r="K995">
        <v>9.5986934368389125</v>
      </c>
      <c r="L995">
        <v>9.5901562488570047</v>
      </c>
      <c r="M995">
        <v>9.5532290500043189</v>
      </c>
      <c r="N995">
        <v>9.5156910980501568</v>
      </c>
      <c r="P995">
        <f t="shared" si="499"/>
        <v>220238.36832747402</v>
      </c>
      <c r="Q995">
        <f t="shared" si="500"/>
        <v>219656.34808301245</v>
      </c>
      <c r="R995">
        <f t="shared" si="501"/>
        <v>218481.82420516742</v>
      </c>
      <c r="S995">
        <f t="shared" si="502"/>
        <v>218457.03036571015</v>
      </c>
      <c r="T995">
        <f t="shared" si="503"/>
        <v>216843.70010012959</v>
      </c>
      <c r="U995">
        <f t="shared" si="504"/>
        <v>215334.81974150467</v>
      </c>
      <c r="V995">
        <f t="shared" si="528"/>
        <v>1</v>
      </c>
      <c r="W995">
        <f t="shared" si="529"/>
        <v>0</v>
      </c>
      <c r="X995">
        <f t="shared" si="530"/>
        <v>0</v>
      </c>
      <c r="Y995">
        <f t="shared" si="531"/>
        <v>0</v>
      </c>
      <c r="Z995">
        <f t="shared" si="532"/>
        <v>0</v>
      </c>
      <c r="AA995">
        <f t="shared" ref="AA995" si="533">IF(MAX(P995:U995)=U995, 1, 0)</f>
        <v>0</v>
      </c>
      <c r="AC995">
        <f t="shared" si="521"/>
        <v>220238.36832747402</v>
      </c>
      <c r="AD995">
        <f t="shared" si="522"/>
        <v>219656.34808301245</v>
      </c>
      <c r="AE995">
        <f t="shared" si="523"/>
        <v>218481.82420516742</v>
      </c>
      <c r="AF995">
        <f t="shared" si="524"/>
        <v>218457.03036571015</v>
      </c>
      <c r="AG995">
        <f t="shared" si="525"/>
        <v>216843.70010012959</v>
      </c>
      <c r="AH995">
        <f t="shared" si="526"/>
        <v>215334.81974150467</v>
      </c>
      <c r="AI995">
        <f t="shared" si="489"/>
        <v>220238.36832747402</v>
      </c>
    </row>
    <row r="996" spans="2:35" x14ac:dyDescent="0.3">
      <c r="B996">
        <v>953</v>
      </c>
      <c r="C996">
        <v>82238.156799999997</v>
      </c>
      <c r="D996">
        <v>81658.530199999994</v>
      </c>
      <c r="E996">
        <v>82252.313399999999</v>
      </c>
      <c r="F996">
        <v>82191.054099999994</v>
      </c>
      <c r="G996">
        <v>82529.648700000005</v>
      </c>
      <c r="H996">
        <v>83398.700400000002</v>
      </c>
      <c r="I996">
        <v>10.177805582288078</v>
      </c>
      <c r="J996">
        <v>10.166217324394164</v>
      </c>
      <c r="K996">
        <v>10.158051034918683</v>
      </c>
      <c r="L996">
        <v>10.155188521337713</v>
      </c>
      <c r="M996">
        <v>10.146254720536477</v>
      </c>
      <c r="N996">
        <v>10.136345823840601</v>
      </c>
      <c r="P996">
        <f t="shared" si="499"/>
        <v>223096.01066864235</v>
      </c>
      <c r="Q996">
        <f t="shared" si="500"/>
        <v>223327.98953182495</v>
      </c>
      <c r="R996">
        <f t="shared" si="501"/>
        <v>222489.21764756052</v>
      </c>
      <c r="S996">
        <f t="shared" si="502"/>
        <v>222464.60154013138</v>
      </c>
      <c r="T996">
        <f t="shared" si="503"/>
        <v>221857.99291609431</v>
      </c>
      <c r="U996">
        <f t="shared" si="504"/>
        <v>220691.67431521803</v>
      </c>
      <c r="V996">
        <f t="shared" si="528"/>
        <v>0</v>
      </c>
      <c r="W996">
        <f t="shared" si="529"/>
        <v>1</v>
      </c>
      <c r="X996">
        <f t="shared" si="530"/>
        <v>0</v>
      </c>
      <c r="Y996">
        <f t="shared" si="531"/>
        <v>0</v>
      </c>
      <c r="Z996">
        <f t="shared" si="532"/>
        <v>0</v>
      </c>
      <c r="AC996">
        <f t="shared" si="521"/>
        <v>223096.01066864235</v>
      </c>
      <c r="AD996">
        <f t="shared" si="522"/>
        <v>223327.98953182495</v>
      </c>
      <c r="AE996">
        <f t="shared" si="523"/>
        <v>222489.21764756052</v>
      </c>
      <c r="AF996">
        <f t="shared" si="524"/>
        <v>222464.60154013138</v>
      </c>
      <c r="AG996">
        <f t="shared" si="525"/>
        <v>221857.99291609431</v>
      </c>
      <c r="AH996">
        <f t="shared" si="526"/>
        <v>220691.67431521803</v>
      </c>
      <c r="AI996">
        <f t="shared" si="489"/>
        <v>223327.98953182495</v>
      </c>
    </row>
    <row r="997" spans="2:35" x14ac:dyDescent="0.3">
      <c r="B997">
        <v>954</v>
      </c>
      <c r="C997">
        <v>75628.883900000001</v>
      </c>
      <c r="D997">
        <v>74743.997900000002</v>
      </c>
      <c r="E997">
        <v>74991.236900000004</v>
      </c>
      <c r="F997">
        <v>74970.930200000003</v>
      </c>
      <c r="G997">
        <v>75274.073999999993</v>
      </c>
      <c r="H997">
        <v>75508.339300000007</v>
      </c>
      <c r="I997">
        <v>10.416993513454479</v>
      </c>
      <c r="J997">
        <v>10.3938355859192</v>
      </c>
      <c r="K997">
        <v>10.377985400275525</v>
      </c>
      <c r="L997">
        <v>10.371226297578843</v>
      </c>
      <c r="M997">
        <v>10.350241331080904</v>
      </c>
      <c r="N997">
        <v>10.335921228011314</v>
      </c>
      <c r="P997">
        <f t="shared" si="499"/>
        <v>236880.92150363437</v>
      </c>
      <c r="Q997">
        <f t="shared" si="500"/>
        <v>237071.06967757602</v>
      </c>
      <c r="R997">
        <f t="shared" si="501"/>
        <v>236348.32510826574</v>
      </c>
      <c r="S997">
        <f t="shared" si="502"/>
        <v>236165.85872736532</v>
      </c>
      <c r="T997">
        <f t="shared" si="503"/>
        <v>235233.16593242713</v>
      </c>
      <c r="U997">
        <f t="shared" si="504"/>
        <v>234569.29754033941</v>
      </c>
      <c r="V997">
        <f t="shared" si="528"/>
        <v>0</v>
      </c>
      <c r="W997">
        <f t="shared" si="529"/>
        <v>1</v>
      </c>
      <c r="X997">
        <f t="shared" si="530"/>
        <v>0</v>
      </c>
      <c r="Y997">
        <f t="shared" si="531"/>
        <v>0</v>
      </c>
      <c r="Z997">
        <f t="shared" si="532"/>
        <v>0</v>
      </c>
      <c r="AA997">
        <f t="shared" ref="AA997" si="534">IF(MAX(P997:U997)=U997, 1, 0)</f>
        <v>0</v>
      </c>
      <c r="AC997">
        <f t="shared" si="521"/>
        <v>236880.92150363437</v>
      </c>
      <c r="AD997">
        <f t="shared" si="522"/>
        <v>237071.06967757602</v>
      </c>
      <c r="AE997">
        <f t="shared" si="523"/>
        <v>236348.32510826574</v>
      </c>
      <c r="AF997">
        <f t="shared" si="524"/>
        <v>236165.85872736532</v>
      </c>
      <c r="AG997">
        <f t="shared" si="525"/>
        <v>235233.16593242713</v>
      </c>
      <c r="AH997">
        <f t="shared" si="526"/>
        <v>234569.29754033941</v>
      </c>
      <c r="AI997">
        <f t="shared" si="489"/>
        <v>237071.06967757602</v>
      </c>
    </row>
    <row r="998" spans="2:35" x14ac:dyDescent="0.3">
      <c r="B998">
        <v>955</v>
      </c>
      <c r="C998">
        <v>82777.293999999994</v>
      </c>
      <c r="D998">
        <v>81753.895900000003</v>
      </c>
      <c r="E998">
        <v>81956.500199999995</v>
      </c>
      <c r="F998">
        <v>81837.4329</v>
      </c>
      <c r="G998">
        <v>82001.602100000004</v>
      </c>
      <c r="H998">
        <v>82133.2261</v>
      </c>
      <c r="I998">
        <v>9.5480176637289933</v>
      </c>
      <c r="J998">
        <v>9.5107545847269446</v>
      </c>
      <c r="K998">
        <v>9.4763111477452071</v>
      </c>
      <c r="L998">
        <v>9.4594907270831712</v>
      </c>
      <c r="M998">
        <v>9.4256643880145852</v>
      </c>
      <c r="N998">
        <v>9.3892811123848041</v>
      </c>
      <c r="P998">
        <f t="shared" si="499"/>
        <v>203663.23591186979</v>
      </c>
      <c r="Q998">
        <f t="shared" si="500"/>
        <v>203568.74164180836</v>
      </c>
      <c r="R998">
        <f t="shared" si="501"/>
        <v>202332.83423235622</v>
      </c>
      <c r="S998">
        <f t="shared" si="502"/>
        <v>201947.28891249513</v>
      </c>
      <c r="T998">
        <f t="shared" si="503"/>
        <v>200768.32954043755</v>
      </c>
      <c r="U998">
        <f t="shared" si="504"/>
        <v>199545.20727154412</v>
      </c>
      <c r="V998">
        <f t="shared" si="528"/>
        <v>1</v>
      </c>
      <c r="W998">
        <f t="shared" si="529"/>
        <v>0</v>
      </c>
      <c r="X998">
        <f t="shared" si="530"/>
        <v>0</v>
      </c>
      <c r="Y998">
        <f t="shared" si="531"/>
        <v>0</v>
      </c>
      <c r="Z998">
        <f t="shared" si="532"/>
        <v>0</v>
      </c>
      <c r="AC998">
        <f t="shared" si="521"/>
        <v>203663.23591186979</v>
      </c>
      <c r="AD998">
        <f t="shared" si="522"/>
        <v>203568.74164180836</v>
      </c>
      <c r="AE998">
        <f t="shared" si="523"/>
        <v>202332.83423235622</v>
      </c>
      <c r="AF998">
        <f t="shared" si="524"/>
        <v>201947.28891249513</v>
      </c>
      <c r="AG998">
        <f t="shared" si="525"/>
        <v>200768.32954043755</v>
      </c>
      <c r="AH998">
        <f t="shared" si="526"/>
        <v>199545.20727154412</v>
      </c>
      <c r="AI998">
        <f t="shared" si="489"/>
        <v>203663.23591186979</v>
      </c>
    </row>
    <row r="999" spans="2:35" x14ac:dyDescent="0.3">
      <c r="B999">
        <v>956</v>
      </c>
      <c r="C999">
        <v>77236.9764</v>
      </c>
      <c r="D999">
        <v>76410.677599999995</v>
      </c>
      <c r="E999">
        <v>76689.9087</v>
      </c>
      <c r="F999">
        <v>76546.310800000007</v>
      </c>
      <c r="G999">
        <v>76771.804000000004</v>
      </c>
      <c r="H999">
        <v>77004.260399999999</v>
      </c>
      <c r="I999">
        <v>9.9260001756022387</v>
      </c>
      <c r="J999">
        <v>9.8673573744650795</v>
      </c>
      <c r="K999">
        <v>9.8364722464422361</v>
      </c>
      <c r="L999">
        <v>9.8218342339545401</v>
      </c>
      <c r="M999">
        <v>9.7871805534148013</v>
      </c>
      <c r="N999">
        <v>9.7371289507692094</v>
      </c>
      <c r="P999">
        <f t="shared" si="499"/>
        <v>220543.02886806719</v>
      </c>
      <c r="Q999">
        <f t="shared" si="500"/>
        <v>219610.04363395239</v>
      </c>
      <c r="R999">
        <f t="shared" si="501"/>
        <v>218404.2586932671</v>
      </c>
      <c r="S999">
        <f t="shared" si="502"/>
        <v>218108.71621863623</v>
      </c>
      <c r="T999">
        <f t="shared" si="503"/>
        <v>216843.61260244402</v>
      </c>
      <c r="U999">
        <f t="shared" si="504"/>
        <v>215109.60812307629</v>
      </c>
      <c r="V999">
        <f t="shared" si="528"/>
        <v>1</v>
      </c>
      <c r="W999">
        <f t="shared" si="529"/>
        <v>0</v>
      </c>
      <c r="X999">
        <f t="shared" si="530"/>
        <v>0</v>
      </c>
      <c r="Y999">
        <f t="shared" si="531"/>
        <v>0</v>
      </c>
      <c r="Z999">
        <f t="shared" si="532"/>
        <v>0</v>
      </c>
      <c r="AA999">
        <f t="shared" ref="AA999" si="535">IF(MAX(P999:U999)=U999, 1, 0)</f>
        <v>0</v>
      </c>
      <c r="AC999">
        <f t="shared" si="521"/>
        <v>220543.02886806719</v>
      </c>
      <c r="AD999">
        <f t="shared" si="522"/>
        <v>219610.04363395239</v>
      </c>
      <c r="AE999">
        <f t="shared" si="523"/>
        <v>218404.2586932671</v>
      </c>
      <c r="AF999">
        <f t="shared" si="524"/>
        <v>218108.71621863623</v>
      </c>
      <c r="AG999">
        <f t="shared" si="525"/>
        <v>216843.61260244402</v>
      </c>
      <c r="AH999">
        <f t="shared" si="526"/>
        <v>215109.60812307629</v>
      </c>
      <c r="AI999">
        <f t="shared" si="489"/>
        <v>220543.02886806719</v>
      </c>
    </row>
    <row r="1000" spans="2:35" x14ac:dyDescent="0.3">
      <c r="B1000">
        <v>957</v>
      </c>
      <c r="C1000">
        <v>73366.109299999996</v>
      </c>
      <c r="D1000">
        <v>72806.415800000002</v>
      </c>
      <c r="E1000">
        <v>73436.6008</v>
      </c>
      <c r="F1000">
        <v>73616.657800000001</v>
      </c>
      <c r="G1000">
        <v>74163.053100000005</v>
      </c>
      <c r="H1000">
        <v>74672.712700000004</v>
      </c>
      <c r="I1000">
        <v>10.4691151820493</v>
      </c>
      <c r="J1000">
        <v>10.446322455805912</v>
      </c>
      <c r="K1000">
        <v>10.434010216360377</v>
      </c>
      <c r="L1000">
        <v>10.427094209253136</v>
      </c>
      <c r="M1000">
        <v>10.407429969886097</v>
      </c>
      <c r="N1000">
        <v>10.393607459036264</v>
      </c>
      <c r="P1000">
        <f t="shared" si="499"/>
        <v>240707.34616147901</v>
      </c>
      <c r="Q1000">
        <f t="shared" si="500"/>
        <v>240583.25787417736</v>
      </c>
      <c r="R1000">
        <f t="shared" si="501"/>
        <v>239583.70569081133</v>
      </c>
      <c r="S1000">
        <f t="shared" si="502"/>
        <v>239196.1684775941</v>
      </c>
      <c r="T1000">
        <f t="shared" si="503"/>
        <v>238059.84599658288</v>
      </c>
      <c r="U1000">
        <f t="shared" si="504"/>
        <v>237135.51107108794</v>
      </c>
      <c r="V1000">
        <f t="shared" si="528"/>
        <v>1</v>
      </c>
      <c r="W1000">
        <f t="shared" si="529"/>
        <v>0</v>
      </c>
      <c r="X1000">
        <f t="shared" si="530"/>
        <v>0</v>
      </c>
      <c r="Y1000">
        <f t="shared" si="531"/>
        <v>0</v>
      </c>
      <c r="Z1000">
        <f t="shared" si="532"/>
        <v>0</v>
      </c>
      <c r="AC1000">
        <f t="shared" si="521"/>
        <v>240707.34616147901</v>
      </c>
      <c r="AD1000">
        <f t="shared" si="522"/>
        <v>240583.25787417736</v>
      </c>
      <c r="AE1000">
        <f t="shared" si="523"/>
        <v>239583.70569081133</v>
      </c>
      <c r="AF1000">
        <f t="shared" si="524"/>
        <v>239196.1684775941</v>
      </c>
      <c r="AG1000">
        <f t="shared" si="525"/>
        <v>238059.84599658288</v>
      </c>
      <c r="AH1000">
        <f t="shared" si="526"/>
        <v>237135.51107108794</v>
      </c>
      <c r="AI1000">
        <f t="shared" si="489"/>
        <v>240707.34616147901</v>
      </c>
    </row>
    <row r="1001" spans="2:35" x14ac:dyDescent="0.3">
      <c r="B1001">
        <v>958</v>
      </c>
      <c r="C1001">
        <v>73373.352199999994</v>
      </c>
      <c r="D1001">
        <v>72401.3266</v>
      </c>
      <c r="E1001">
        <v>72775.776899999997</v>
      </c>
      <c r="F1001">
        <v>72821.649699999994</v>
      </c>
      <c r="G1001">
        <v>72923.125599999999</v>
      </c>
      <c r="H1001">
        <v>73419.247600000002</v>
      </c>
      <c r="I1001">
        <v>8.6099113913576861</v>
      </c>
      <c r="J1001">
        <v>8.5758653839297203</v>
      </c>
      <c r="K1001">
        <v>8.5634589840366395</v>
      </c>
      <c r="L1001">
        <v>8.5511502983287677</v>
      </c>
      <c r="M1001">
        <v>8.5336588616019906</v>
      </c>
      <c r="N1001">
        <v>8.5134159285107689</v>
      </c>
      <c r="P1001">
        <f t="shared" si="499"/>
        <v>184923.9895407306</v>
      </c>
      <c r="Q1001">
        <f t="shared" si="500"/>
        <v>184874.63491789161</v>
      </c>
      <c r="R1001">
        <f t="shared" si="501"/>
        <v>184127.9926210992</v>
      </c>
      <c r="S1001">
        <f t="shared" si="502"/>
        <v>183712.85924986302</v>
      </c>
      <c r="T1001">
        <f t="shared" si="503"/>
        <v>183086.64024805973</v>
      </c>
      <c r="U1001">
        <f t="shared" si="504"/>
        <v>181983.23025532305</v>
      </c>
      <c r="V1001">
        <f t="shared" si="528"/>
        <v>1</v>
      </c>
      <c r="W1001">
        <f t="shared" si="529"/>
        <v>0</v>
      </c>
      <c r="X1001">
        <f t="shared" si="530"/>
        <v>0</v>
      </c>
      <c r="Y1001">
        <f t="shared" si="531"/>
        <v>0</v>
      </c>
      <c r="Z1001">
        <f t="shared" si="532"/>
        <v>0</v>
      </c>
      <c r="AA1001">
        <f t="shared" ref="AA1001" si="536">IF(MAX(P1001:U1001)=U1001, 1, 0)</f>
        <v>0</v>
      </c>
      <c r="AC1001">
        <f t="shared" si="521"/>
        <v>184923.9895407306</v>
      </c>
      <c r="AD1001">
        <f t="shared" si="522"/>
        <v>184874.63491789161</v>
      </c>
      <c r="AE1001">
        <f t="shared" si="523"/>
        <v>184127.9926210992</v>
      </c>
      <c r="AF1001">
        <f t="shared" si="524"/>
        <v>183712.85924986302</v>
      </c>
      <c r="AG1001">
        <f t="shared" si="525"/>
        <v>183086.64024805973</v>
      </c>
      <c r="AH1001">
        <f t="shared" si="526"/>
        <v>181983.23025532305</v>
      </c>
      <c r="AI1001">
        <f t="shared" si="489"/>
        <v>184923.9895407306</v>
      </c>
    </row>
    <row r="1002" spans="2:35" x14ac:dyDescent="0.3">
      <c r="B1002">
        <v>959</v>
      </c>
      <c r="C1002">
        <v>81878.182000000001</v>
      </c>
      <c r="D1002">
        <v>82292.1492</v>
      </c>
      <c r="E1002">
        <v>83249.150099999999</v>
      </c>
      <c r="F1002">
        <v>84019.800399999993</v>
      </c>
      <c r="G1002">
        <v>84772.707200000004</v>
      </c>
      <c r="H1002">
        <v>86120.014200000005</v>
      </c>
      <c r="I1002">
        <v>9.8965084759733273</v>
      </c>
      <c r="J1002">
        <v>9.8851064272209701</v>
      </c>
      <c r="K1002">
        <v>9.8780597849707608</v>
      </c>
      <c r="L1002">
        <v>9.8714787543105302</v>
      </c>
      <c r="M1002">
        <v>9.8656171126865271</v>
      </c>
      <c r="N1002">
        <v>9.8555201011490112</v>
      </c>
      <c r="P1002">
        <f t="shared" si="499"/>
        <v>215017.07227919981</v>
      </c>
      <c r="Q1002">
        <f t="shared" si="500"/>
        <v>214261.04361662909</v>
      </c>
      <c r="R1002">
        <f t="shared" si="501"/>
        <v>213092.64344912281</v>
      </c>
      <c r="S1002">
        <f t="shared" si="502"/>
        <v>212124.56222931592</v>
      </c>
      <c r="T1002">
        <f t="shared" si="503"/>
        <v>211195.80618059583</v>
      </c>
      <c r="U1002">
        <f t="shared" si="504"/>
        <v>209545.58883447034</v>
      </c>
      <c r="V1002">
        <f t="shared" si="528"/>
        <v>1</v>
      </c>
      <c r="W1002">
        <f t="shared" si="529"/>
        <v>0</v>
      </c>
      <c r="X1002">
        <f t="shared" si="530"/>
        <v>0</v>
      </c>
      <c r="Y1002">
        <f t="shared" si="531"/>
        <v>0</v>
      </c>
      <c r="Z1002">
        <f t="shared" si="532"/>
        <v>0</v>
      </c>
      <c r="AC1002">
        <f t="shared" si="521"/>
        <v>215017.07227919981</v>
      </c>
      <c r="AD1002">
        <f t="shared" si="522"/>
        <v>214261.04361662909</v>
      </c>
      <c r="AE1002">
        <f t="shared" si="523"/>
        <v>213092.64344912281</v>
      </c>
      <c r="AF1002">
        <f t="shared" si="524"/>
        <v>212124.56222931592</v>
      </c>
      <c r="AG1002">
        <f t="shared" si="525"/>
        <v>211195.80618059583</v>
      </c>
      <c r="AH1002">
        <f t="shared" si="526"/>
        <v>209545.58883447034</v>
      </c>
      <c r="AI1002">
        <f t="shared" si="489"/>
        <v>215017.07227919981</v>
      </c>
    </row>
    <row r="1003" spans="2:35" x14ac:dyDescent="0.3">
      <c r="B1003">
        <v>960</v>
      </c>
      <c r="C1003">
        <v>74143.950400000002</v>
      </c>
      <c r="D1003">
        <v>74457.784899999999</v>
      </c>
      <c r="E1003">
        <v>75736.971900000004</v>
      </c>
      <c r="F1003">
        <v>75992.147700000001</v>
      </c>
      <c r="G1003">
        <v>77198.568899999998</v>
      </c>
      <c r="H1003">
        <v>78287.521800000002</v>
      </c>
      <c r="I1003">
        <v>9.6248742661273425</v>
      </c>
      <c r="J1003">
        <v>9.5960091014122924</v>
      </c>
      <c r="K1003">
        <v>9.573142875924388</v>
      </c>
      <c r="L1003">
        <v>9.562291300412344</v>
      </c>
      <c r="M1003">
        <v>9.5392029764220858</v>
      </c>
      <c r="N1003">
        <v>9.5194499633023977</v>
      </c>
      <c r="P1003">
        <f t="shared" si="499"/>
        <v>214602.27758382025</v>
      </c>
      <c r="Q1003">
        <f t="shared" si="500"/>
        <v>213422.48814236876</v>
      </c>
      <c r="R1003">
        <f t="shared" si="501"/>
        <v>211457.31437773164</v>
      </c>
      <c r="S1003">
        <f t="shared" si="502"/>
        <v>210876.59131237029</v>
      </c>
      <c r="T1003">
        <f t="shared" si="503"/>
        <v>208977.52039266255</v>
      </c>
      <c r="U1003">
        <f t="shared" si="504"/>
        <v>207295.97709907196</v>
      </c>
      <c r="V1003">
        <f t="shared" si="528"/>
        <v>1</v>
      </c>
      <c r="W1003">
        <f t="shared" si="529"/>
        <v>0</v>
      </c>
      <c r="X1003">
        <f t="shared" si="530"/>
        <v>0</v>
      </c>
      <c r="Y1003">
        <f t="shared" si="531"/>
        <v>0</v>
      </c>
      <c r="Z1003">
        <f t="shared" si="532"/>
        <v>0</v>
      </c>
      <c r="AA1003">
        <f t="shared" ref="AA1003" si="537">IF(MAX(P1003:U1003)=U1003, 1, 0)</f>
        <v>0</v>
      </c>
      <c r="AC1003">
        <f t="shared" si="521"/>
        <v>214602.27758382025</v>
      </c>
      <c r="AD1003">
        <f t="shared" si="522"/>
        <v>213422.48814236876</v>
      </c>
      <c r="AE1003">
        <f t="shared" si="523"/>
        <v>211457.31437773164</v>
      </c>
      <c r="AF1003">
        <f t="shared" si="524"/>
        <v>210876.59131237029</v>
      </c>
      <c r="AG1003">
        <f t="shared" si="525"/>
        <v>208977.52039266255</v>
      </c>
      <c r="AH1003">
        <f t="shared" si="526"/>
        <v>207295.97709907196</v>
      </c>
      <c r="AI1003">
        <f t="shared" si="489"/>
        <v>214602.27758382025</v>
      </c>
    </row>
    <row r="1004" spans="2:35" x14ac:dyDescent="0.3">
      <c r="B1004">
        <v>961</v>
      </c>
      <c r="C1004">
        <v>83121.147299999997</v>
      </c>
      <c r="D1004">
        <v>82030.403000000006</v>
      </c>
      <c r="E1004">
        <v>82114.498099999997</v>
      </c>
      <c r="F1004">
        <v>81907.481400000004</v>
      </c>
      <c r="G1004">
        <v>82343.658100000001</v>
      </c>
      <c r="H1004">
        <v>82366.234299999996</v>
      </c>
      <c r="I1004">
        <v>10.080010458572872</v>
      </c>
      <c r="J1004">
        <v>10.043287326487418</v>
      </c>
      <c r="K1004">
        <v>10.013131900544392</v>
      </c>
      <c r="L1004">
        <v>10.005096214254857</v>
      </c>
      <c r="M1004">
        <v>9.9770484863552369</v>
      </c>
      <c r="N1004">
        <v>9.9449465280372991</v>
      </c>
      <c r="P1004">
        <f t="shared" si="499"/>
        <v>219279.16645718616</v>
      </c>
      <c r="Q1004">
        <f t="shared" si="500"/>
        <v>219268.21679462254</v>
      </c>
      <c r="R1004">
        <f t="shared" si="501"/>
        <v>218279.45891633179</v>
      </c>
      <c r="S1004">
        <f t="shared" si="502"/>
        <v>218245.40502764576</v>
      </c>
      <c r="T1004">
        <f t="shared" si="503"/>
        <v>216967.79649065709</v>
      </c>
      <c r="U1004">
        <f t="shared" si="504"/>
        <v>215982.16154111899</v>
      </c>
      <c r="V1004">
        <f t="shared" si="528"/>
        <v>1</v>
      </c>
      <c r="W1004">
        <f t="shared" si="529"/>
        <v>0</v>
      </c>
      <c r="X1004">
        <f t="shared" si="530"/>
        <v>0</v>
      </c>
      <c r="Y1004">
        <f t="shared" si="531"/>
        <v>0</v>
      </c>
      <c r="Z1004">
        <f t="shared" si="532"/>
        <v>0</v>
      </c>
      <c r="AC1004">
        <f t="shared" si="521"/>
        <v>219279.16645718616</v>
      </c>
      <c r="AD1004">
        <f t="shared" si="522"/>
        <v>219268.21679462254</v>
      </c>
      <c r="AE1004">
        <f t="shared" si="523"/>
        <v>218279.45891633179</v>
      </c>
      <c r="AF1004">
        <f t="shared" si="524"/>
        <v>218245.40502764576</v>
      </c>
      <c r="AG1004">
        <f t="shared" si="525"/>
        <v>216967.79649065709</v>
      </c>
      <c r="AH1004">
        <f t="shared" si="526"/>
        <v>215982.16154111899</v>
      </c>
      <c r="AI1004">
        <f t="shared" si="489"/>
        <v>219279.16645718616</v>
      </c>
    </row>
    <row r="1005" spans="2:35" x14ac:dyDescent="0.3">
      <c r="B1005">
        <v>962</v>
      </c>
      <c r="C1005">
        <v>70600.508700000006</v>
      </c>
      <c r="D1005">
        <v>69139.189100000003</v>
      </c>
      <c r="E1005">
        <v>68935.206000000006</v>
      </c>
      <c r="F1005">
        <v>68814.284599999999</v>
      </c>
      <c r="G1005">
        <v>68525.967999999993</v>
      </c>
      <c r="H1005">
        <v>68405.6633</v>
      </c>
      <c r="I1005">
        <v>11.222026029177592</v>
      </c>
      <c r="J1005">
        <v>11.185174080497504</v>
      </c>
      <c r="K1005">
        <v>11.157267717602776</v>
      </c>
      <c r="L1005">
        <v>11.149502846306946</v>
      </c>
      <c r="M1005">
        <v>11.122403931700431</v>
      </c>
      <c r="N1005">
        <v>11.091158347418904</v>
      </c>
      <c r="P1005">
        <f t="shared" si="499"/>
        <v>266060.27217532776</v>
      </c>
      <c r="Q1005">
        <f t="shared" si="500"/>
        <v>266416.03331492509</v>
      </c>
      <c r="R1005">
        <f t="shared" si="501"/>
        <v>265782.82552808331</v>
      </c>
      <c r="S1005">
        <f t="shared" si="502"/>
        <v>265670.80078920838</v>
      </c>
      <c r="T1005">
        <f t="shared" si="503"/>
        <v>265146.14995101292</v>
      </c>
      <c r="U1005">
        <f t="shared" si="504"/>
        <v>264329.08712256711</v>
      </c>
      <c r="V1005">
        <f t="shared" si="528"/>
        <v>0</v>
      </c>
      <c r="W1005">
        <f t="shared" si="529"/>
        <v>1</v>
      </c>
      <c r="X1005">
        <f t="shared" si="530"/>
        <v>0</v>
      </c>
      <c r="Y1005">
        <f t="shared" si="531"/>
        <v>0</v>
      </c>
      <c r="Z1005">
        <f t="shared" si="532"/>
        <v>0</v>
      </c>
      <c r="AA1005">
        <f t="shared" ref="AA1005" si="538">IF(MAX(P1005:U1005)=U1005, 1, 0)</f>
        <v>0</v>
      </c>
      <c r="AC1005">
        <f t="shared" si="521"/>
        <v>266060.27217532776</v>
      </c>
      <c r="AD1005">
        <f t="shared" si="522"/>
        <v>266416.03331492509</v>
      </c>
      <c r="AE1005">
        <f t="shared" si="523"/>
        <v>265782.82552808331</v>
      </c>
      <c r="AF1005">
        <f t="shared" si="524"/>
        <v>265670.80078920838</v>
      </c>
      <c r="AG1005">
        <f t="shared" si="525"/>
        <v>265146.14995101292</v>
      </c>
      <c r="AH1005">
        <f t="shared" si="526"/>
        <v>264329.08712256711</v>
      </c>
      <c r="AI1005">
        <f t="shared" ref="AI1005:AI1043" si="539">MAX(AC1005:AH1005)</f>
        <v>266416.03331492509</v>
      </c>
    </row>
    <row r="1006" spans="2:35" x14ac:dyDescent="0.3">
      <c r="B1006">
        <v>963</v>
      </c>
      <c r="C1006">
        <v>74273.642000000007</v>
      </c>
      <c r="D1006">
        <v>73357.249200000006</v>
      </c>
      <c r="E1006">
        <v>73935.875499999995</v>
      </c>
      <c r="F1006">
        <v>73957.648499999996</v>
      </c>
      <c r="G1006">
        <v>74267.557799999995</v>
      </c>
      <c r="H1006">
        <v>74699.192599999995</v>
      </c>
      <c r="I1006">
        <v>10.518660409355018</v>
      </c>
      <c r="J1006">
        <v>10.488024804536817</v>
      </c>
      <c r="K1006">
        <v>10.457480331006778</v>
      </c>
      <c r="L1006">
        <v>10.436017942744471</v>
      </c>
      <c r="M1006">
        <v>10.41779210714185</v>
      </c>
      <c r="N1006">
        <v>10.381621761476039</v>
      </c>
      <c r="P1006">
        <f t="shared" si="499"/>
        <v>241286.17028065055</v>
      </c>
      <c r="Q1006">
        <f t="shared" si="500"/>
        <v>241283.49493610451</v>
      </c>
      <c r="R1006">
        <f t="shared" si="501"/>
        <v>239788.53443020335</v>
      </c>
      <c r="S1006">
        <f t="shared" si="502"/>
        <v>239122.8897823341</v>
      </c>
      <c r="T1006">
        <f t="shared" si="503"/>
        <v>238266.2054142555</v>
      </c>
      <c r="U1006">
        <f t="shared" si="504"/>
        <v>236749.46024428116</v>
      </c>
      <c r="V1006">
        <f t="shared" si="528"/>
        <v>1</v>
      </c>
      <c r="W1006">
        <f t="shared" si="529"/>
        <v>0</v>
      </c>
      <c r="X1006">
        <f t="shared" si="530"/>
        <v>0</v>
      </c>
      <c r="Y1006">
        <f t="shared" si="531"/>
        <v>0</v>
      </c>
      <c r="Z1006">
        <f t="shared" si="532"/>
        <v>0</v>
      </c>
      <c r="AC1006">
        <f t="shared" si="521"/>
        <v>241286.17028065055</v>
      </c>
      <c r="AD1006">
        <f t="shared" si="522"/>
        <v>241283.49493610451</v>
      </c>
      <c r="AE1006">
        <f t="shared" si="523"/>
        <v>239788.53443020335</v>
      </c>
      <c r="AF1006">
        <f t="shared" si="524"/>
        <v>239122.8897823341</v>
      </c>
      <c r="AG1006">
        <f t="shared" si="525"/>
        <v>238266.2054142555</v>
      </c>
      <c r="AH1006">
        <f t="shared" si="526"/>
        <v>236749.46024428116</v>
      </c>
      <c r="AI1006">
        <f t="shared" si="539"/>
        <v>241286.17028065055</v>
      </c>
    </row>
    <row r="1007" spans="2:35" x14ac:dyDescent="0.3">
      <c r="B1007">
        <v>964</v>
      </c>
      <c r="C1007">
        <v>76886.519199999995</v>
      </c>
      <c r="D1007">
        <v>76119.010699999999</v>
      </c>
      <c r="E1007">
        <v>76228.575299999997</v>
      </c>
      <c r="F1007">
        <v>76218.433000000005</v>
      </c>
      <c r="G1007">
        <v>76617.315700000006</v>
      </c>
      <c r="H1007">
        <v>76838.500700000004</v>
      </c>
      <c r="I1007">
        <v>10.229169058975968</v>
      </c>
      <c r="J1007">
        <v>10.205206789103443</v>
      </c>
      <c r="K1007">
        <v>10.19174897308309</v>
      </c>
      <c r="L1007">
        <v>10.179523640588343</v>
      </c>
      <c r="M1007">
        <v>10.169520410954323</v>
      </c>
      <c r="N1007">
        <v>10.146817499985548</v>
      </c>
      <c r="P1007">
        <f t="shared" si="499"/>
        <v>229988.55256927904</v>
      </c>
      <c r="Q1007">
        <f t="shared" si="500"/>
        <v>230037.19297310332</v>
      </c>
      <c r="R1007">
        <f t="shared" si="501"/>
        <v>229523.89389249272</v>
      </c>
      <c r="S1007">
        <f t="shared" si="502"/>
        <v>229167.27621765027</v>
      </c>
      <c r="T1007">
        <f t="shared" si="503"/>
        <v>228468.2966286297</v>
      </c>
      <c r="U1007">
        <f t="shared" si="504"/>
        <v>227566.02429956643</v>
      </c>
      <c r="V1007">
        <f t="shared" si="528"/>
        <v>0</v>
      </c>
      <c r="W1007">
        <f t="shared" si="529"/>
        <v>1</v>
      </c>
      <c r="X1007">
        <f t="shared" si="530"/>
        <v>0</v>
      </c>
      <c r="Y1007">
        <f t="shared" si="531"/>
        <v>0</v>
      </c>
      <c r="Z1007">
        <f t="shared" si="532"/>
        <v>0</v>
      </c>
      <c r="AA1007">
        <f t="shared" ref="AA1007" si="540">IF(MAX(P1007:U1007)=U1007, 1, 0)</f>
        <v>0</v>
      </c>
      <c r="AC1007">
        <f t="shared" si="521"/>
        <v>229988.55256927904</v>
      </c>
      <c r="AD1007">
        <f t="shared" si="522"/>
        <v>230037.19297310332</v>
      </c>
      <c r="AE1007">
        <f t="shared" si="523"/>
        <v>229523.89389249272</v>
      </c>
      <c r="AF1007">
        <f t="shared" si="524"/>
        <v>229167.27621765027</v>
      </c>
      <c r="AG1007">
        <f t="shared" si="525"/>
        <v>228468.2966286297</v>
      </c>
      <c r="AH1007">
        <f t="shared" si="526"/>
        <v>227566.02429956643</v>
      </c>
      <c r="AI1007">
        <f t="shared" si="539"/>
        <v>230037.19297310332</v>
      </c>
    </row>
    <row r="1008" spans="2:35" x14ac:dyDescent="0.3">
      <c r="B1008">
        <v>965</v>
      </c>
      <c r="C1008">
        <v>75153.085500000001</v>
      </c>
      <c r="D1008">
        <v>73733.329899999997</v>
      </c>
      <c r="E1008">
        <v>73440.311700000006</v>
      </c>
      <c r="F1008">
        <v>73155.420499999993</v>
      </c>
      <c r="G1008">
        <v>72959.3269</v>
      </c>
      <c r="H1008">
        <v>72644.134600000005</v>
      </c>
      <c r="I1008">
        <v>10.516411579250093</v>
      </c>
      <c r="J1008">
        <v>10.472217941392053</v>
      </c>
      <c r="K1008">
        <v>10.421175636567419</v>
      </c>
      <c r="L1008">
        <v>10.40494517137607</v>
      </c>
      <c r="M1008">
        <v>10.359686366427367</v>
      </c>
      <c r="N1008">
        <v>10.299510501052715</v>
      </c>
      <c r="P1008">
        <f t="shared" si="499"/>
        <v>240339.26187750278</v>
      </c>
      <c r="Q1008">
        <f t="shared" si="500"/>
        <v>240433.20834176155</v>
      </c>
      <c r="R1008">
        <f t="shared" si="501"/>
        <v>239194.95739702258</v>
      </c>
      <c r="S1008">
        <f t="shared" si="502"/>
        <v>238992.93464128207</v>
      </c>
      <c r="T1008">
        <f t="shared" si="503"/>
        <v>237831.26409282099</v>
      </c>
      <c r="U1008">
        <f t="shared" si="504"/>
        <v>236341.18043158145</v>
      </c>
      <c r="V1008">
        <f t="shared" si="528"/>
        <v>0</v>
      </c>
      <c r="W1008">
        <f t="shared" si="529"/>
        <v>1</v>
      </c>
      <c r="X1008">
        <f t="shared" si="530"/>
        <v>0</v>
      </c>
      <c r="Y1008">
        <f t="shared" si="531"/>
        <v>0</v>
      </c>
      <c r="Z1008">
        <f t="shared" si="532"/>
        <v>0</v>
      </c>
      <c r="AC1008">
        <f t="shared" si="521"/>
        <v>240339.26187750278</v>
      </c>
      <c r="AD1008">
        <f t="shared" si="522"/>
        <v>240433.20834176155</v>
      </c>
      <c r="AE1008">
        <f t="shared" si="523"/>
        <v>239194.95739702258</v>
      </c>
      <c r="AF1008">
        <f t="shared" si="524"/>
        <v>238992.93464128207</v>
      </c>
      <c r="AG1008">
        <f t="shared" si="525"/>
        <v>237831.26409282099</v>
      </c>
      <c r="AH1008">
        <f t="shared" si="526"/>
        <v>236341.18043158145</v>
      </c>
      <c r="AI1008">
        <f t="shared" si="539"/>
        <v>240433.20834176155</v>
      </c>
    </row>
    <row r="1009" spans="2:35" x14ac:dyDescent="0.3">
      <c r="B1009">
        <v>966</v>
      </c>
      <c r="C1009">
        <v>83150.926099999997</v>
      </c>
      <c r="D1009">
        <v>82151.484400000001</v>
      </c>
      <c r="E1009">
        <v>82243.639899999995</v>
      </c>
      <c r="F1009">
        <v>82163.8704</v>
      </c>
      <c r="G1009">
        <v>82269.767099999997</v>
      </c>
      <c r="H1009">
        <v>82557.937699999995</v>
      </c>
      <c r="I1009">
        <v>8.9722976640348957</v>
      </c>
      <c r="J1009">
        <v>8.9466858279809891</v>
      </c>
      <c r="K1009">
        <v>8.9281997553284338</v>
      </c>
      <c r="L1009">
        <v>8.9141370414708661</v>
      </c>
      <c r="M1009">
        <v>8.8966156297446695</v>
      </c>
      <c r="N1009">
        <v>8.8795705132163327</v>
      </c>
      <c r="P1009">
        <f t="shared" si="499"/>
        <v>186018.00382104691</v>
      </c>
      <c r="Q1009">
        <f t="shared" si="500"/>
        <v>186249.09043942968</v>
      </c>
      <c r="R1009">
        <f t="shared" si="501"/>
        <v>185602.35275985301</v>
      </c>
      <c r="S1009">
        <f t="shared" si="502"/>
        <v>185260.24084412598</v>
      </c>
      <c r="T1009">
        <f t="shared" si="503"/>
        <v>184628.70179234009</v>
      </c>
      <c r="U1009">
        <f t="shared" si="504"/>
        <v>183829.17769648996</v>
      </c>
      <c r="V1009">
        <f t="shared" si="528"/>
        <v>0</v>
      </c>
      <c r="W1009">
        <f t="shared" si="529"/>
        <v>1</v>
      </c>
      <c r="X1009">
        <f t="shared" si="530"/>
        <v>0</v>
      </c>
      <c r="Y1009">
        <f t="shared" si="531"/>
        <v>0</v>
      </c>
      <c r="Z1009">
        <f t="shared" si="532"/>
        <v>0</v>
      </c>
      <c r="AA1009">
        <f t="shared" ref="AA1009" si="541">IF(MAX(P1009:U1009)=U1009, 1, 0)</f>
        <v>0</v>
      </c>
      <c r="AC1009">
        <f t="shared" si="521"/>
        <v>186018.00382104691</v>
      </c>
      <c r="AD1009">
        <f t="shared" si="522"/>
        <v>186249.09043942968</v>
      </c>
      <c r="AE1009">
        <f t="shared" si="523"/>
        <v>185602.35275985301</v>
      </c>
      <c r="AF1009">
        <f t="shared" si="524"/>
        <v>185260.24084412598</v>
      </c>
      <c r="AG1009">
        <f t="shared" si="525"/>
        <v>184628.70179234009</v>
      </c>
      <c r="AH1009">
        <f t="shared" si="526"/>
        <v>183829.17769648996</v>
      </c>
      <c r="AI1009">
        <f t="shared" si="539"/>
        <v>186249.09043942968</v>
      </c>
    </row>
    <row r="1010" spans="2:35" x14ac:dyDescent="0.3">
      <c r="B1010">
        <v>967</v>
      </c>
      <c r="C1010">
        <v>77739.587100000004</v>
      </c>
      <c r="D1010">
        <v>77106.528200000001</v>
      </c>
      <c r="E1010">
        <v>77568.070900000006</v>
      </c>
      <c r="F1010">
        <v>77659.061799999996</v>
      </c>
      <c r="G1010">
        <v>77874.197100000005</v>
      </c>
      <c r="H1010">
        <v>78526.108600000007</v>
      </c>
      <c r="I1010">
        <v>11.70918210321658</v>
      </c>
      <c r="J1010">
        <v>11.689014900269907</v>
      </c>
      <c r="K1010">
        <v>11.67794864520244</v>
      </c>
      <c r="L1010">
        <v>11.67079708236453</v>
      </c>
      <c r="M1010">
        <v>11.660689240744203</v>
      </c>
      <c r="N1010">
        <v>11.64537317993857</v>
      </c>
      <c r="P1010">
        <f t="shared" si="499"/>
        <v>273535.8759964974</v>
      </c>
      <c r="Q1010">
        <f t="shared" si="500"/>
        <v>273563.91880809719</v>
      </c>
      <c r="R1010">
        <f t="shared" si="501"/>
        <v>272770.38845607318</v>
      </c>
      <c r="S1010">
        <f t="shared" si="502"/>
        <v>272464.85067093594</v>
      </c>
      <c r="T1010">
        <f t="shared" si="503"/>
        <v>271946.48012232612</v>
      </c>
      <c r="U1010">
        <f t="shared" si="504"/>
        <v>270835.08679815708</v>
      </c>
      <c r="V1010">
        <f t="shared" si="528"/>
        <v>0</v>
      </c>
      <c r="W1010">
        <f t="shared" si="529"/>
        <v>1</v>
      </c>
      <c r="X1010">
        <f t="shared" si="530"/>
        <v>0</v>
      </c>
      <c r="Y1010">
        <f t="shared" si="531"/>
        <v>0</v>
      </c>
      <c r="Z1010">
        <f t="shared" si="532"/>
        <v>0</v>
      </c>
      <c r="AC1010">
        <f t="shared" si="521"/>
        <v>273535.8759964974</v>
      </c>
      <c r="AD1010">
        <f t="shared" si="522"/>
        <v>273563.91880809719</v>
      </c>
      <c r="AE1010">
        <f t="shared" si="523"/>
        <v>272770.38845607318</v>
      </c>
      <c r="AF1010">
        <f t="shared" si="524"/>
        <v>272464.85067093594</v>
      </c>
      <c r="AG1010">
        <f t="shared" si="525"/>
        <v>271946.48012232612</v>
      </c>
      <c r="AH1010">
        <f t="shared" si="526"/>
        <v>270835.08679815708</v>
      </c>
      <c r="AI1010">
        <f t="shared" si="539"/>
        <v>273563.91880809719</v>
      </c>
    </row>
    <row r="1011" spans="2:35" x14ac:dyDescent="0.3">
      <c r="B1011">
        <v>968</v>
      </c>
      <c r="C1011">
        <v>76480.983900000007</v>
      </c>
      <c r="D1011">
        <v>75160.285699999993</v>
      </c>
      <c r="E1011">
        <v>75305.352100000004</v>
      </c>
      <c r="F1011">
        <v>75115.793300000005</v>
      </c>
      <c r="G1011">
        <v>75079.945800000001</v>
      </c>
      <c r="H1011">
        <v>75252.358600000007</v>
      </c>
      <c r="I1011">
        <v>11.06299969627479</v>
      </c>
      <c r="J1011">
        <v>11.037491947629148</v>
      </c>
      <c r="K1011">
        <v>11.02054987169228</v>
      </c>
      <c r="L1011">
        <v>11.008699908289195</v>
      </c>
      <c r="M1011">
        <v>10.994989532690234</v>
      </c>
      <c r="N1011">
        <v>10.9763806814316</v>
      </c>
      <c r="P1011">
        <f t="shared" si="499"/>
        <v>255409.00698824372</v>
      </c>
      <c r="Q1011">
        <f t="shared" si="500"/>
        <v>255964.47272887442</v>
      </c>
      <c r="R1011">
        <f t="shared" si="501"/>
        <v>255311.1440507684</v>
      </c>
      <c r="S1011">
        <f t="shared" si="502"/>
        <v>255145.20394867583</v>
      </c>
      <c r="T1011">
        <f t="shared" si="503"/>
        <v>254769.74018070701</v>
      </c>
      <c r="U1011">
        <f t="shared" si="504"/>
        <v>254039.06184294799</v>
      </c>
      <c r="V1011">
        <f t="shared" si="528"/>
        <v>0</v>
      </c>
      <c r="W1011">
        <f t="shared" si="529"/>
        <v>1</v>
      </c>
      <c r="X1011">
        <f t="shared" si="530"/>
        <v>0</v>
      </c>
      <c r="Y1011">
        <f t="shared" si="531"/>
        <v>0</v>
      </c>
      <c r="Z1011">
        <f t="shared" si="532"/>
        <v>0</v>
      </c>
      <c r="AA1011">
        <f t="shared" ref="AA1011" si="542">IF(MAX(P1011:U1011)=U1011, 1, 0)</f>
        <v>0</v>
      </c>
      <c r="AC1011">
        <f t="shared" si="521"/>
        <v>255409.00698824372</v>
      </c>
      <c r="AD1011">
        <f t="shared" si="522"/>
        <v>255964.47272887442</v>
      </c>
      <c r="AE1011">
        <f t="shared" si="523"/>
        <v>255311.1440507684</v>
      </c>
      <c r="AF1011">
        <f t="shared" si="524"/>
        <v>255145.20394867583</v>
      </c>
      <c r="AG1011">
        <f t="shared" si="525"/>
        <v>254769.74018070701</v>
      </c>
      <c r="AH1011">
        <f t="shared" si="526"/>
        <v>254039.06184294799</v>
      </c>
      <c r="AI1011">
        <f t="shared" si="539"/>
        <v>255964.47272887442</v>
      </c>
    </row>
    <row r="1012" spans="2:35" x14ac:dyDescent="0.3">
      <c r="B1012">
        <v>969</v>
      </c>
      <c r="C1012">
        <v>87344.134999999995</v>
      </c>
      <c r="D1012">
        <v>87090.079500000007</v>
      </c>
      <c r="E1012">
        <v>87921.131299999994</v>
      </c>
      <c r="F1012">
        <v>87891.8076</v>
      </c>
      <c r="G1012">
        <v>88746.810700000002</v>
      </c>
      <c r="H1012">
        <v>89354.200200000007</v>
      </c>
      <c r="I1012">
        <v>10.11952739381792</v>
      </c>
      <c r="J1012">
        <v>10.098440016373621</v>
      </c>
      <c r="K1012">
        <v>10.080249916964325</v>
      </c>
      <c r="L1012">
        <v>10.075325729293546</v>
      </c>
      <c r="M1012">
        <v>10.056561882642784</v>
      </c>
      <c r="N1012">
        <v>10.043155885656041</v>
      </c>
      <c r="P1012">
        <f t="shared" si="499"/>
        <v>216241.68681453762</v>
      </c>
      <c r="Q1012">
        <f t="shared" si="500"/>
        <v>215863.12099120865</v>
      </c>
      <c r="R1012">
        <f t="shared" si="501"/>
        <v>214486.36620892974</v>
      </c>
      <c r="S1012">
        <f t="shared" si="502"/>
        <v>214367.96427880635</v>
      </c>
      <c r="T1012">
        <f t="shared" si="503"/>
        <v>212950.04577928354</v>
      </c>
      <c r="U1012">
        <f t="shared" si="504"/>
        <v>211940.47636968124</v>
      </c>
      <c r="V1012">
        <f t="shared" si="528"/>
        <v>1</v>
      </c>
      <c r="W1012">
        <f t="shared" si="529"/>
        <v>0</v>
      </c>
      <c r="X1012">
        <f t="shared" si="530"/>
        <v>0</v>
      </c>
      <c r="Y1012">
        <f t="shared" si="531"/>
        <v>0</v>
      </c>
      <c r="Z1012">
        <f t="shared" si="532"/>
        <v>0</v>
      </c>
      <c r="AC1012">
        <f t="shared" si="521"/>
        <v>216241.68681453762</v>
      </c>
      <c r="AD1012">
        <f t="shared" si="522"/>
        <v>215863.12099120865</v>
      </c>
      <c r="AE1012">
        <f t="shared" si="523"/>
        <v>214486.36620892974</v>
      </c>
      <c r="AF1012">
        <f t="shared" si="524"/>
        <v>214367.96427880635</v>
      </c>
      <c r="AG1012">
        <f t="shared" si="525"/>
        <v>212950.04577928354</v>
      </c>
      <c r="AH1012">
        <f t="shared" si="526"/>
        <v>211940.47636968124</v>
      </c>
      <c r="AI1012">
        <f t="shared" si="539"/>
        <v>216241.68681453762</v>
      </c>
    </row>
    <row r="1013" spans="2:35" x14ac:dyDescent="0.3">
      <c r="B1013">
        <v>970</v>
      </c>
      <c r="C1013">
        <v>74289.166800000006</v>
      </c>
      <c r="D1013">
        <v>73596.285099999994</v>
      </c>
      <c r="E1013">
        <v>74159.789300000004</v>
      </c>
      <c r="F1013">
        <v>74163.959499999997</v>
      </c>
      <c r="G1013">
        <v>74751.738800000006</v>
      </c>
      <c r="H1013">
        <v>75126.827900000004</v>
      </c>
      <c r="I1013">
        <v>10.361939827623983</v>
      </c>
      <c r="J1013">
        <v>10.319281771197364</v>
      </c>
      <c r="K1013">
        <v>10.283927542626421</v>
      </c>
      <c r="L1013">
        <v>10.260790699897404</v>
      </c>
      <c r="M1013">
        <v>10.228774435843334</v>
      </c>
      <c r="N1013">
        <v>10.19126825439187</v>
      </c>
      <c r="P1013">
        <f t="shared" si="499"/>
        <v>236569.02802871948</v>
      </c>
      <c r="Q1013">
        <f t="shared" si="500"/>
        <v>235982.16803592094</v>
      </c>
      <c r="R1013">
        <f t="shared" si="501"/>
        <v>234358.03697879263</v>
      </c>
      <c r="S1013">
        <f t="shared" si="502"/>
        <v>233659.76149692212</v>
      </c>
      <c r="T1013">
        <f t="shared" si="503"/>
        <v>232111.49427530007</v>
      </c>
      <c r="U1013">
        <f t="shared" si="504"/>
        <v>230611.21973175611</v>
      </c>
      <c r="V1013">
        <f t="shared" si="528"/>
        <v>1</v>
      </c>
      <c r="W1013">
        <f t="shared" si="529"/>
        <v>0</v>
      </c>
      <c r="X1013">
        <f t="shared" si="530"/>
        <v>0</v>
      </c>
      <c r="Y1013">
        <f t="shared" si="531"/>
        <v>0</v>
      </c>
      <c r="Z1013">
        <f t="shared" si="532"/>
        <v>0</v>
      </c>
      <c r="AA1013">
        <f t="shared" ref="AA1013" si="543">IF(MAX(P1013:U1013)=U1013, 1, 0)</f>
        <v>0</v>
      </c>
      <c r="AC1013">
        <f t="shared" si="521"/>
        <v>236569.02802871948</v>
      </c>
      <c r="AD1013">
        <f t="shared" si="522"/>
        <v>235982.16803592094</v>
      </c>
      <c r="AE1013">
        <f t="shared" si="523"/>
        <v>234358.03697879263</v>
      </c>
      <c r="AF1013">
        <f t="shared" si="524"/>
        <v>233659.76149692212</v>
      </c>
      <c r="AG1013">
        <f t="shared" si="525"/>
        <v>232111.49427530007</v>
      </c>
      <c r="AH1013">
        <f t="shared" si="526"/>
        <v>230611.21973175611</v>
      </c>
      <c r="AI1013">
        <f t="shared" si="539"/>
        <v>236569.02802871948</v>
      </c>
    </row>
    <row r="1014" spans="2:35" x14ac:dyDescent="0.3">
      <c r="B1014">
        <v>971</v>
      </c>
      <c r="C1014">
        <v>72423.464600000007</v>
      </c>
      <c r="D1014">
        <v>71725.182100000005</v>
      </c>
      <c r="E1014">
        <v>72227.472399999999</v>
      </c>
      <c r="F1014">
        <v>72093.314700000003</v>
      </c>
      <c r="G1014">
        <v>72461.374400000001</v>
      </c>
      <c r="H1014">
        <v>72928.156799999997</v>
      </c>
      <c r="I1014">
        <v>11.656700797066515</v>
      </c>
      <c r="J1014">
        <v>11.631414504861167</v>
      </c>
      <c r="K1014">
        <v>11.606647398982439</v>
      </c>
      <c r="L1014">
        <v>11.596895298633898</v>
      </c>
      <c r="M1014">
        <v>11.576074770254225</v>
      </c>
      <c r="N1014">
        <v>11.55414392530861</v>
      </c>
      <c r="P1014">
        <f t="shared" si="499"/>
        <v>277277.55931199546</v>
      </c>
      <c r="Q1014">
        <f t="shared" si="500"/>
        <v>277217.25304583507</v>
      </c>
      <c r="R1014">
        <f t="shared" si="501"/>
        <v>275971.94956947316</v>
      </c>
      <c r="S1014">
        <f t="shared" si="502"/>
        <v>275813.54425901693</v>
      </c>
      <c r="T1014">
        <f t="shared" si="503"/>
        <v>274820.86870762671</v>
      </c>
      <c r="U1014">
        <f t="shared" si="504"/>
        <v>273696.16095925833</v>
      </c>
      <c r="V1014">
        <f t="shared" si="528"/>
        <v>1</v>
      </c>
      <c r="W1014">
        <f t="shared" si="529"/>
        <v>0</v>
      </c>
      <c r="X1014">
        <f t="shared" si="530"/>
        <v>0</v>
      </c>
      <c r="Y1014">
        <f t="shared" si="531"/>
        <v>0</v>
      </c>
      <c r="Z1014">
        <f t="shared" si="532"/>
        <v>0</v>
      </c>
      <c r="AC1014">
        <f t="shared" si="521"/>
        <v>277277.55931199546</v>
      </c>
      <c r="AD1014">
        <f t="shared" si="522"/>
        <v>277217.25304583507</v>
      </c>
      <c r="AE1014">
        <f t="shared" si="523"/>
        <v>275971.94956947316</v>
      </c>
      <c r="AF1014">
        <f t="shared" si="524"/>
        <v>275813.54425901693</v>
      </c>
      <c r="AG1014">
        <f t="shared" si="525"/>
        <v>274820.86870762671</v>
      </c>
      <c r="AH1014">
        <f t="shared" si="526"/>
        <v>273696.16095925833</v>
      </c>
      <c r="AI1014">
        <f t="shared" si="539"/>
        <v>277277.55931199546</v>
      </c>
    </row>
    <row r="1015" spans="2:35" x14ac:dyDescent="0.3">
      <c r="B1015">
        <v>972</v>
      </c>
      <c r="C1015">
        <v>74825.1538</v>
      </c>
      <c r="D1015">
        <v>74651.808300000004</v>
      </c>
      <c r="E1015">
        <v>75298.420100000003</v>
      </c>
      <c r="F1015">
        <v>75644.909700000004</v>
      </c>
      <c r="G1015">
        <v>76462.840200000006</v>
      </c>
      <c r="H1015">
        <v>77183.217600000004</v>
      </c>
      <c r="I1015">
        <v>9.597010137699149</v>
      </c>
      <c r="J1015">
        <v>9.5586404788001627</v>
      </c>
      <c r="K1015">
        <v>9.5313266341889751</v>
      </c>
      <c r="L1015">
        <v>9.5120151768387142</v>
      </c>
      <c r="M1015">
        <v>9.4828112888274152</v>
      </c>
      <c r="N1015">
        <v>9.44085842640688</v>
      </c>
      <c r="P1015">
        <f t="shared" si="499"/>
        <v>213085.15033097446</v>
      </c>
      <c r="Q1015">
        <f t="shared" si="500"/>
        <v>212107.4060640049</v>
      </c>
      <c r="R1015">
        <f t="shared" si="501"/>
        <v>210641.37892566924</v>
      </c>
      <c r="S1015">
        <f t="shared" si="502"/>
        <v>209715.5456051614</v>
      </c>
      <c r="T1015">
        <f t="shared" si="503"/>
        <v>208021.49846482245</v>
      </c>
      <c r="U1015">
        <f t="shared" si="504"/>
        <v>206042.53519220641</v>
      </c>
      <c r="V1015">
        <f t="shared" si="528"/>
        <v>1</v>
      </c>
      <c r="W1015">
        <f t="shared" si="529"/>
        <v>0</v>
      </c>
      <c r="X1015">
        <f t="shared" si="530"/>
        <v>0</v>
      </c>
      <c r="Y1015">
        <f t="shared" si="531"/>
        <v>0</v>
      </c>
      <c r="Z1015">
        <f t="shared" si="532"/>
        <v>0</v>
      </c>
      <c r="AA1015">
        <f t="shared" ref="AA1015" si="544">IF(MAX(P1015:U1015)=U1015, 1, 0)</f>
        <v>0</v>
      </c>
      <c r="AC1015">
        <f t="shared" si="521"/>
        <v>213085.15033097446</v>
      </c>
      <c r="AD1015">
        <f t="shared" si="522"/>
        <v>212107.4060640049</v>
      </c>
      <c r="AE1015">
        <f t="shared" si="523"/>
        <v>210641.37892566924</v>
      </c>
      <c r="AF1015">
        <f t="shared" si="524"/>
        <v>209715.5456051614</v>
      </c>
      <c r="AG1015">
        <f t="shared" si="525"/>
        <v>208021.49846482245</v>
      </c>
      <c r="AH1015">
        <f t="shared" si="526"/>
        <v>206042.53519220641</v>
      </c>
      <c r="AI1015">
        <f t="shared" si="539"/>
        <v>213085.15033097446</v>
      </c>
    </row>
    <row r="1016" spans="2:35" x14ac:dyDescent="0.3">
      <c r="B1016">
        <v>973</v>
      </c>
      <c r="C1016">
        <v>85527.338799999998</v>
      </c>
      <c r="D1016">
        <v>84494.081900000005</v>
      </c>
      <c r="E1016">
        <v>84604.195699999997</v>
      </c>
      <c r="F1016">
        <v>84458.416200000007</v>
      </c>
      <c r="G1016">
        <v>84593.371700000003</v>
      </c>
      <c r="H1016">
        <v>84689.6005</v>
      </c>
      <c r="I1016">
        <v>9.8699351623866995</v>
      </c>
      <c r="J1016">
        <v>9.8406017738866467</v>
      </c>
      <c r="K1016">
        <v>9.825528351837356</v>
      </c>
      <c r="L1016">
        <v>9.814100334751112</v>
      </c>
      <c r="M1016">
        <v>9.7986847585455763</v>
      </c>
      <c r="N1016">
        <v>9.777343909738855</v>
      </c>
      <c r="P1016">
        <f t="shared" si="499"/>
        <v>210570.716071601</v>
      </c>
      <c r="Q1016">
        <f t="shared" si="500"/>
        <v>210723.9713165994</v>
      </c>
      <c r="R1016">
        <f t="shared" si="501"/>
        <v>210161.65485512069</v>
      </c>
      <c r="S1016">
        <f t="shared" si="502"/>
        <v>209964.59384253333</v>
      </c>
      <c r="T1016">
        <f t="shared" si="503"/>
        <v>209367.17105636728</v>
      </c>
      <c r="U1016">
        <f t="shared" si="504"/>
        <v>208630.71679216565</v>
      </c>
      <c r="V1016">
        <f t="shared" si="528"/>
        <v>0</v>
      </c>
      <c r="W1016">
        <f t="shared" si="529"/>
        <v>1</v>
      </c>
      <c r="X1016">
        <f t="shared" si="530"/>
        <v>0</v>
      </c>
      <c r="Y1016">
        <f t="shared" si="531"/>
        <v>0</v>
      </c>
      <c r="Z1016">
        <f t="shared" si="532"/>
        <v>0</v>
      </c>
      <c r="AC1016">
        <f t="shared" si="521"/>
        <v>210570.716071601</v>
      </c>
      <c r="AD1016">
        <f t="shared" si="522"/>
        <v>210723.9713165994</v>
      </c>
      <c r="AE1016">
        <f t="shared" si="523"/>
        <v>210161.65485512069</v>
      </c>
      <c r="AF1016">
        <f t="shared" si="524"/>
        <v>209964.59384253333</v>
      </c>
      <c r="AG1016">
        <f t="shared" si="525"/>
        <v>209367.17105636728</v>
      </c>
      <c r="AH1016">
        <f t="shared" si="526"/>
        <v>208630.71679216565</v>
      </c>
      <c r="AI1016">
        <f t="shared" si="539"/>
        <v>210723.9713165994</v>
      </c>
    </row>
    <row r="1017" spans="2:35" x14ac:dyDescent="0.3">
      <c r="B1017">
        <v>974</v>
      </c>
      <c r="C1017">
        <v>70362.961299999995</v>
      </c>
      <c r="D1017">
        <v>70622.742299999998</v>
      </c>
      <c r="E1017">
        <v>71324.727700000003</v>
      </c>
      <c r="F1017">
        <v>71442.584099999993</v>
      </c>
      <c r="G1017">
        <v>72377.892999999996</v>
      </c>
      <c r="H1017">
        <v>73508.492800000007</v>
      </c>
      <c r="I1017">
        <v>10.507488579891222</v>
      </c>
      <c r="J1017">
        <v>10.462913443026144</v>
      </c>
      <c r="K1017">
        <v>10.447576736345773</v>
      </c>
      <c r="L1017">
        <v>10.432711826179718</v>
      </c>
      <c r="M1017">
        <v>10.394568493113871</v>
      </c>
      <c r="N1017">
        <v>10.371779559438087</v>
      </c>
      <c r="P1017">
        <f t="shared" si="499"/>
        <v>244861.69609673668</v>
      </c>
      <c r="Q1017">
        <f t="shared" si="500"/>
        <v>243264.66099078435</v>
      </c>
      <c r="R1017">
        <f t="shared" si="501"/>
        <v>242102.57439037319</v>
      </c>
      <c r="S1017">
        <f t="shared" si="502"/>
        <v>241538.77068539156</v>
      </c>
      <c r="T1017">
        <f t="shared" si="503"/>
        <v>239459.16179341613</v>
      </c>
      <c r="U1017">
        <f t="shared" si="504"/>
        <v>237644.89398314263</v>
      </c>
      <c r="V1017">
        <f t="shared" si="528"/>
        <v>1</v>
      </c>
      <c r="W1017">
        <f t="shared" si="529"/>
        <v>0</v>
      </c>
      <c r="X1017">
        <f t="shared" si="530"/>
        <v>0</v>
      </c>
      <c r="Y1017">
        <f t="shared" si="531"/>
        <v>0</v>
      </c>
      <c r="Z1017">
        <f t="shared" si="532"/>
        <v>0</v>
      </c>
      <c r="AA1017">
        <f t="shared" ref="AA1017" si="545">IF(MAX(P1017:U1017)=U1017, 1, 0)</f>
        <v>0</v>
      </c>
      <c r="AC1017">
        <f t="shared" si="521"/>
        <v>244861.69609673668</v>
      </c>
      <c r="AD1017">
        <f t="shared" si="522"/>
        <v>243264.66099078435</v>
      </c>
      <c r="AE1017">
        <f t="shared" si="523"/>
        <v>242102.57439037319</v>
      </c>
      <c r="AF1017">
        <f t="shared" si="524"/>
        <v>241538.77068539156</v>
      </c>
      <c r="AG1017">
        <f t="shared" si="525"/>
        <v>239459.16179341613</v>
      </c>
      <c r="AH1017">
        <f t="shared" si="526"/>
        <v>237644.89398314263</v>
      </c>
      <c r="AI1017">
        <f t="shared" si="539"/>
        <v>244861.69609673668</v>
      </c>
    </row>
    <row r="1018" spans="2:35" x14ac:dyDescent="0.3">
      <c r="B1018">
        <v>975</v>
      </c>
      <c r="C1018">
        <v>78678.317800000004</v>
      </c>
      <c r="D1018">
        <v>78751.254100000006</v>
      </c>
      <c r="E1018">
        <v>79965.234299999996</v>
      </c>
      <c r="F1018">
        <v>80090.677800000005</v>
      </c>
      <c r="G1018">
        <v>80972.336800000005</v>
      </c>
      <c r="H1018">
        <v>81960.070300000007</v>
      </c>
      <c r="I1018">
        <v>10.67285647619506</v>
      </c>
      <c r="J1018">
        <v>10.647206737254995</v>
      </c>
      <c r="K1018">
        <v>10.624624914089448</v>
      </c>
      <c r="L1018">
        <v>10.619192691768859</v>
      </c>
      <c r="M1018">
        <v>10.595897260295578</v>
      </c>
      <c r="N1018">
        <v>10.579305339817466</v>
      </c>
      <c r="P1018">
        <f t="shared" si="499"/>
        <v>241507.37648585177</v>
      </c>
      <c r="Q1018">
        <f t="shared" si="500"/>
        <v>240664.94801764982</v>
      </c>
      <c r="R1018">
        <f t="shared" si="501"/>
        <v>238773.51312268345</v>
      </c>
      <c r="S1018">
        <f t="shared" si="502"/>
        <v>238485.10295306577</v>
      </c>
      <c r="T1018">
        <f t="shared" si="503"/>
        <v>236904.58100886736</v>
      </c>
      <c r="U1018">
        <f t="shared" si="504"/>
        <v>235419.08989452396</v>
      </c>
      <c r="V1018">
        <f t="shared" si="528"/>
        <v>1</v>
      </c>
      <c r="W1018">
        <f t="shared" si="529"/>
        <v>0</v>
      </c>
      <c r="X1018">
        <f t="shared" si="530"/>
        <v>0</v>
      </c>
      <c r="Y1018">
        <f t="shared" si="531"/>
        <v>0</v>
      </c>
      <c r="Z1018">
        <f t="shared" si="532"/>
        <v>0</v>
      </c>
      <c r="AC1018">
        <f t="shared" si="521"/>
        <v>241507.37648585177</v>
      </c>
      <c r="AD1018">
        <f t="shared" si="522"/>
        <v>240664.94801764982</v>
      </c>
      <c r="AE1018">
        <f t="shared" si="523"/>
        <v>238773.51312268345</v>
      </c>
      <c r="AF1018">
        <f t="shared" si="524"/>
        <v>238485.10295306577</v>
      </c>
      <c r="AG1018">
        <f t="shared" si="525"/>
        <v>236904.58100886736</v>
      </c>
      <c r="AH1018">
        <f t="shared" si="526"/>
        <v>235419.08989452396</v>
      </c>
      <c r="AI1018">
        <f t="shared" si="539"/>
        <v>241507.37648585177</v>
      </c>
    </row>
    <row r="1019" spans="2:35" x14ac:dyDescent="0.3">
      <c r="B1019">
        <v>976</v>
      </c>
      <c r="C1019">
        <v>76655.646200000003</v>
      </c>
      <c r="D1019">
        <v>76714.874299999996</v>
      </c>
      <c r="E1019">
        <v>77427.547399999996</v>
      </c>
      <c r="F1019">
        <v>77248.934599999993</v>
      </c>
      <c r="G1019">
        <v>78374.751699999993</v>
      </c>
      <c r="H1019">
        <v>79183.423800000004</v>
      </c>
      <c r="I1019">
        <v>9.3661121285077051</v>
      </c>
      <c r="J1019">
        <v>9.3287790798480827</v>
      </c>
      <c r="K1019">
        <v>9.3112906215578715</v>
      </c>
      <c r="L1019">
        <v>9.3043405924509361</v>
      </c>
      <c r="M1019">
        <v>9.2754095999884889</v>
      </c>
      <c r="N1019">
        <v>9.2486294215605493</v>
      </c>
      <c r="P1019">
        <f t="shared" si="499"/>
        <v>204327.71765523113</v>
      </c>
      <c r="Q1019">
        <f t="shared" si="500"/>
        <v>203148.49809544251</v>
      </c>
      <c r="R1019">
        <f t="shared" si="501"/>
        <v>201911.17124673614</v>
      </c>
      <c r="S1019">
        <f t="shared" si="502"/>
        <v>201881.28317352809</v>
      </c>
      <c r="T1019">
        <f t="shared" si="503"/>
        <v>199887.53629965466</v>
      </c>
      <c r="U1019">
        <f t="shared" si="504"/>
        <v>198275.4588468165</v>
      </c>
      <c r="V1019">
        <f t="shared" si="528"/>
        <v>1</v>
      </c>
      <c r="W1019">
        <f t="shared" si="529"/>
        <v>0</v>
      </c>
      <c r="X1019">
        <f t="shared" si="530"/>
        <v>0</v>
      </c>
      <c r="Y1019">
        <f t="shared" si="531"/>
        <v>0</v>
      </c>
      <c r="Z1019">
        <f t="shared" si="532"/>
        <v>0</v>
      </c>
      <c r="AA1019">
        <f t="shared" ref="AA1019" si="546">IF(MAX(P1019:U1019)=U1019, 1, 0)</f>
        <v>0</v>
      </c>
      <c r="AC1019">
        <f t="shared" si="521"/>
        <v>204327.71765523113</v>
      </c>
      <c r="AD1019">
        <f t="shared" si="522"/>
        <v>203148.49809544251</v>
      </c>
      <c r="AE1019">
        <f t="shared" si="523"/>
        <v>201911.17124673614</v>
      </c>
      <c r="AF1019">
        <f t="shared" si="524"/>
        <v>201881.28317352809</v>
      </c>
      <c r="AG1019">
        <f t="shared" si="525"/>
        <v>199887.53629965466</v>
      </c>
      <c r="AH1019">
        <f t="shared" si="526"/>
        <v>198275.4588468165</v>
      </c>
      <c r="AI1019">
        <f t="shared" si="539"/>
        <v>204327.71765523113</v>
      </c>
    </row>
    <row r="1020" spans="2:35" x14ac:dyDescent="0.3">
      <c r="B1020">
        <v>977</v>
      </c>
      <c r="C1020">
        <v>80163.903000000006</v>
      </c>
      <c r="D1020">
        <v>79795.805200000003</v>
      </c>
      <c r="E1020">
        <v>80716.880399999995</v>
      </c>
      <c r="F1020">
        <v>80783.084799999997</v>
      </c>
      <c r="G1020">
        <v>81522.713000000003</v>
      </c>
      <c r="H1020">
        <v>82381.301000000007</v>
      </c>
      <c r="I1020">
        <v>10.117702703775336</v>
      </c>
      <c r="J1020">
        <v>10.083765759979293</v>
      </c>
      <c r="K1020">
        <v>10.058921050541391</v>
      </c>
      <c r="L1020">
        <v>10.039465388996948</v>
      </c>
      <c r="M1020">
        <v>10.014470816715248</v>
      </c>
      <c r="N1020">
        <v>9.9920386990520473</v>
      </c>
      <c r="P1020">
        <f t="shared" si="499"/>
        <v>223367.17811326007</v>
      </c>
      <c r="Q1020">
        <f t="shared" si="500"/>
        <v>222717.16759937879</v>
      </c>
      <c r="R1020">
        <f t="shared" si="501"/>
        <v>221050.75111624176</v>
      </c>
      <c r="S1020">
        <f t="shared" si="502"/>
        <v>220400.87686990842</v>
      </c>
      <c r="T1020">
        <f t="shared" si="503"/>
        <v>218911.41150145745</v>
      </c>
      <c r="U1020">
        <f t="shared" si="504"/>
        <v>217379.85997156144</v>
      </c>
      <c r="V1020">
        <f t="shared" si="528"/>
        <v>1</v>
      </c>
      <c r="W1020">
        <f t="shared" si="529"/>
        <v>0</v>
      </c>
      <c r="X1020">
        <f t="shared" si="530"/>
        <v>0</v>
      </c>
      <c r="Y1020">
        <f t="shared" si="531"/>
        <v>0</v>
      </c>
      <c r="Z1020">
        <f t="shared" si="532"/>
        <v>0</v>
      </c>
      <c r="AC1020">
        <f t="shared" si="521"/>
        <v>223367.17811326007</v>
      </c>
      <c r="AD1020">
        <f t="shared" si="522"/>
        <v>222717.16759937879</v>
      </c>
      <c r="AE1020">
        <f t="shared" si="523"/>
        <v>221050.75111624176</v>
      </c>
      <c r="AF1020">
        <f t="shared" si="524"/>
        <v>220400.87686990842</v>
      </c>
      <c r="AG1020">
        <f t="shared" si="525"/>
        <v>218911.41150145745</v>
      </c>
      <c r="AH1020">
        <f t="shared" si="526"/>
        <v>217379.85997156144</v>
      </c>
      <c r="AI1020">
        <f t="shared" si="539"/>
        <v>223367.17811326007</v>
      </c>
    </row>
    <row r="1021" spans="2:35" x14ac:dyDescent="0.3">
      <c r="B1021">
        <v>978</v>
      </c>
      <c r="C1021">
        <v>85569.5769</v>
      </c>
      <c r="D1021">
        <v>84761.869099999996</v>
      </c>
      <c r="E1021">
        <v>85134.469899999996</v>
      </c>
      <c r="F1021">
        <v>84941.712199999994</v>
      </c>
      <c r="G1021">
        <v>85202.297000000006</v>
      </c>
      <c r="H1021">
        <v>85454.450500000006</v>
      </c>
      <c r="I1021">
        <v>10.162013448723336</v>
      </c>
      <c r="J1021">
        <v>10.145862113540865</v>
      </c>
      <c r="K1021">
        <v>10.1319100396469</v>
      </c>
      <c r="L1021">
        <v>10.126861065168342</v>
      </c>
      <c r="M1021">
        <v>10.116445183280812</v>
      </c>
      <c r="N1021">
        <v>10.104962224782064</v>
      </c>
      <c r="P1021">
        <f t="shared" si="499"/>
        <v>219290.82656170009</v>
      </c>
      <c r="Q1021">
        <f t="shared" si="500"/>
        <v>219613.99430622591</v>
      </c>
      <c r="R1021">
        <f t="shared" si="501"/>
        <v>218822.83128940701</v>
      </c>
      <c r="S1021">
        <f t="shared" si="502"/>
        <v>218864.11975505023</v>
      </c>
      <c r="T1021">
        <f t="shared" si="503"/>
        <v>218291.0584984243</v>
      </c>
      <c r="U1021">
        <f t="shared" si="504"/>
        <v>217694.41624346192</v>
      </c>
      <c r="V1021">
        <f t="shared" si="528"/>
        <v>0</v>
      </c>
      <c r="W1021">
        <f t="shared" si="529"/>
        <v>1</v>
      </c>
      <c r="X1021">
        <f t="shared" si="530"/>
        <v>0</v>
      </c>
      <c r="Y1021">
        <f t="shared" si="531"/>
        <v>0</v>
      </c>
      <c r="Z1021">
        <f t="shared" si="532"/>
        <v>0</v>
      </c>
      <c r="AA1021">
        <f t="shared" ref="AA1021" si="547">IF(MAX(P1021:U1021)=U1021, 1, 0)</f>
        <v>0</v>
      </c>
      <c r="AC1021">
        <f t="shared" si="521"/>
        <v>219290.82656170009</v>
      </c>
      <c r="AD1021">
        <f t="shared" si="522"/>
        <v>219613.99430622591</v>
      </c>
      <c r="AE1021">
        <f t="shared" si="523"/>
        <v>218822.83128940701</v>
      </c>
      <c r="AF1021">
        <f t="shared" si="524"/>
        <v>218864.11975505023</v>
      </c>
      <c r="AG1021">
        <f t="shared" si="525"/>
        <v>218291.0584984243</v>
      </c>
      <c r="AH1021">
        <f t="shared" si="526"/>
        <v>217694.41624346192</v>
      </c>
      <c r="AI1021">
        <f t="shared" si="539"/>
        <v>219613.99430622591</v>
      </c>
    </row>
    <row r="1022" spans="2:35" x14ac:dyDescent="0.3">
      <c r="B1022">
        <v>979</v>
      </c>
      <c r="C1022">
        <v>83418.474600000001</v>
      </c>
      <c r="D1022">
        <v>82841.526400000002</v>
      </c>
      <c r="E1022">
        <v>83390.437699999995</v>
      </c>
      <c r="F1022">
        <v>83408.327999999994</v>
      </c>
      <c r="G1022">
        <v>83845.912700000001</v>
      </c>
      <c r="H1022">
        <v>84355.473599999998</v>
      </c>
      <c r="I1022">
        <v>10.41978033836245</v>
      </c>
      <c r="J1022">
        <v>10.388033928312483</v>
      </c>
      <c r="K1022">
        <v>10.364550619517086</v>
      </c>
      <c r="L1022">
        <v>10.35257217399505</v>
      </c>
      <c r="M1022">
        <v>10.323245015747164</v>
      </c>
      <c r="N1022">
        <v>10.294753969969495</v>
      </c>
      <c r="P1022">
        <f t="shared" si="499"/>
        <v>229174.93555087352</v>
      </c>
      <c r="Q1022">
        <f t="shared" si="500"/>
        <v>228799.4914493745</v>
      </c>
      <c r="R1022">
        <f t="shared" si="501"/>
        <v>227546.08088551258</v>
      </c>
      <c r="S1022">
        <f t="shared" si="502"/>
        <v>227168.8372198515</v>
      </c>
      <c r="T1022">
        <f t="shared" si="503"/>
        <v>225851.43777241494</v>
      </c>
      <c r="U1022">
        <f t="shared" si="504"/>
        <v>224487.14549908487</v>
      </c>
      <c r="V1022">
        <f t="shared" si="528"/>
        <v>1</v>
      </c>
      <c r="W1022">
        <f t="shared" si="529"/>
        <v>0</v>
      </c>
      <c r="X1022">
        <f t="shared" si="530"/>
        <v>0</v>
      </c>
      <c r="Y1022">
        <f t="shared" si="531"/>
        <v>0</v>
      </c>
      <c r="Z1022">
        <f t="shared" si="532"/>
        <v>0</v>
      </c>
      <c r="AC1022">
        <f t="shared" si="521"/>
        <v>229174.93555087352</v>
      </c>
      <c r="AD1022">
        <f t="shared" si="522"/>
        <v>228799.4914493745</v>
      </c>
      <c r="AE1022">
        <f t="shared" si="523"/>
        <v>227546.08088551258</v>
      </c>
      <c r="AF1022">
        <f t="shared" si="524"/>
        <v>227168.8372198515</v>
      </c>
      <c r="AG1022">
        <f t="shared" si="525"/>
        <v>225851.43777241494</v>
      </c>
      <c r="AH1022">
        <f t="shared" si="526"/>
        <v>224487.14549908487</v>
      </c>
      <c r="AI1022">
        <f t="shared" si="539"/>
        <v>229174.93555087352</v>
      </c>
    </row>
    <row r="1023" spans="2:35" x14ac:dyDescent="0.3">
      <c r="B1023">
        <v>980</v>
      </c>
      <c r="C1023">
        <v>75128.691999999995</v>
      </c>
      <c r="D1023">
        <v>74126.975399999996</v>
      </c>
      <c r="E1023">
        <v>74426.693100000004</v>
      </c>
      <c r="F1023">
        <v>74182.698600000003</v>
      </c>
      <c r="G1023">
        <v>74468.187699999995</v>
      </c>
      <c r="H1023">
        <v>74893.291100000002</v>
      </c>
      <c r="I1023">
        <v>9.8709146344871588</v>
      </c>
      <c r="J1023">
        <v>9.8635905113311431</v>
      </c>
      <c r="K1023">
        <v>9.8577128728299854</v>
      </c>
      <c r="L1023">
        <v>9.8554379329306077</v>
      </c>
      <c r="M1023">
        <v>9.8488576486868489</v>
      </c>
      <c r="N1023">
        <v>9.840762351206104</v>
      </c>
      <c r="P1023">
        <f t="shared" si="499"/>
        <v>220998.74703461479</v>
      </c>
      <c r="Q1023">
        <f t="shared" si="500"/>
        <v>221780.73993993428</v>
      </c>
      <c r="R1023">
        <f t="shared" si="501"/>
        <v>221304.69308489954</v>
      </c>
      <c r="S1023">
        <f t="shared" si="502"/>
        <v>221480.43938791822</v>
      </c>
      <c r="T1023">
        <f t="shared" si="503"/>
        <v>220997.54176060547</v>
      </c>
      <c r="U1023">
        <f t="shared" si="504"/>
        <v>220329.57943618312</v>
      </c>
      <c r="V1023">
        <f t="shared" si="528"/>
        <v>0</v>
      </c>
      <c r="W1023">
        <f t="shared" si="529"/>
        <v>1</v>
      </c>
      <c r="X1023">
        <f t="shared" si="530"/>
        <v>0</v>
      </c>
      <c r="Y1023">
        <f t="shared" si="531"/>
        <v>0</v>
      </c>
      <c r="Z1023">
        <f t="shared" si="532"/>
        <v>0</v>
      </c>
      <c r="AA1023">
        <f t="shared" ref="AA1023" si="548">IF(MAX(P1023:U1023)=U1023, 1, 0)</f>
        <v>0</v>
      </c>
      <c r="AC1023">
        <f t="shared" si="521"/>
        <v>220998.74703461479</v>
      </c>
      <c r="AD1023">
        <f t="shared" si="522"/>
        <v>221780.73993993428</v>
      </c>
      <c r="AE1023">
        <f t="shared" si="523"/>
        <v>221304.69308489954</v>
      </c>
      <c r="AF1023">
        <f t="shared" si="524"/>
        <v>221480.43938791822</v>
      </c>
      <c r="AG1023">
        <f t="shared" si="525"/>
        <v>220997.54176060547</v>
      </c>
      <c r="AH1023">
        <f t="shared" si="526"/>
        <v>220329.57943618312</v>
      </c>
      <c r="AI1023">
        <f t="shared" si="539"/>
        <v>221780.73993993428</v>
      </c>
    </row>
    <row r="1024" spans="2:35" x14ac:dyDescent="0.3">
      <c r="B1024">
        <v>981</v>
      </c>
      <c r="C1024">
        <v>79265.437300000005</v>
      </c>
      <c r="D1024">
        <v>79187.995299999995</v>
      </c>
      <c r="E1024">
        <v>79988.603700000007</v>
      </c>
      <c r="F1024">
        <v>80156.699800000002</v>
      </c>
      <c r="G1024">
        <v>81150.863500000007</v>
      </c>
      <c r="H1024">
        <v>82067.532000000007</v>
      </c>
      <c r="I1024">
        <v>10.442193257340669</v>
      </c>
      <c r="J1024">
        <v>10.413697563008405</v>
      </c>
      <c r="K1024">
        <v>10.390497896422072</v>
      </c>
      <c r="L1024">
        <v>10.380751515428917</v>
      </c>
      <c r="M1024">
        <v>10.356422681546237</v>
      </c>
      <c r="N1024">
        <v>10.332923139817234</v>
      </c>
      <c r="P1024">
        <f t="shared" si="499"/>
        <v>234000.36042022007</v>
      </c>
      <c r="Q1024">
        <f t="shared" si="500"/>
        <v>233222.93159025215</v>
      </c>
      <c r="R1024">
        <f t="shared" si="501"/>
        <v>231726.33319266219</v>
      </c>
      <c r="S1024">
        <f t="shared" si="502"/>
        <v>231265.84566286753</v>
      </c>
      <c r="T1024">
        <f t="shared" si="503"/>
        <v>229541.81694638709</v>
      </c>
      <c r="U1024">
        <f t="shared" si="504"/>
        <v>227920.16219451703</v>
      </c>
      <c r="V1024">
        <f t="shared" si="528"/>
        <v>1</v>
      </c>
      <c r="W1024">
        <f t="shared" si="529"/>
        <v>0</v>
      </c>
      <c r="X1024">
        <f t="shared" si="530"/>
        <v>0</v>
      </c>
      <c r="Y1024">
        <f t="shared" si="531"/>
        <v>0</v>
      </c>
      <c r="Z1024">
        <f t="shared" si="532"/>
        <v>0</v>
      </c>
      <c r="AC1024">
        <f t="shared" si="521"/>
        <v>234000.36042022007</v>
      </c>
      <c r="AD1024">
        <f t="shared" si="522"/>
        <v>233222.93159025215</v>
      </c>
      <c r="AE1024">
        <f t="shared" si="523"/>
        <v>231726.33319266219</v>
      </c>
      <c r="AF1024">
        <f t="shared" si="524"/>
        <v>231265.84566286753</v>
      </c>
      <c r="AG1024">
        <f t="shared" si="525"/>
        <v>229541.81694638709</v>
      </c>
      <c r="AH1024">
        <f t="shared" si="526"/>
        <v>227920.16219451703</v>
      </c>
      <c r="AI1024">
        <f t="shared" si="539"/>
        <v>234000.36042022007</v>
      </c>
    </row>
    <row r="1025" spans="2:35" x14ac:dyDescent="0.3">
      <c r="B1025">
        <v>982</v>
      </c>
      <c r="C1025">
        <v>74408.476800000004</v>
      </c>
      <c r="D1025">
        <v>74032.968599999993</v>
      </c>
      <c r="E1025">
        <v>74975.246299999999</v>
      </c>
      <c r="F1025">
        <v>74963.204800000007</v>
      </c>
      <c r="G1025">
        <v>75829.986199999999</v>
      </c>
      <c r="H1025">
        <v>76544.252399999998</v>
      </c>
      <c r="I1025">
        <v>10.452331487709076</v>
      </c>
      <c r="J1025">
        <v>10.437726578951258</v>
      </c>
      <c r="K1025">
        <v>10.423014910064326</v>
      </c>
      <c r="L1025">
        <v>10.419961821422531</v>
      </c>
      <c r="M1025">
        <v>10.40440538664507</v>
      </c>
      <c r="N1025">
        <v>10.392111030412917</v>
      </c>
      <c r="P1025">
        <f t="shared" ref="P1025:P1043" si="549">Threshold*I1025-C1025</f>
        <v>239161.46783127228</v>
      </c>
      <c r="Q1025">
        <f t="shared" ref="Q1025:Q1043" si="550">Threshold*J1025-D1025</f>
        <v>239098.82876853776</v>
      </c>
      <c r="R1025">
        <f t="shared" ref="R1025:R1043" si="551">Threshold*K1025-E1025</f>
        <v>237715.20100192982</v>
      </c>
      <c r="S1025">
        <f t="shared" ref="S1025:S1043" si="552">Threshold*L1025-F1025</f>
        <v>237635.64984267589</v>
      </c>
      <c r="T1025">
        <f t="shared" ref="T1025:T1043" si="553">Threshold*M1025-G1025</f>
        <v>236302.1753993521</v>
      </c>
      <c r="U1025">
        <f t="shared" ref="U1025:U1043" si="554">Threshold*N1025-H1025</f>
        <v>235219.07851238752</v>
      </c>
      <c r="V1025">
        <f t="shared" si="528"/>
        <v>1</v>
      </c>
      <c r="W1025">
        <f t="shared" si="529"/>
        <v>0</v>
      </c>
      <c r="X1025">
        <f t="shared" si="530"/>
        <v>0</v>
      </c>
      <c r="Y1025">
        <f t="shared" si="531"/>
        <v>0</v>
      </c>
      <c r="Z1025">
        <f t="shared" si="532"/>
        <v>0</v>
      </c>
      <c r="AA1025">
        <f t="shared" ref="AA1025" si="555">IF(MAX(P1025:U1025)=U1025, 1, 0)</f>
        <v>0</v>
      </c>
      <c r="AC1025">
        <f t="shared" si="521"/>
        <v>239161.46783127228</v>
      </c>
      <c r="AD1025">
        <f t="shared" si="522"/>
        <v>239098.82876853776</v>
      </c>
      <c r="AE1025">
        <f t="shared" si="523"/>
        <v>237715.20100192982</v>
      </c>
      <c r="AF1025">
        <f t="shared" si="524"/>
        <v>237635.64984267589</v>
      </c>
      <c r="AG1025">
        <f t="shared" si="525"/>
        <v>236302.1753993521</v>
      </c>
      <c r="AH1025">
        <f t="shared" si="526"/>
        <v>235219.07851238752</v>
      </c>
      <c r="AI1025">
        <f t="shared" si="539"/>
        <v>239161.46783127228</v>
      </c>
    </row>
    <row r="1026" spans="2:35" x14ac:dyDescent="0.3">
      <c r="B1026">
        <v>983</v>
      </c>
      <c r="C1026">
        <v>80764.553400000004</v>
      </c>
      <c r="D1026">
        <v>80502.881899999993</v>
      </c>
      <c r="E1026">
        <v>81102.168699999995</v>
      </c>
      <c r="F1026">
        <v>81015.173599999995</v>
      </c>
      <c r="G1026">
        <v>81715.243300000002</v>
      </c>
      <c r="H1026">
        <v>82467.076000000001</v>
      </c>
      <c r="I1026">
        <v>9.9963448431950361</v>
      </c>
      <c r="J1026">
        <v>9.9705615090881388</v>
      </c>
      <c r="K1026">
        <v>9.9526603972022087</v>
      </c>
      <c r="L1026">
        <v>9.9483637263934988</v>
      </c>
      <c r="M1026">
        <v>9.9283240964181196</v>
      </c>
      <c r="N1026">
        <v>9.9093382008475182</v>
      </c>
      <c r="P1026">
        <f t="shared" si="549"/>
        <v>219125.79189585106</v>
      </c>
      <c r="Q1026">
        <f t="shared" si="550"/>
        <v>218613.96337264421</v>
      </c>
      <c r="R1026">
        <f t="shared" si="551"/>
        <v>217477.6432160663</v>
      </c>
      <c r="S1026">
        <f t="shared" si="552"/>
        <v>217435.73819180497</v>
      </c>
      <c r="T1026">
        <f t="shared" si="553"/>
        <v>216134.47959254359</v>
      </c>
      <c r="U1026">
        <f t="shared" si="554"/>
        <v>214813.07002542552</v>
      </c>
      <c r="V1026">
        <f t="shared" si="528"/>
        <v>1</v>
      </c>
      <c r="W1026">
        <f t="shared" si="529"/>
        <v>0</v>
      </c>
      <c r="X1026">
        <f t="shared" si="530"/>
        <v>0</v>
      </c>
      <c r="Y1026">
        <f t="shared" si="531"/>
        <v>0</v>
      </c>
      <c r="Z1026">
        <f t="shared" si="532"/>
        <v>0</v>
      </c>
      <c r="AC1026">
        <f t="shared" si="521"/>
        <v>219125.79189585106</v>
      </c>
      <c r="AD1026">
        <f t="shared" si="522"/>
        <v>218613.96337264421</v>
      </c>
      <c r="AE1026">
        <f t="shared" si="523"/>
        <v>217477.6432160663</v>
      </c>
      <c r="AF1026">
        <f t="shared" si="524"/>
        <v>217435.73819180497</v>
      </c>
      <c r="AG1026">
        <f t="shared" si="525"/>
        <v>216134.47959254359</v>
      </c>
      <c r="AH1026">
        <f t="shared" si="526"/>
        <v>214813.07002542552</v>
      </c>
      <c r="AI1026">
        <f t="shared" si="539"/>
        <v>219125.79189585106</v>
      </c>
    </row>
    <row r="1027" spans="2:35" x14ac:dyDescent="0.3">
      <c r="B1027">
        <v>984</v>
      </c>
      <c r="C1027">
        <v>78193.017600000006</v>
      </c>
      <c r="D1027">
        <v>77123.629700000005</v>
      </c>
      <c r="E1027">
        <v>77471.776800000007</v>
      </c>
      <c r="F1027">
        <v>77421.547300000006</v>
      </c>
      <c r="G1027">
        <v>77659.126300000004</v>
      </c>
      <c r="H1027">
        <v>77878.940700000006</v>
      </c>
      <c r="I1027">
        <v>10.41233679163874</v>
      </c>
      <c r="J1027">
        <v>10.36529523179828</v>
      </c>
      <c r="K1027">
        <v>10.335684349974521</v>
      </c>
      <c r="L1027">
        <v>10.321655708956381</v>
      </c>
      <c r="M1027">
        <v>10.296227485948796</v>
      </c>
      <c r="N1027">
        <v>10.256710673115755</v>
      </c>
      <c r="P1027">
        <f t="shared" si="549"/>
        <v>234177.08614916221</v>
      </c>
      <c r="Q1027">
        <f t="shared" si="550"/>
        <v>233835.2272539484</v>
      </c>
      <c r="R1027">
        <f t="shared" si="551"/>
        <v>232598.75369923562</v>
      </c>
      <c r="S1027">
        <f t="shared" si="552"/>
        <v>232228.12396869142</v>
      </c>
      <c r="T1027">
        <f t="shared" si="553"/>
        <v>231227.69827846385</v>
      </c>
      <c r="U1027">
        <f t="shared" si="554"/>
        <v>229822.37949347266</v>
      </c>
      <c r="V1027">
        <f t="shared" si="528"/>
        <v>1</v>
      </c>
      <c r="W1027">
        <f t="shared" si="529"/>
        <v>0</v>
      </c>
      <c r="X1027">
        <f t="shared" si="530"/>
        <v>0</v>
      </c>
      <c r="Y1027">
        <f t="shared" si="531"/>
        <v>0</v>
      </c>
      <c r="Z1027">
        <f t="shared" si="532"/>
        <v>0</v>
      </c>
      <c r="AA1027">
        <f t="shared" ref="AA1027" si="556">IF(MAX(P1027:U1027)=U1027, 1, 0)</f>
        <v>0</v>
      </c>
      <c r="AC1027">
        <f t="shared" si="521"/>
        <v>234177.08614916221</v>
      </c>
      <c r="AD1027">
        <f t="shared" si="522"/>
        <v>233835.2272539484</v>
      </c>
      <c r="AE1027">
        <f t="shared" si="523"/>
        <v>232598.75369923562</v>
      </c>
      <c r="AF1027">
        <f t="shared" si="524"/>
        <v>232228.12396869142</v>
      </c>
      <c r="AG1027">
        <f t="shared" si="525"/>
        <v>231227.69827846385</v>
      </c>
      <c r="AH1027">
        <f t="shared" si="526"/>
        <v>229822.37949347266</v>
      </c>
      <c r="AI1027">
        <f t="shared" si="539"/>
        <v>234177.08614916221</v>
      </c>
    </row>
    <row r="1028" spans="2:35" x14ac:dyDescent="0.3">
      <c r="B1028">
        <v>985</v>
      </c>
      <c r="C1028">
        <v>75021.401700000002</v>
      </c>
      <c r="D1028">
        <v>75280.5285</v>
      </c>
      <c r="E1028">
        <v>75717.642500000002</v>
      </c>
      <c r="F1028">
        <v>75933.868799999997</v>
      </c>
      <c r="G1028">
        <v>77150.990300000005</v>
      </c>
      <c r="H1028">
        <v>78108.197</v>
      </c>
      <c r="I1028">
        <v>11.020003676230301</v>
      </c>
      <c r="J1028">
        <v>10.980950112615261</v>
      </c>
      <c r="K1028">
        <v>10.97090429425565</v>
      </c>
      <c r="L1028">
        <v>10.961414064898813</v>
      </c>
      <c r="M1028">
        <v>10.92915440211673</v>
      </c>
      <c r="N1028">
        <v>10.908496993941192</v>
      </c>
      <c r="P1028">
        <f t="shared" si="549"/>
        <v>255578.70858690905</v>
      </c>
      <c r="Q1028">
        <f t="shared" si="550"/>
        <v>254147.97487845784</v>
      </c>
      <c r="R1028">
        <f t="shared" si="551"/>
        <v>253409.48632766947</v>
      </c>
      <c r="S1028">
        <f t="shared" si="552"/>
        <v>252908.5531469644</v>
      </c>
      <c r="T1028">
        <f t="shared" si="553"/>
        <v>250723.64176350186</v>
      </c>
      <c r="U1028">
        <f t="shared" si="554"/>
        <v>249146.7128182358</v>
      </c>
      <c r="V1028">
        <f t="shared" si="528"/>
        <v>1</v>
      </c>
      <c r="W1028">
        <f t="shared" si="529"/>
        <v>0</v>
      </c>
      <c r="X1028">
        <f t="shared" si="530"/>
        <v>0</v>
      </c>
      <c r="Y1028">
        <f t="shared" si="531"/>
        <v>0</v>
      </c>
      <c r="Z1028">
        <f t="shared" si="532"/>
        <v>0</v>
      </c>
      <c r="AC1028">
        <f t="shared" si="521"/>
        <v>255578.70858690905</v>
      </c>
      <c r="AD1028">
        <f t="shared" si="522"/>
        <v>254147.97487845784</v>
      </c>
      <c r="AE1028">
        <f t="shared" si="523"/>
        <v>253409.48632766947</v>
      </c>
      <c r="AF1028">
        <f t="shared" si="524"/>
        <v>252908.5531469644</v>
      </c>
      <c r="AG1028">
        <f t="shared" si="525"/>
        <v>250723.64176350186</v>
      </c>
      <c r="AH1028">
        <f t="shared" si="526"/>
        <v>249146.7128182358</v>
      </c>
      <c r="AI1028">
        <f t="shared" si="539"/>
        <v>255578.70858690905</v>
      </c>
    </row>
    <row r="1029" spans="2:35" x14ac:dyDescent="0.3">
      <c r="B1029">
        <v>986</v>
      </c>
      <c r="C1029">
        <v>76095.900800000003</v>
      </c>
      <c r="D1029">
        <v>75437.875199999995</v>
      </c>
      <c r="E1029">
        <v>75791.134099999996</v>
      </c>
      <c r="F1029">
        <v>75490.153000000006</v>
      </c>
      <c r="G1029">
        <v>76065.574200000003</v>
      </c>
      <c r="H1029">
        <v>76443.212499999994</v>
      </c>
      <c r="I1029">
        <v>10.712876744442301</v>
      </c>
      <c r="J1029">
        <v>10.664444222172804</v>
      </c>
      <c r="K1029">
        <v>10.622354145294691</v>
      </c>
      <c r="L1029">
        <v>10.611906335601001</v>
      </c>
      <c r="M1029">
        <v>10.572106855012301</v>
      </c>
      <c r="N1029">
        <v>10.535853043252372</v>
      </c>
      <c r="P1029">
        <f t="shared" si="549"/>
        <v>245290.40153326903</v>
      </c>
      <c r="Q1029">
        <f t="shared" si="550"/>
        <v>244495.4514651841</v>
      </c>
      <c r="R1029">
        <f t="shared" si="551"/>
        <v>242879.49025884076</v>
      </c>
      <c r="S1029">
        <f t="shared" si="552"/>
        <v>242867.03706803004</v>
      </c>
      <c r="T1029">
        <f t="shared" si="553"/>
        <v>241097.63145036899</v>
      </c>
      <c r="U1029">
        <f t="shared" si="554"/>
        <v>239632.37879757115</v>
      </c>
      <c r="V1029">
        <f t="shared" si="528"/>
        <v>1</v>
      </c>
      <c r="W1029">
        <f t="shared" si="529"/>
        <v>0</v>
      </c>
      <c r="X1029">
        <f t="shared" si="530"/>
        <v>0</v>
      </c>
      <c r="Y1029">
        <f t="shared" si="531"/>
        <v>0</v>
      </c>
      <c r="Z1029">
        <f t="shared" si="532"/>
        <v>0</v>
      </c>
      <c r="AA1029">
        <f t="shared" ref="AA1029" si="557">IF(MAX(P1029:U1029)=U1029, 1, 0)</f>
        <v>0</v>
      </c>
      <c r="AC1029">
        <f t="shared" si="521"/>
        <v>245290.40153326903</v>
      </c>
      <c r="AD1029">
        <f t="shared" si="522"/>
        <v>244495.4514651841</v>
      </c>
      <c r="AE1029">
        <f t="shared" si="523"/>
        <v>242879.49025884076</v>
      </c>
      <c r="AF1029">
        <f t="shared" si="524"/>
        <v>242867.03706803004</v>
      </c>
      <c r="AG1029">
        <f t="shared" si="525"/>
        <v>241097.63145036899</v>
      </c>
      <c r="AH1029">
        <f t="shared" si="526"/>
        <v>239632.37879757115</v>
      </c>
      <c r="AI1029">
        <f t="shared" si="539"/>
        <v>245290.40153326903</v>
      </c>
    </row>
    <row r="1030" spans="2:35" x14ac:dyDescent="0.3">
      <c r="B1030">
        <v>987</v>
      </c>
      <c r="C1030">
        <v>77279.655799999993</v>
      </c>
      <c r="D1030">
        <v>76691.058099999995</v>
      </c>
      <c r="E1030">
        <v>76984.580700000006</v>
      </c>
      <c r="F1030">
        <v>76919.035999999993</v>
      </c>
      <c r="G1030">
        <v>77524.178499999995</v>
      </c>
      <c r="H1030">
        <v>77918.924799999993</v>
      </c>
      <c r="I1030">
        <v>9.9669454280693</v>
      </c>
      <c r="J1030">
        <v>9.9399496913474366</v>
      </c>
      <c r="K1030">
        <v>9.9214614565282417</v>
      </c>
      <c r="L1030">
        <v>9.9160791691162569</v>
      </c>
      <c r="M1030">
        <v>9.8962221708920115</v>
      </c>
      <c r="N1030">
        <v>9.8794128107570671</v>
      </c>
      <c r="P1030">
        <f t="shared" si="549"/>
        <v>221728.70704207901</v>
      </c>
      <c r="Q1030">
        <f t="shared" si="550"/>
        <v>221507.4326404231</v>
      </c>
      <c r="R1030">
        <f t="shared" si="551"/>
        <v>220659.26299584727</v>
      </c>
      <c r="S1030">
        <f t="shared" si="552"/>
        <v>220563.3390734877</v>
      </c>
      <c r="T1030">
        <f t="shared" si="553"/>
        <v>219362.48662676039</v>
      </c>
      <c r="U1030">
        <f t="shared" si="554"/>
        <v>218463.45952271204</v>
      </c>
      <c r="V1030">
        <f t="shared" si="528"/>
        <v>1</v>
      </c>
      <c r="W1030">
        <f t="shared" si="529"/>
        <v>0</v>
      </c>
      <c r="X1030">
        <f t="shared" si="530"/>
        <v>0</v>
      </c>
      <c r="Y1030">
        <f t="shared" si="531"/>
        <v>0</v>
      </c>
      <c r="Z1030">
        <f t="shared" si="532"/>
        <v>0</v>
      </c>
      <c r="AC1030">
        <f t="shared" si="521"/>
        <v>221728.70704207901</v>
      </c>
      <c r="AD1030">
        <f t="shared" si="522"/>
        <v>221507.4326404231</v>
      </c>
      <c r="AE1030">
        <f t="shared" si="523"/>
        <v>220659.26299584727</v>
      </c>
      <c r="AF1030">
        <f t="shared" si="524"/>
        <v>220563.3390734877</v>
      </c>
      <c r="AG1030">
        <f t="shared" si="525"/>
        <v>219362.48662676039</v>
      </c>
      <c r="AH1030">
        <f t="shared" si="526"/>
        <v>218463.45952271204</v>
      </c>
      <c r="AI1030">
        <f t="shared" si="539"/>
        <v>221728.70704207901</v>
      </c>
    </row>
    <row r="1031" spans="2:35" x14ac:dyDescent="0.3">
      <c r="B1031">
        <v>988</v>
      </c>
      <c r="C1031">
        <v>71172.967499999999</v>
      </c>
      <c r="D1031">
        <v>70971.023499999996</v>
      </c>
      <c r="E1031">
        <v>71797.106400000004</v>
      </c>
      <c r="F1031">
        <v>71694.179799999998</v>
      </c>
      <c r="G1031">
        <v>72427.786399999997</v>
      </c>
      <c r="H1031">
        <v>73413.045100000003</v>
      </c>
      <c r="I1031">
        <v>11.06867365366322</v>
      </c>
      <c r="J1031">
        <v>11.050807881154949</v>
      </c>
      <c r="K1031">
        <v>11.035580458399766</v>
      </c>
      <c r="L1031">
        <v>11.028443535431183</v>
      </c>
      <c r="M1031">
        <v>11.009945803588217</v>
      </c>
      <c r="N1031">
        <v>10.991950287328342</v>
      </c>
      <c r="P1031">
        <f t="shared" si="549"/>
        <v>260887.24210989659</v>
      </c>
      <c r="Q1031">
        <f t="shared" si="550"/>
        <v>260553.21293464844</v>
      </c>
      <c r="R1031">
        <f t="shared" si="551"/>
        <v>259270.30735199299</v>
      </c>
      <c r="S1031">
        <f t="shared" si="552"/>
        <v>259159.12626293552</v>
      </c>
      <c r="T1031">
        <f t="shared" si="553"/>
        <v>257870.58770764654</v>
      </c>
      <c r="U1031">
        <f t="shared" si="554"/>
        <v>256345.46351985028</v>
      </c>
      <c r="V1031">
        <f t="shared" si="528"/>
        <v>1</v>
      </c>
      <c r="W1031">
        <f t="shared" si="529"/>
        <v>0</v>
      </c>
      <c r="X1031">
        <f t="shared" si="530"/>
        <v>0</v>
      </c>
      <c r="Y1031">
        <f t="shared" si="531"/>
        <v>0</v>
      </c>
      <c r="Z1031">
        <f t="shared" si="532"/>
        <v>0</v>
      </c>
      <c r="AA1031">
        <f t="shared" ref="AA1031" si="558">IF(MAX(P1031:U1031)=U1031, 1, 0)</f>
        <v>0</v>
      </c>
      <c r="AC1031">
        <f t="shared" si="521"/>
        <v>260887.24210989659</v>
      </c>
      <c r="AD1031">
        <f t="shared" si="522"/>
        <v>260553.21293464844</v>
      </c>
      <c r="AE1031">
        <f t="shared" si="523"/>
        <v>259270.30735199299</v>
      </c>
      <c r="AF1031">
        <f t="shared" si="524"/>
        <v>259159.12626293552</v>
      </c>
      <c r="AG1031">
        <f t="shared" si="525"/>
        <v>257870.58770764654</v>
      </c>
      <c r="AH1031">
        <f t="shared" si="526"/>
        <v>256345.46351985028</v>
      </c>
      <c r="AI1031">
        <f t="shared" si="539"/>
        <v>260887.24210989659</v>
      </c>
    </row>
    <row r="1032" spans="2:35" x14ac:dyDescent="0.3">
      <c r="B1032">
        <v>989</v>
      </c>
      <c r="C1032">
        <v>71151.165999999997</v>
      </c>
      <c r="D1032">
        <v>70656.332500000004</v>
      </c>
      <c r="E1032">
        <v>71289.663199999995</v>
      </c>
      <c r="F1032">
        <v>71250.022299999997</v>
      </c>
      <c r="G1032">
        <v>71889.787299999996</v>
      </c>
      <c r="H1032">
        <v>72467.976999999999</v>
      </c>
      <c r="I1032">
        <v>10.858499045037711</v>
      </c>
      <c r="J1032">
        <v>10.862701272923395</v>
      </c>
      <c r="K1032">
        <v>10.866246643210896</v>
      </c>
      <c r="L1032">
        <v>10.866853056287331</v>
      </c>
      <c r="M1032">
        <v>10.870326012161517</v>
      </c>
      <c r="N1032">
        <v>10.873106349494927</v>
      </c>
      <c r="P1032">
        <f t="shared" si="549"/>
        <v>254603.80535113133</v>
      </c>
      <c r="Q1032">
        <f t="shared" si="550"/>
        <v>255224.70568770182</v>
      </c>
      <c r="R1032">
        <f t="shared" si="551"/>
        <v>254697.7360963269</v>
      </c>
      <c r="S1032">
        <f t="shared" si="552"/>
        <v>254755.56938861992</v>
      </c>
      <c r="T1032">
        <f t="shared" si="553"/>
        <v>254219.99306484548</v>
      </c>
      <c r="U1032">
        <f t="shared" si="554"/>
        <v>253725.2134848478</v>
      </c>
      <c r="V1032">
        <f t="shared" si="528"/>
        <v>0</v>
      </c>
      <c r="W1032">
        <f t="shared" si="529"/>
        <v>1</v>
      </c>
      <c r="X1032">
        <f t="shared" si="530"/>
        <v>0</v>
      </c>
      <c r="Y1032">
        <f t="shared" si="531"/>
        <v>0</v>
      </c>
      <c r="Z1032">
        <f t="shared" si="532"/>
        <v>0</v>
      </c>
      <c r="AC1032">
        <f t="shared" si="521"/>
        <v>254603.80535113133</v>
      </c>
      <c r="AD1032">
        <f t="shared" si="522"/>
        <v>255224.70568770182</v>
      </c>
      <c r="AE1032">
        <f t="shared" si="523"/>
        <v>254697.7360963269</v>
      </c>
      <c r="AF1032">
        <f t="shared" si="524"/>
        <v>254755.56938861992</v>
      </c>
      <c r="AG1032">
        <f t="shared" si="525"/>
        <v>254219.99306484548</v>
      </c>
      <c r="AH1032">
        <f t="shared" si="526"/>
        <v>253725.2134848478</v>
      </c>
      <c r="AI1032">
        <f t="shared" si="539"/>
        <v>255224.70568770182</v>
      </c>
    </row>
    <row r="1033" spans="2:35" x14ac:dyDescent="0.3">
      <c r="B1033">
        <v>990</v>
      </c>
      <c r="C1033">
        <v>75114.364499999996</v>
      </c>
      <c r="D1033">
        <v>74207.822100000005</v>
      </c>
      <c r="E1033">
        <v>74622.193100000004</v>
      </c>
      <c r="F1033">
        <v>74491.797200000001</v>
      </c>
      <c r="G1033">
        <v>74910.1495</v>
      </c>
      <c r="H1033">
        <v>75438.825400000002</v>
      </c>
      <c r="I1033">
        <v>9.7230472939135169</v>
      </c>
      <c r="J1033">
        <v>9.7045536695357537</v>
      </c>
      <c r="K1033">
        <v>9.6876953185608201</v>
      </c>
      <c r="L1033">
        <v>9.6858086411560365</v>
      </c>
      <c r="M1033">
        <v>9.6669920491453514</v>
      </c>
      <c r="N1033">
        <v>9.6513706357282292</v>
      </c>
      <c r="P1033">
        <f t="shared" si="549"/>
        <v>216577.05431740553</v>
      </c>
      <c r="Q1033">
        <f t="shared" si="550"/>
        <v>216928.7879860726</v>
      </c>
      <c r="R1033">
        <f t="shared" si="551"/>
        <v>216008.66645682461</v>
      </c>
      <c r="S1033">
        <f t="shared" si="552"/>
        <v>216082.46203468108</v>
      </c>
      <c r="T1033">
        <f t="shared" si="553"/>
        <v>215099.61197436054</v>
      </c>
      <c r="U1033">
        <f t="shared" si="554"/>
        <v>214102.29367184688</v>
      </c>
      <c r="V1033">
        <f t="shared" si="528"/>
        <v>0</v>
      </c>
      <c r="W1033">
        <f t="shared" si="529"/>
        <v>1</v>
      </c>
      <c r="X1033">
        <f t="shared" si="530"/>
        <v>0</v>
      </c>
      <c r="Y1033">
        <f t="shared" si="531"/>
        <v>0</v>
      </c>
      <c r="Z1033">
        <f t="shared" si="532"/>
        <v>0</v>
      </c>
      <c r="AA1033">
        <f t="shared" ref="AA1033" si="559">IF(MAX(P1033:U1033)=U1033, 1, 0)</f>
        <v>0</v>
      </c>
      <c r="AC1033">
        <f t="shared" si="521"/>
        <v>216577.05431740553</v>
      </c>
      <c r="AD1033">
        <f t="shared" si="522"/>
        <v>216928.7879860726</v>
      </c>
      <c r="AE1033">
        <f t="shared" si="523"/>
        <v>216008.66645682461</v>
      </c>
      <c r="AF1033">
        <f t="shared" si="524"/>
        <v>216082.46203468108</v>
      </c>
      <c r="AG1033">
        <f t="shared" si="525"/>
        <v>215099.61197436054</v>
      </c>
      <c r="AH1033">
        <f t="shared" si="526"/>
        <v>214102.29367184688</v>
      </c>
      <c r="AI1033">
        <f t="shared" si="539"/>
        <v>216928.7879860726</v>
      </c>
    </row>
    <row r="1034" spans="2:35" x14ac:dyDescent="0.3">
      <c r="B1034">
        <v>991</v>
      </c>
      <c r="C1034">
        <v>78631.216199999995</v>
      </c>
      <c r="D1034">
        <v>78471.498000000007</v>
      </c>
      <c r="E1034">
        <v>79454.304499999998</v>
      </c>
      <c r="F1034">
        <v>79592.207999999999</v>
      </c>
      <c r="G1034">
        <v>80670.615300000005</v>
      </c>
      <c r="H1034">
        <v>81760.779399999999</v>
      </c>
      <c r="I1034">
        <v>11.280771969216149</v>
      </c>
      <c r="J1034">
        <v>11.240638099258573</v>
      </c>
      <c r="K1034">
        <v>11.203104392613906</v>
      </c>
      <c r="L1034">
        <v>11.195472132267593</v>
      </c>
      <c r="M1034">
        <v>11.159941821379734</v>
      </c>
      <c r="N1034">
        <v>11.119458502528593</v>
      </c>
      <c r="P1034">
        <f t="shared" si="549"/>
        <v>259791.94287648445</v>
      </c>
      <c r="Q1034">
        <f t="shared" si="550"/>
        <v>258747.64497775718</v>
      </c>
      <c r="R1034">
        <f t="shared" si="551"/>
        <v>256638.82727841716</v>
      </c>
      <c r="S1034">
        <f t="shared" si="552"/>
        <v>256271.95596802782</v>
      </c>
      <c r="T1034">
        <f t="shared" si="553"/>
        <v>254127.63934139203</v>
      </c>
      <c r="U1034">
        <f t="shared" si="554"/>
        <v>251822.9756758578</v>
      </c>
      <c r="V1034">
        <f t="shared" si="528"/>
        <v>1</v>
      </c>
      <c r="W1034">
        <f t="shared" si="529"/>
        <v>0</v>
      </c>
      <c r="X1034">
        <f t="shared" si="530"/>
        <v>0</v>
      </c>
      <c r="Y1034">
        <f t="shared" si="531"/>
        <v>0</v>
      </c>
      <c r="Z1034">
        <f t="shared" si="532"/>
        <v>0</v>
      </c>
      <c r="AC1034">
        <f t="shared" si="521"/>
        <v>259791.94287648445</v>
      </c>
      <c r="AD1034">
        <f t="shared" si="522"/>
        <v>258747.64497775718</v>
      </c>
      <c r="AE1034">
        <f t="shared" si="523"/>
        <v>256638.82727841716</v>
      </c>
      <c r="AF1034">
        <f t="shared" si="524"/>
        <v>256271.95596802782</v>
      </c>
      <c r="AG1034">
        <f t="shared" si="525"/>
        <v>254127.63934139203</v>
      </c>
      <c r="AH1034">
        <f t="shared" si="526"/>
        <v>251822.9756758578</v>
      </c>
      <c r="AI1034">
        <f t="shared" si="539"/>
        <v>259791.94287648445</v>
      </c>
    </row>
    <row r="1035" spans="2:35" x14ac:dyDescent="0.3">
      <c r="B1035">
        <v>992</v>
      </c>
      <c r="C1035">
        <v>63982.349000000002</v>
      </c>
      <c r="D1035">
        <v>63659.923799999997</v>
      </c>
      <c r="E1035">
        <v>64162.753799999999</v>
      </c>
      <c r="F1035">
        <v>64092.210899999998</v>
      </c>
      <c r="G1035">
        <v>64499.567999999999</v>
      </c>
      <c r="H1035">
        <v>65465.944799999997</v>
      </c>
      <c r="I1035">
        <v>10.483805953693182</v>
      </c>
      <c r="J1035">
        <v>10.445538508262889</v>
      </c>
      <c r="K1035">
        <v>10.427235205578794</v>
      </c>
      <c r="L1035">
        <v>10.419695811887671</v>
      </c>
      <c r="M1035">
        <v>10.391696146661968</v>
      </c>
      <c r="N1035">
        <v>10.366910361147445</v>
      </c>
      <c r="P1035">
        <f t="shared" si="549"/>
        <v>250531.82961079548</v>
      </c>
      <c r="Q1035">
        <f t="shared" si="550"/>
        <v>249706.23144788668</v>
      </c>
      <c r="R1035">
        <f t="shared" si="551"/>
        <v>248654.30236736382</v>
      </c>
      <c r="S1035">
        <f t="shared" si="552"/>
        <v>248498.66345663014</v>
      </c>
      <c r="T1035">
        <f t="shared" si="553"/>
        <v>247251.316399859</v>
      </c>
      <c r="U1035">
        <f t="shared" si="554"/>
        <v>245541.36603442335</v>
      </c>
      <c r="V1035">
        <f t="shared" si="528"/>
        <v>1</v>
      </c>
      <c r="W1035">
        <f t="shared" si="529"/>
        <v>0</v>
      </c>
      <c r="X1035">
        <f t="shared" si="530"/>
        <v>0</v>
      </c>
      <c r="Y1035">
        <f t="shared" si="531"/>
        <v>0</v>
      </c>
      <c r="Z1035">
        <f t="shared" si="532"/>
        <v>0</v>
      </c>
      <c r="AA1035">
        <f t="shared" ref="AA1035" si="560">IF(MAX(P1035:U1035)=U1035, 1, 0)</f>
        <v>0</v>
      </c>
      <c r="AC1035">
        <f t="shared" si="521"/>
        <v>250531.82961079548</v>
      </c>
      <c r="AD1035">
        <f t="shared" si="522"/>
        <v>249706.23144788668</v>
      </c>
      <c r="AE1035">
        <f t="shared" si="523"/>
        <v>248654.30236736382</v>
      </c>
      <c r="AF1035">
        <f t="shared" si="524"/>
        <v>248498.66345663014</v>
      </c>
      <c r="AG1035">
        <f t="shared" si="525"/>
        <v>247251.316399859</v>
      </c>
      <c r="AH1035">
        <f t="shared" si="526"/>
        <v>245541.36603442335</v>
      </c>
      <c r="AI1035">
        <f t="shared" si="539"/>
        <v>250531.82961079548</v>
      </c>
    </row>
    <row r="1036" spans="2:35" x14ac:dyDescent="0.3">
      <c r="B1036">
        <v>993</v>
      </c>
      <c r="C1036">
        <v>95319.288100000005</v>
      </c>
      <c r="D1036">
        <v>93938.604099999997</v>
      </c>
      <c r="E1036">
        <v>94091.720799999996</v>
      </c>
      <c r="F1036">
        <v>93857.146900000007</v>
      </c>
      <c r="G1036">
        <v>93678.412599999996</v>
      </c>
      <c r="H1036">
        <v>93812.1492</v>
      </c>
      <c r="I1036">
        <v>10.433156169357222</v>
      </c>
      <c r="J1036">
        <v>10.398724914189133</v>
      </c>
      <c r="K1036">
        <v>10.375183589661036</v>
      </c>
      <c r="L1036">
        <v>10.371007759520737</v>
      </c>
      <c r="M1036">
        <v>10.34003919353642</v>
      </c>
      <c r="N1036">
        <v>10.312668077726407</v>
      </c>
      <c r="P1036">
        <f t="shared" si="549"/>
        <v>217675.39698071667</v>
      </c>
      <c r="Q1036">
        <f t="shared" si="550"/>
        <v>218023.143325674</v>
      </c>
      <c r="R1036">
        <f t="shared" si="551"/>
        <v>217163.78688983107</v>
      </c>
      <c r="S1036">
        <f t="shared" si="552"/>
        <v>217273.08588562213</v>
      </c>
      <c r="T1036">
        <f t="shared" si="553"/>
        <v>216522.76320609258</v>
      </c>
      <c r="U1036">
        <f t="shared" si="554"/>
        <v>215567.89313179225</v>
      </c>
      <c r="V1036">
        <f t="shared" si="528"/>
        <v>0</v>
      </c>
      <c r="W1036">
        <f t="shared" si="529"/>
        <v>1</v>
      </c>
      <c r="X1036">
        <f t="shared" si="530"/>
        <v>0</v>
      </c>
      <c r="Y1036">
        <f t="shared" si="531"/>
        <v>0</v>
      </c>
      <c r="Z1036">
        <f t="shared" si="532"/>
        <v>0</v>
      </c>
      <c r="AC1036">
        <f t="shared" si="521"/>
        <v>217675.39698071667</v>
      </c>
      <c r="AD1036">
        <f t="shared" si="522"/>
        <v>218023.143325674</v>
      </c>
      <c r="AE1036">
        <f t="shared" si="523"/>
        <v>217163.78688983107</v>
      </c>
      <c r="AF1036">
        <f t="shared" si="524"/>
        <v>217273.08588562213</v>
      </c>
      <c r="AG1036">
        <f t="shared" si="525"/>
        <v>216522.76320609258</v>
      </c>
      <c r="AH1036">
        <f t="shared" si="526"/>
        <v>215567.89313179225</v>
      </c>
      <c r="AI1036">
        <f t="shared" si="539"/>
        <v>218023.143325674</v>
      </c>
    </row>
    <row r="1037" spans="2:35" x14ac:dyDescent="0.3">
      <c r="B1037">
        <v>994</v>
      </c>
      <c r="C1037">
        <v>73135.740900000004</v>
      </c>
      <c r="D1037">
        <v>72669.384900000005</v>
      </c>
      <c r="E1037">
        <v>73751.241599999994</v>
      </c>
      <c r="F1037">
        <v>73861.747700000007</v>
      </c>
      <c r="G1037">
        <v>74458.039399999994</v>
      </c>
      <c r="H1037">
        <v>75279.872199999998</v>
      </c>
      <c r="I1037">
        <v>9.0517099012169062</v>
      </c>
      <c r="J1037">
        <v>9.0392511352587359</v>
      </c>
      <c r="K1037">
        <v>9.0265373664957735</v>
      </c>
      <c r="L1037">
        <v>9.0201567680574968</v>
      </c>
      <c r="M1037">
        <v>9.0105070821836506</v>
      </c>
      <c r="N1037">
        <v>8.99501378083656</v>
      </c>
      <c r="P1037">
        <f t="shared" si="549"/>
        <v>198415.55613650716</v>
      </c>
      <c r="Q1037">
        <f t="shared" si="550"/>
        <v>198508.14915776206</v>
      </c>
      <c r="R1037">
        <f t="shared" si="551"/>
        <v>197044.87939487322</v>
      </c>
      <c r="S1037">
        <f t="shared" si="552"/>
        <v>196742.95534172491</v>
      </c>
      <c r="T1037">
        <f t="shared" si="553"/>
        <v>195857.17306550953</v>
      </c>
      <c r="U1037">
        <f t="shared" si="554"/>
        <v>194570.54122509679</v>
      </c>
      <c r="V1037">
        <f t="shared" si="528"/>
        <v>0</v>
      </c>
      <c r="W1037">
        <f t="shared" si="529"/>
        <v>1</v>
      </c>
      <c r="X1037">
        <f t="shared" si="530"/>
        <v>0</v>
      </c>
      <c r="Y1037">
        <f t="shared" si="531"/>
        <v>0</v>
      </c>
      <c r="Z1037">
        <f t="shared" si="532"/>
        <v>0</v>
      </c>
      <c r="AA1037">
        <f t="shared" ref="AA1037" si="561">IF(MAX(P1037:U1037)=U1037, 1, 0)</f>
        <v>0</v>
      </c>
      <c r="AC1037">
        <f t="shared" si="521"/>
        <v>198415.55613650716</v>
      </c>
      <c r="AD1037">
        <f t="shared" si="522"/>
        <v>198508.14915776206</v>
      </c>
      <c r="AE1037">
        <f t="shared" si="523"/>
        <v>197044.87939487322</v>
      </c>
      <c r="AF1037">
        <f t="shared" si="524"/>
        <v>196742.95534172491</v>
      </c>
      <c r="AG1037">
        <f t="shared" si="525"/>
        <v>195857.17306550953</v>
      </c>
      <c r="AH1037">
        <f t="shared" si="526"/>
        <v>194570.54122509679</v>
      </c>
      <c r="AI1037">
        <f t="shared" si="539"/>
        <v>198508.14915776206</v>
      </c>
    </row>
    <row r="1038" spans="2:35" x14ac:dyDescent="0.3">
      <c r="B1038">
        <v>995</v>
      </c>
      <c r="C1038">
        <v>73771.594400000002</v>
      </c>
      <c r="D1038">
        <v>73153.861699999994</v>
      </c>
      <c r="E1038">
        <v>73705.931100000002</v>
      </c>
      <c r="F1038">
        <v>73795.754400000005</v>
      </c>
      <c r="G1038">
        <v>74260.381500000003</v>
      </c>
      <c r="H1038">
        <v>74655.1057</v>
      </c>
      <c r="I1038">
        <v>10.506041092752477</v>
      </c>
      <c r="J1038">
        <v>10.498016640708814</v>
      </c>
      <c r="K1038">
        <v>10.490970866746204</v>
      </c>
      <c r="L1038">
        <v>10.489358468764532</v>
      </c>
      <c r="M1038">
        <v>10.481583722947146</v>
      </c>
      <c r="N1038">
        <v>10.476576310826731</v>
      </c>
      <c r="P1038">
        <f t="shared" si="549"/>
        <v>241409.63838257431</v>
      </c>
      <c r="Q1038">
        <f t="shared" si="550"/>
        <v>241786.63752126443</v>
      </c>
      <c r="R1038">
        <f t="shared" si="551"/>
        <v>241023.19490238617</v>
      </c>
      <c r="S1038">
        <f t="shared" si="552"/>
        <v>240884.99966293594</v>
      </c>
      <c r="T1038">
        <f t="shared" si="553"/>
        <v>240187.13018841436</v>
      </c>
      <c r="U1038">
        <f t="shared" si="554"/>
        <v>239642.18362480192</v>
      </c>
      <c r="V1038">
        <f t="shared" si="528"/>
        <v>0</v>
      </c>
      <c r="W1038">
        <f t="shared" si="529"/>
        <v>1</v>
      </c>
      <c r="X1038">
        <f t="shared" si="530"/>
        <v>0</v>
      </c>
      <c r="Y1038">
        <f t="shared" si="531"/>
        <v>0</v>
      </c>
      <c r="Z1038">
        <f t="shared" si="532"/>
        <v>0</v>
      </c>
      <c r="AC1038">
        <f t="shared" si="521"/>
        <v>241409.63838257431</v>
      </c>
      <c r="AD1038">
        <f t="shared" si="522"/>
        <v>241786.63752126443</v>
      </c>
      <c r="AE1038">
        <f t="shared" si="523"/>
        <v>241023.19490238617</v>
      </c>
      <c r="AF1038">
        <f t="shared" si="524"/>
        <v>240884.99966293594</v>
      </c>
      <c r="AG1038">
        <f t="shared" si="525"/>
        <v>240187.13018841436</v>
      </c>
      <c r="AH1038">
        <f t="shared" si="526"/>
        <v>239642.18362480192</v>
      </c>
      <c r="AI1038">
        <f t="shared" si="539"/>
        <v>241786.63752126443</v>
      </c>
    </row>
    <row r="1039" spans="2:35" x14ac:dyDescent="0.3">
      <c r="B1039">
        <v>996</v>
      </c>
      <c r="C1039">
        <v>77629.032800000001</v>
      </c>
      <c r="D1039">
        <v>77193.513099999996</v>
      </c>
      <c r="E1039">
        <v>77862.201700000005</v>
      </c>
      <c r="F1039">
        <v>77985.232999999993</v>
      </c>
      <c r="G1039">
        <v>79027.095199999996</v>
      </c>
      <c r="H1039">
        <v>79566.014800000004</v>
      </c>
      <c r="I1039">
        <v>10.965835668354094</v>
      </c>
      <c r="J1039">
        <v>10.930704413247161</v>
      </c>
      <c r="K1039">
        <v>10.904543680132363</v>
      </c>
      <c r="L1039">
        <v>10.895640602321267</v>
      </c>
      <c r="M1039">
        <v>10.861887543755026</v>
      </c>
      <c r="N1039">
        <v>10.830607585449002</v>
      </c>
      <c r="P1039">
        <f t="shared" si="549"/>
        <v>251346.03725062282</v>
      </c>
      <c r="Q1039">
        <f t="shared" si="550"/>
        <v>250727.61929741484</v>
      </c>
      <c r="R1039">
        <f t="shared" si="551"/>
        <v>249274.10870397088</v>
      </c>
      <c r="S1039">
        <f t="shared" si="552"/>
        <v>248883.985069638</v>
      </c>
      <c r="T1039">
        <f t="shared" si="553"/>
        <v>246829.53111265082</v>
      </c>
      <c r="U1039">
        <f t="shared" si="554"/>
        <v>245352.21276347007</v>
      </c>
      <c r="V1039">
        <f t="shared" si="528"/>
        <v>1</v>
      </c>
      <c r="W1039">
        <f t="shared" si="529"/>
        <v>0</v>
      </c>
      <c r="X1039">
        <f t="shared" si="530"/>
        <v>0</v>
      </c>
      <c r="Y1039">
        <f t="shared" si="531"/>
        <v>0</v>
      </c>
      <c r="Z1039">
        <f t="shared" si="532"/>
        <v>0</v>
      </c>
      <c r="AA1039">
        <f t="shared" ref="AA1039" si="562">IF(MAX(P1039:U1039)=U1039, 1, 0)</f>
        <v>0</v>
      </c>
      <c r="AC1039">
        <f t="shared" si="521"/>
        <v>251346.03725062282</v>
      </c>
      <c r="AD1039">
        <f t="shared" si="522"/>
        <v>250727.61929741484</v>
      </c>
      <c r="AE1039">
        <f t="shared" si="523"/>
        <v>249274.10870397088</v>
      </c>
      <c r="AF1039">
        <f t="shared" si="524"/>
        <v>248883.985069638</v>
      </c>
      <c r="AG1039">
        <f t="shared" si="525"/>
        <v>246829.53111265082</v>
      </c>
      <c r="AH1039">
        <f t="shared" si="526"/>
        <v>245352.21276347007</v>
      </c>
      <c r="AI1039">
        <f t="shared" si="539"/>
        <v>251346.03725062282</v>
      </c>
    </row>
    <row r="1040" spans="2:35" x14ac:dyDescent="0.3">
      <c r="B1040">
        <v>997</v>
      </c>
      <c r="C1040">
        <v>81994.168099999995</v>
      </c>
      <c r="D1040">
        <v>80810.792600000001</v>
      </c>
      <c r="E1040">
        <v>80708.234299999996</v>
      </c>
      <c r="F1040">
        <v>80450.313599999994</v>
      </c>
      <c r="G1040">
        <v>80592.573399999994</v>
      </c>
      <c r="H1040">
        <v>80439.4614</v>
      </c>
      <c r="I1040">
        <v>10.51137731513688</v>
      </c>
      <c r="J1040">
        <v>10.496054026055418</v>
      </c>
      <c r="K1040">
        <v>10.487006749492881</v>
      </c>
      <c r="L1040">
        <v>10.48313442331294</v>
      </c>
      <c r="M1040">
        <v>10.475088196626773</v>
      </c>
      <c r="N1040">
        <v>10.459583522387021</v>
      </c>
      <c r="P1040">
        <f t="shared" si="549"/>
        <v>233347.15135410638</v>
      </c>
      <c r="Q1040">
        <f t="shared" si="550"/>
        <v>234070.82818166254</v>
      </c>
      <c r="R1040">
        <f t="shared" si="551"/>
        <v>233901.96818478644</v>
      </c>
      <c r="S1040">
        <f t="shared" si="552"/>
        <v>234043.71909938823</v>
      </c>
      <c r="T1040">
        <f t="shared" si="553"/>
        <v>233660.0724988032</v>
      </c>
      <c r="U1040">
        <f t="shared" si="554"/>
        <v>233348.04427161065</v>
      </c>
      <c r="V1040">
        <f t="shared" si="528"/>
        <v>0</v>
      </c>
      <c r="W1040">
        <f t="shared" si="529"/>
        <v>1</v>
      </c>
      <c r="X1040">
        <f t="shared" si="530"/>
        <v>0</v>
      </c>
      <c r="Y1040">
        <f t="shared" si="531"/>
        <v>0</v>
      </c>
      <c r="Z1040">
        <f t="shared" si="532"/>
        <v>0</v>
      </c>
      <c r="AC1040">
        <f t="shared" si="521"/>
        <v>233347.15135410638</v>
      </c>
      <c r="AD1040">
        <f t="shared" si="522"/>
        <v>234070.82818166254</v>
      </c>
      <c r="AE1040">
        <f t="shared" si="523"/>
        <v>233901.96818478644</v>
      </c>
      <c r="AF1040">
        <f t="shared" si="524"/>
        <v>234043.71909938823</v>
      </c>
      <c r="AG1040">
        <f t="shared" si="525"/>
        <v>233660.0724988032</v>
      </c>
      <c r="AH1040">
        <f t="shared" si="526"/>
        <v>233348.04427161065</v>
      </c>
      <c r="AI1040">
        <f t="shared" si="539"/>
        <v>234070.82818166254</v>
      </c>
    </row>
    <row r="1041" spans="2:35" x14ac:dyDescent="0.3">
      <c r="B1041">
        <v>998</v>
      </c>
      <c r="C1041">
        <v>76041.2016</v>
      </c>
      <c r="D1041">
        <v>75335.857300000003</v>
      </c>
      <c r="E1041">
        <v>75809.054199999999</v>
      </c>
      <c r="F1041">
        <v>75871.580700000006</v>
      </c>
      <c r="G1041">
        <v>76337.2359</v>
      </c>
      <c r="H1041">
        <v>77021.566800000001</v>
      </c>
      <c r="I1041">
        <v>10.083461138378508</v>
      </c>
      <c r="J1041">
        <v>10.069251902016298</v>
      </c>
      <c r="K1041">
        <v>10.057885441821991</v>
      </c>
      <c r="L1041">
        <v>10.053023829330456</v>
      </c>
      <c r="M1041">
        <v>10.039377612764859</v>
      </c>
      <c r="N1041">
        <v>10.028031173894368</v>
      </c>
      <c r="P1041">
        <f t="shared" si="549"/>
        <v>226462.63255135526</v>
      </c>
      <c r="Q1041">
        <f t="shared" si="550"/>
        <v>226741.6997604889</v>
      </c>
      <c r="R1041">
        <f t="shared" si="551"/>
        <v>225927.50905465975</v>
      </c>
      <c r="S1041">
        <f t="shared" si="552"/>
        <v>225719.13417991367</v>
      </c>
      <c r="T1041">
        <f t="shared" si="553"/>
        <v>224844.09248294579</v>
      </c>
      <c r="U1041">
        <f t="shared" si="554"/>
        <v>223819.36841683104</v>
      </c>
      <c r="V1041">
        <f t="shared" si="528"/>
        <v>0</v>
      </c>
      <c r="W1041">
        <f t="shared" si="529"/>
        <v>1</v>
      </c>
      <c r="X1041">
        <f t="shared" si="530"/>
        <v>0</v>
      </c>
      <c r="Y1041">
        <f t="shared" si="531"/>
        <v>0</v>
      </c>
      <c r="Z1041">
        <f t="shared" si="532"/>
        <v>0</v>
      </c>
      <c r="AA1041">
        <f t="shared" ref="AA1041" si="563">IF(MAX(P1041:U1041)=U1041, 1, 0)</f>
        <v>0</v>
      </c>
      <c r="AC1041">
        <f t="shared" si="521"/>
        <v>226462.63255135526</v>
      </c>
      <c r="AD1041">
        <f t="shared" si="522"/>
        <v>226741.6997604889</v>
      </c>
      <c r="AE1041">
        <f t="shared" si="523"/>
        <v>225927.50905465975</v>
      </c>
      <c r="AF1041">
        <f t="shared" si="524"/>
        <v>225719.13417991367</v>
      </c>
      <c r="AG1041">
        <f t="shared" si="525"/>
        <v>224844.09248294579</v>
      </c>
      <c r="AH1041">
        <f t="shared" si="526"/>
        <v>223819.36841683104</v>
      </c>
      <c r="AI1041">
        <f t="shared" si="539"/>
        <v>226741.6997604889</v>
      </c>
    </row>
    <row r="1042" spans="2:35" x14ac:dyDescent="0.3">
      <c r="B1042">
        <v>999</v>
      </c>
      <c r="C1042">
        <v>75189.898499999996</v>
      </c>
      <c r="D1042">
        <v>74449.811199999996</v>
      </c>
      <c r="E1042">
        <v>74988.766199999998</v>
      </c>
      <c r="F1042">
        <v>74834.437399999995</v>
      </c>
      <c r="G1042">
        <v>75254.549899999998</v>
      </c>
      <c r="H1042">
        <v>75794.0821</v>
      </c>
      <c r="I1042">
        <v>8.7192436316586654</v>
      </c>
      <c r="J1042">
        <v>8.6890340810428075</v>
      </c>
      <c r="K1042">
        <v>8.6635446443336264</v>
      </c>
      <c r="L1042">
        <v>8.6537996471121588</v>
      </c>
      <c r="M1042">
        <v>8.6267504367236842</v>
      </c>
      <c r="N1042">
        <v>8.5944583704945021</v>
      </c>
      <c r="P1042">
        <f t="shared" si="549"/>
        <v>186387.41044975998</v>
      </c>
      <c r="Q1042">
        <f t="shared" si="550"/>
        <v>186221.21123128422</v>
      </c>
      <c r="R1042">
        <f t="shared" si="551"/>
        <v>184917.57313000876</v>
      </c>
      <c r="S1042">
        <f t="shared" si="552"/>
        <v>184779.55201336477</v>
      </c>
      <c r="T1042">
        <f t="shared" si="553"/>
        <v>183547.96320171055</v>
      </c>
      <c r="U1042">
        <f t="shared" si="554"/>
        <v>182039.66901483506</v>
      </c>
      <c r="V1042">
        <f t="shared" si="528"/>
        <v>1</v>
      </c>
      <c r="W1042">
        <f t="shared" si="529"/>
        <v>0</v>
      </c>
      <c r="X1042">
        <f t="shared" si="530"/>
        <v>0</v>
      </c>
      <c r="Y1042">
        <f t="shared" si="531"/>
        <v>0</v>
      </c>
      <c r="Z1042">
        <f t="shared" si="532"/>
        <v>0</v>
      </c>
      <c r="AC1042">
        <f t="shared" si="521"/>
        <v>186387.41044975998</v>
      </c>
      <c r="AD1042">
        <f t="shared" si="522"/>
        <v>186221.21123128422</v>
      </c>
      <c r="AE1042">
        <f t="shared" si="523"/>
        <v>184917.57313000876</v>
      </c>
      <c r="AF1042">
        <f t="shared" si="524"/>
        <v>184779.55201336477</v>
      </c>
      <c r="AG1042">
        <f t="shared" si="525"/>
        <v>183547.96320171055</v>
      </c>
      <c r="AH1042">
        <f t="shared" si="526"/>
        <v>182039.66901483506</v>
      </c>
      <c r="AI1042">
        <f t="shared" si="539"/>
        <v>186387.41044975998</v>
      </c>
    </row>
    <row r="1043" spans="2:35" x14ac:dyDescent="0.3">
      <c r="B1043">
        <v>1000</v>
      </c>
      <c r="C1043">
        <v>80660.208700000003</v>
      </c>
      <c r="D1043">
        <v>81013.226899999994</v>
      </c>
      <c r="E1043">
        <v>81865.194499999998</v>
      </c>
      <c r="F1043">
        <v>82078.053799999994</v>
      </c>
      <c r="G1043">
        <v>83484.852899999998</v>
      </c>
      <c r="H1043">
        <v>84515.540200000003</v>
      </c>
      <c r="I1043">
        <v>11.040617072660021</v>
      </c>
      <c r="J1043">
        <v>11.022470662963229</v>
      </c>
      <c r="K1043">
        <v>11.01314194477415</v>
      </c>
      <c r="L1043">
        <v>11.011879443777211</v>
      </c>
      <c r="M1043">
        <v>10.992744230005103</v>
      </c>
      <c r="N1043">
        <v>10.981502670432096</v>
      </c>
      <c r="P1043">
        <f t="shared" si="549"/>
        <v>250558.30347980064</v>
      </c>
      <c r="Q1043">
        <f t="shared" si="550"/>
        <v>249660.89298889687</v>
      </c>
      <c r="R1043">
        <f t="shared" si="551"/>
        <v>248529.06384322449</v>
      </c>
      <c r="S1043">
        <f t="shared" si="552"/>
        <v>248278.32951331633</v>
      </c>
      <c r="T1043">
        <f t="shared" si="553"/>
        <v>246297.47400015307</v>
      </c>
      <c r="U1043">
        <f t="shared" si="554"/>
        <v>244929.53991296288</v>
      </c>
      <c r="V1043">
        <f t="shared" si="528"/>
        <v>1</v>
      </c>
      <c r="W1043">
        <f t="shared" si="529"/>
        <v>0</v>
      </c>
      <c r="X1043">
        <f t="shared" si="530"/>
        <v>0</v>
      </c>
      <c r="Y1043">
        <f t="shared" si="531"/>
        <v>0</v>
      </c>
      <c r="Z1043">
        <f t="shared" si="532"/>
        <v>0</v>
      </c>
      <c r="AA1043">
        <f t="shared" ref="AA1043" si="564">IF(MAX(P1043:U1043)=U1043, 1, 0)</f>
        <v>0</v>
      </c>
      <c r="AC1043">
        <f t="shared" si="521"/>
        <v>250558.30347980064</v>
      </c>
      <c r="AD1043">
        <f t="shared" si="522"/>
        <v>249660.89298889687</v>
      </c>
      <c r="AE1043">
        <f t="shared" si="523"/>
        <v>248529.06384322449</v>
      </c>
      <c r="AF1043">
        <f t="shared" si="524"/>
        <v>248278.32951331633</v>
      </c>
      <c r="AG1043">
        <f t="shared" si="525"/>
        <v>246297.47400015307</v>
      </c>
      <c r="AH1043">
        <f t="shared" si="526"/>
        <v>244929.53991296288</v>
      </c>
      <c r="AI1043">
        <f t="shared" si="539"/>
        <v>250558.30347980064</v>
      </c>
    </row>
  </sheetData>
  <mergeCells count="7">
    <mergeCell ref="AB1:AB1048576"/>
    <mergeCell ref="AJ1:AJ1048576"/>
    <mergeCell ref="C38:H38"/>
    <mergeCell ref="I38:N38"/>
    <mergeCell ref="C8:H8"/>
    <mergeCell ref="I8:N8"/>
    <mergeCell ref="O1:O104857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unPSA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78</vt:i4>
      </vt:variant>
    </vt:vector>
  </HeadingPairs>
  <TitlesOfParts>
    <vt:vector size="84" baseType="lpstr">
      <vt:lpstr>Baseline Analysis</vt:lpstr>
      <vt:lpstr>Cost Adjust Factors Index</vt:lpstr>
      <vt:lpstr>Decision Tree</vt:lpstr>
      <vt:lpstr>Markov Transition Matrix </vt:lpstr>
      <vt:lpstr>ICER &amp; DSA</vt:lpstr>
      <vt:lpstr>PSA</vt:lpstr>
      <vt:lpstr>Ad_0823</vt:lpstr>
      <vt:lpstr>Ad_2123</vt:lpstr>
      <vt:lpstr>adf_1523</vt:lpstr>
      <vt:lpstr>adf_2123</vt:lpstr>
      <vt:lpstr>Cst_amb</vt:lpstr>
      <vt:lpstr>Cst_ann_lar16</vt:lpstr>
      <vt:lpstr>Cst_ann_sma16</vt:lpstr>
      <vt:lpstr>Cst_btw916_hosp</vt:lpstr>
      <vt:lpstr>Cst_lar16_hosp</vt:lpstr>
      <vt:lpstr>Cst_lar16_life</vt:lpstr>
      <vt:lpstr>Cst_lar16_MTC</vt:lpstr>
      <vt:lpstr>Cst_post_lar16_local</vt:lpstr>
      <vt:lpstr>Cst_post_lar16_mtc</vt:lpstr>
      <vt:lpstr>Cst_post_sma16_local</vt:lpstr>
      <vt:lpstr>Cst_post_sma16_mtc</vt:lpstr>
      <vt:lpstr>Cst_R1</vt:lpstr>
      <vt:lpstr>'Markov Transition Matrix '!Cst_R1_life</vt:lpstr>
      <vt:lpstr>Cst_R1_Total</vt:lpstr>
      <vt:lpstr>Cst_R2</vt:lpstr>
      <vt:lpstr>'Markov Transition Matrix '!Cst_R2_life</vt:lpstr>
      <vt:lpstr>Cst_R2_Total</vt:lpstr>
      <vt:lpstr>Cst_R3</vt:lpstr>
      <vt:lpstr>'Markov Transition Matrix '!Cst_R3_life</vt:lpstr>
      <vt:lpstr>Cst_R3_Total</vt:lpstr>
      <vt:lpstr>Cst_R4</vt:lpstr>
      <vt:lpstr>'Markov Transition Matrix '!Cst_R4_life</vt:lpstr>
      <vt:lpstr>Cst_R4_Total</vt:lpstr>
      <vt:lpstr>Cst_R5</vt:lpstr>
      <vt:lpstr>'Markov Transition Matrix '!Cst_R5_life</vt:lpstr>
      <vt:lpstr>Cst_R5_Total</vt:lpstr>
      <vt:lpstr>Cst_R6</vt:lpstr>
      <vt:lpstr>Cst_R6_Total</vt:lpstr>
      <vt:lpstr>Cst_sma16_life</vt:lpstr>
      <vt:lpstr>Cst_sma16_MTC</vt:lpstr>
      <vt:lpstr>Cst_sma9_hosp</vt:lpstr>
      <vt:lpstr>dis_rt</vt:lpstr>
      <vt:lpstr>HR_lar16</vt:lpstr>
      <vt:lpstr>HR_sma16</vt:lpstr>
      <vt:lpstr>PPP_08</vt:lpstr>
      <vt:lpstr>Prob_ISS_btw916</vt:lpstr>
      <vt:lpstr>Prob_ISS_lag16</vt:lpstr>
      <vt:lpstr>Prob_ISS_sma9</vt:lpstr>
      <vt:lpstr>Prob_Min1y_lar16_mtc</vt:lpstr>
      <vt:lpstr>Prob_Min1y_sma16</vt:lpstr>
      <vt:lpstr>Prob_Min30_lar16_mtc</vt:lpstr>
      <vt:lpstr>Prob_Min30_sma16</vt:lpstr>
      <vt:lpstr>Prob_R1_sen</vt:lpstr>
      <vt:lpstr>Prob_R1_spe</vt:lpstr>
      <vt:lpstr>Prob_R2_sen</vt:lpstr>
      <vt:lpstr>Prob_R2_spe</vt:lpstr>
      <vt:lpstr>Prob_R3_sen</vt:lpstr>
      <vt:lpstr>Prob_R3_spe</vt:lpstr>
      <vt:lpstr>Prob_R4_sen</vt:lpstr>
      <vt:lpstr>Prob_R4_spe</vt:lpstr>
      <vt:lpstr>Prob_R5_sen</vt:lpstr>
      <vt:lpstr>Prob_R5_spe</vt:lpstr>
      <vt:lpstr>Prob_R6_sen</vt:lpstr>
      <vt:lpstr>Prob_R6_spe</vt:lpstr>
      <vt:lpstr>PSA_DSA</vt:lpstr>
      <vt:lpstr>QALY_lar16_life</vt:lpstr>
      <vt:lpstr>'Markov Transition Matrix '!QALY_R1_life</vt:lpstr>
      <vt:lpstr>'Markov Transition Matrix '!QALY_R1_Total</vt:lpstr>
      <vt:lpstr>QALY_R1_Total</vt:lpstr>
      <vt:lpstr>'Markov Transition Matrix '!QALY_R2_life</vt:lpstr>
      <vt:lpstr>QALY_R2_Total</vt:lpstr>
      <vt:lpstr>'Markov Transition Matrix '!QALY_R3_life</vt:lpstr>
      <vt:lpstr>QALY_R3_Total</vt:lpstr>
      <vt:lpstr>'Markov Transition Matrix '!QALY_R4_life</vt:lpstr>
      <vt:lpstr>QALY_R4_Total</vt:lpstr>
      <vt:lpstr>'Markov Transition Matrix '!QALY_R5_life</vt:lpstr>
      <vt:lpstr>QALY_R5_Total</vt:lpstr>
      <vt:lpstr>QALY_R6_Total</vt:lpstr>
      <vt:lpstr>QALY_sma16_life</vt:lpstr>
      <vt:lpstr>RR_Min1y_lar16_local</vt:lpstr>
      <vt:lpstr>RR_Min30_lar16_local</vt:lpstr>
      <vt:lpstr>Threshold</vt:lpstr>
      <vt:lpstr>U_lar16</vt:lpstr>
      <vt:lpstr>U_sma16</vt:lpstr>
    </vt:vector>
  </TitlesOfParts>
  <Company>The University of Sheffield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Pollard</dc:creator>
  <cp:lastModifiedBy>Alice Lai</cp:lastModifiedBy>
  <dcterms:created xsi:type="dcterms:W3CDTF">2024-11-26T17:12:08Z</dcterms:created>
  <dcterms:modified xsi:type="dcterms:W3CDTF">2025-04-22T02:15:55Z</dcterms:modified>
</cp:coreProperties>
</file>